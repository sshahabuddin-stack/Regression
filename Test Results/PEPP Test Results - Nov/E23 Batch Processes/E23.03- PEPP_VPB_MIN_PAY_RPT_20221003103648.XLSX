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filterPrivacy="1" defaultThemeVersion="124226"/>
  <xr:revisionPtr revIDLastSave="0" documentId="13_ncr:1_{565E37A0-F2AF-428B-8902-BF887CEC7FBE}" xr6:coauthVersionLast="36" xr6:coauthVersionMax="36" xr10:uidLastSave="{00000000-0000-0000-0000-000000000000}"/>
  <bookViews>
    <workbookView xWindow="240" yWindow="108" windowWidth="14808" windowHeight="8016" xr2:uid="{00000000-000D-0000-FFFF-FFFF00000000}"/>
  </bookViews>
  <sheets>
    <sheet name="Sheet1" sheetId="1" r:id="rId1"/>
  </sheets>
  <definedNames>
    <definedName name="_xlnm._FilterDatabase" localSheetId="0" hidden="1">Sheet1!$A$1:$S$1922</definedName>
    <definedName name="page\x2dtotal">Sheet1!$A$1921</definedName>
    <definedName name="page\x2dtotal\x2dmaster0">Sheet1!$A$1921</definedName>
  </definedNames>
  <calcPr calcId="191029"/>
</workbook>
</file>

<file path=xl/calcChain.xml><?xml version="1.0" encoding="utf-8"?>
<calcChain xmlns="http://schemas.openxmlformats.org/spreadsheetml/2006/main">
  <c r="S491" i="1" l="1"/>
  <c r="S488" i="1"/>
  <c r="P4" i="1" l="1"/>
  <c r="P6" i="1"/>
  <c r="P7" i="1"/>
  <c r="P8" i="1"/>
  <c r="P9" i="1"/>
  <c r="P10" i="1"/>
  <c r="P11" i="1"/>
  <c r="P12" i="1"/>
  <c r="P13" i="1"/>
  <c r="S5" i="1" s="1"/>
  <c r="P14" i="1"/>
  <c r="P15" i="1"/>
  <c r="P16" i="1"/>
  <c r="P17" i="1"/>
  <c r="P18" i="1"/>
  <c r="P19" i="1"/>
  <c r="P20" i="1"/>
  <c r="P21" i="1"/>
  <c r="S13" i="1" s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S26" i="1" s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S39" i="1" s="1"/>
  <c r="P48" i="1"/>
  <c r="S40" i="1" s="1"/>
  <c r="P49" i="1"/>
  <c r="S41" i="1" s="1"/>
  <c r="P50" i="1"/>
  <c r="P51" i="1"/>
  <c r="P52" i="1"/>
  <c r="P53" i="1"/>
  <c r="P54" i="1"/>
  <c r="S46" i="1" s="1"/>
  <c r="P55" i="1"/>
  <c r="P56" i="1"/>
  <c r="P57" i="1"/>
  <c r="S49" i="1" s="1"/>
  <c r="P58" i="1"/>
  <c r="P59" i="1"/>
  <c r="S51" i="1" s="1"/>
  <c r="P60" i="1"/>
  <c r="S52" i="1" s="1"/>
  <c r="P61" i="1"/>
  <c r="P62" i="1"/>
  <c r="S54" i="1" s="1"/>
  <c r="P63" i="1"/>
  <c r="P64" i="1"/>
  <c r="P65" i="1"/>
  <c r="P66" i="1"/>
  <c r="S58" i="1" s="1"/>
  <c r="P67" i="1"/>
  <c r="P68" i="1"/>
  <c r="P69" i="1"/>
  <c r="P70" i="1"/>
  <c r="P71" i="1"/>
  <c r="S63" i="1" s="1"/>
  <c r="P72" i="1"/>
  <c r="P73" i="1"/>
  <c r="P74" i="1"/>
  <c r="S66" i="1" s="1"/>
  <c r="P75" i="1"/>
  <c r="P76" i="1"/>
  <c r="P77" i="1"/>
  <c r="S69" i="1" s="1"/>
  <c r="P78" i="1"/>
  <c r="P79" i="1"/>
  <c r="P80" i="1"/>
  <c r="P81" i="1"/>
  <c r="P82" i="1"/>
  <c r="P83" i="1"/>
  <c r="P84" i="1"/>
  <c r="P85" i="1"/>
  <c r="P86" i="1"/>
  <c r="S78" i="1" s="1"/>
  <c r="P87" i="1"/>
  <c r="P88" i="1"/>
  <c r="P89" i="1"/>
  <c r="P90" i="1"/>
  <c r="S82" i="1" s="1"/>
  <c r="P91" i="1"/>
  <c r="P92" i="1"/>
  <c r="P93" i="1"/>
  <c r="P94" i="1"/>
  <c r="S86" i="1" s="1"/>
  <c r="P95" i="1"/>
  <c r="P96" i="1"/>
  <c r="P97" i="1"/>
  <c r="P98" i="1"/>
  <c r="P99" i="1"/>
  <c r="P100" i="1"/>
  <c r="S92" i="1" s="1"/>
  <c r="P101" i="1"/>
  <c r="P102" i="1"/>
  <c r="S94" i="1" s="1"/>
  <c r="P103" i="1"/>
  <c r="P104" i="1"/>
  <c r="P105" i="1"/>
  <c r="P106" i="1"/>
  <c r="S98" i="1" s="1"/>
  <c r="P107" i="1"/>
  <c r="P108" i="1"/>
  <c r="P109" i="1"/>
  <c r="S101" i="1" s="1"/>
  <c r="P110" i="1"/>
  <c r="P111" i="1"/>
  <c r="P112" i="1"/>
  <c r="P113" i="1"/>
  <c r="P114" i="1"/>
  <c r="S106" i="1" s="1"/>
  <c r="P115" i="1"/>
  <c r="S107" i="1" s="1"/>
  <c r="P116" i="1"/>
  <c r="P117" i="1"/>
  <c r="P118" i="1"/>
  <c r="P119" i="1"/>
  <c r="P120" i="1"/>
  <c r="S112" i="1" s="1"/>
  <c r="P121" i="1"/>
  <c r="P122" i="1"/>
  <c r="P123" i="1"/>
  <c r="P124" i="1"/>
  <c r="P125" i="1"/>
  <c r="S117" i="1" s="1"/>
  <c r="P126" i="1"/>
  <c r="P127" i="1"/>
  <c r="S119" i="1" s="1"/>
  <c r="P128" i="1"/>
  <c r="P129" i="1"/>
  <c r="P130" i="1"/>
  <c r="P131" i="1"/>
  <c r="P132" i="1"/>
  <c r="P133" i="1"/>
  <c r="P134" i="1"/>
  <c r="P135" i="1"/>
  <c r="S127" i="1" s="1"/>
  <c r="P136" i="1"/>
  <c r="P137" i="1"/>
  <c r="P138" i="1"/>
  <c r="P139" i="1"/>
  <c r="P140" i="1"/>
  <c r="P141" i="1"/>
  <c r="P142" i="1"/>
  <c r="P143" i="1"/>
  <c r="P144" i="1"/>
  <c r="P145" i="1"/>
  <c r="S137" i="1" s="1"/>
  <c r="P146" i="1"/>
  <c r="P147" i="1"/>
  <c r="P148" i="1"/>
  <c r="P149" i="1"/>
  <c r="S141" i="1" s="1"/>
  <c r="P150" i="1"/>
  <c r="P151" i="1"/>
  <c r="P152" i="1"/>
  <c r="P153" i="1"/>
  <c r="P154" i="1"/>
  <c r="P155" i="1"/>
  <c r="P156" i="1"/>
  <c r="P157" i="1"/>
  <c r="S149" i="1" s="1"/>
  <c r="P158" i="1"/>
  <c r="P159" i="1"/>
  <c r="P160" i="1"/>
  <c r="P161" i="1"/>
  <c r="P162" i="1"/>
  <c r="P163" i="1"/>
  <c r="P164" i="1"/>
  <c r="S156" i="1" s="1"/>
  <c r="P165" i="1"/>
  <c r="P166" i="1"/>
  <c r="S158" i="1" s="1"/>
  <c r="P167" i="1"/>
  <c r="P168" i="1"/>
  <c r="P169" i="1"/>
  <c r="S161" i="1" s="1"/>
  <c r="P170" i="1"/>
  <c r="P171" i="1"/>
  <c r="P172" i="1"/>
  <c r="P173" i="1"/>
  <c r="P174" i="1"/>
  <c r="P175" i="1"/>
  <c r="S167" i="1" s="1"/>
  <c r="P176" i="1"/>
  <c r="P177" i="1"/>
  <c r="P178" i="1"/>
  <c r="P179" i="1"/>
  <c r="P180" i="1"/>
  <c r="P181" i="1"/>
  <c r="P182" i="1"/>
  <c r="P183" i="1"/>
  <c r="S175" i="1" s="1"/>
  <c r="P184" i="1"/>
  <c r="P185" i="1"/>
  <c r="P186" i="1"/>
  <c r="P187" i="1"/>
  <c r="P188" i="1"/>
  <c r="S180" i="1" s="1"/>
  <c r="P189" i="1"/>
  <c r="P190" i="1"/>
  <c r="P191" i="1"/>
  <c r="P192" i="1"/>
  <c r="P193" i="1"/>
  <c r="P194" i="1"/>
  <c r="P195" i="1"/>
  <c r="P196" i="1"/>
  <c r="P197" i="1"/>
  <c r="P198" i="1"/>
  <c r="P199" i="1"/>
  <c r="P200" i="1"/>
  <c r="S192" i="1" s="1"/>
  <c r="P201" i="1"/>
  <c r="P202" i="1"/>
  <c r="P203" i="1"/>
  <c r="P204" i="1"/>
  <c r="P205" i="1"/>
  <c r="P206" i="1"/>
  <c r="P207" i="1"/>
  <c r="S199" i="1" s="1"/>
  <c r="P208" i="1"/>
  <c r="P209" i="1"/>
  <c r="P210" i="1"/>
  <c r="P211" i="1"/>
  <c r="P212" i="1"/>
  <c r="P213" i="1"/>
  <c r="P214" i="1"/>
  <c r="S206" i="1" s="1"/>
  <c r="P215" i="1"/>
  <c r="S207" i="1" s="1"/>
  <c r="P216" i="1"/>
  <c r="P217" i="1"/>
  <c r="P218" i="1"/>
  <c r="P219" i="1"/>
  <c r="P220" i="1"/>
  <c r="P221" i="1"/>
  <c r="P222" i="1"/>
  <c r="P223" i="1"/>
  <c r="P224" i="1"/>
  <c r="S216" i="1" s="1"/>
  <c r="P225" i="1"/>
  <c r="P226" i="1"/>
  <c r="P227" i="1"/>
  <c r="S219" i="1" s="1"/>
  <c r="P228" i="1"/>
  <c r="S220" i="1" s="1"/>
  <c r="P229" i="1"/>
  <c r="P230" i="1"/>
  <c r="P231" i="1"/>
  <c r="P232" i="1"/>
  <c r="S224" i="1" s="1"/>
  <c r="P233" i="1"/>
  <c r="P234" i="1"/>
  <c r="S226" i="1" s="1"/>
  <c r="P235" i="1"/>
  <c r="P236" i="1"/>
  <c r="P237" i="1"/>
  <c r="S229" i="1" s="1"/>
  <c r="P238" i="1"/>
  <c r="P239" i="1"/>
  <c r="P240" i="1"/>
  <c r="P241" i="1"/>
  <c r="P242" i="1"/>
  <c r="P243" i="1"/>
  <c r="P244" i="1"/>
  <c r="P245" i="1"/>
  <c r="S237" i="1" s="1"/>
  <c r="P246" i="1"/>
  <c r="P247" i="1"/>
  <c r="P248" i="1"/>
  <c r="P249" i="1"/>
  <c r="P250" i="1"/>
  <c r="P251" i="1"/>
  <c r="P252" i="1"/>
  <c r="P253" i="1"/>
  <c r="P254" i="1"/>
  <c r="P255" i="1"/>
  <c r="P256" i="1"/>
  <c r="S248" i="1" s="1"/>
  <c r="P257" i="1"/>
  <c r="S249" i="1" s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S263" i="1" s="1"/>
  <c r="P272" i="1"/>
  <c r="P273" i="1"/>
  <c r="P274" i="1"/>
  <c r="S266" i="1" s="1"/>
  <c r="P275" i="1"/>
  <c r="P276" i="1"/>
  <c r="P277" i="1"/>
  <c r="P278" i="1"/>
  <c r="S270" i="1" s="1"/>
  <c r="P279" i="1"/>
  <c r="P280" i="1"/>
  <c r="P281" i="1"/>
  <c r="S273" i="1" s="1"/>
  <c r="P282" i="1"/>
  <c r="P283" i="1"/>
  <c r="P284" i="1"/>
  <c r="S276" i="1" s="1"/>
  <c r="P285" i="1"/>
  <c r="P286" i="1"/>
  <c r="P287" i="1"/>
  <c r="P288" i="1"/>
  <c r="S280" i="1" s="1"/>
  <c r="P289" i="1"/>
  <c r="P290" i="1"/>
  <c r="P291" i="1"/>
  <c r="P292" i="1"/>
  <c r="S284" i="1" s="1"/>
  <c r="P293" i="1"/>
  <c r="S285" i="1" s="1"/>
  <c r="P294" i="1"/>
  <c r="P295" i="1"/>
  <c r="P296" i="1"/>
  <c r="P297" i="1"/>
  <c r="P298" i="1"/>
  <c r="P299" i="1"/>
  <c r="S291" i="1" s="1"/>
  <c r="P300" i="1"/>
  <c r="S292" i="1" s="1"/>
  <c r="P301" i="1"/>
  <c r="P302" i="1"/>
  <c r="S294" i="1" s="1"/>
  <c r="P303" i="1"/>
  <c r="P304" i="1"/>
  <c r="S296" i="1" s="1"/>
  <c r="P305" i="1"/>
  <c r="P306" i="1"/>
  <c r="P307" i="1"/>
  <c r="P308" i="1"/>
  <c r="P309" i="1"/>
  <c r="S301" i="1" s="1"/>
  <c r="P310" i="1"/>
  <c r="P311" i="1"/>
  <c r="P312" i="1"/>
  <c r="P313" i="1"/>
  <c r="P314" i="1"/>
  <c r="S306" i="1" s="1"/>
  <c r="P315" i="1"/>
  <c r="P316" i="1"/>
  <c r="P317" i="1"/>
  <c r="S309" i="1" s="1"/>
  <c r="P318" i="1"/>
  <c r="P319" i="1"/>
  <c r="P320" i="1"/>
  <c r="P321" i="1"/>
  <c r="S313" i="1" s="1"/>
  <c r="P322" i="1"/>
  <c r="P323" i="1"/>
  <c r="P324" i="1"/>
  <c r="S316" i="1" s="1"/>
  <c r="P325" i="1"/>
  <c r="S317" i="1" s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S343" i="1" s="1"/>
  <c r="P352" i="1"/>
  <c r="P353" i="1"/>
  <c r="P354" i="1"/>
  <c r="P355" i="1"/>
  <c r="P356" i="1"/>
  <c r="P357" i="1"/>
  <c r="P358" i="1"/>
  <c r="P359" i="1"/>
  <c r="P360" i="1"/>
  <c r="P361" i="1"/>
  <c r="P362" i="1"/>
  <c r="S354" i="1" s="1"/>
  <c r="P363" i="1"/>
  <c r="S355" i="1" s="1"/>
  <c r="P364" i="1"/>
  <c r="P365" i="1"/>
  <c r="P366" i="1"/>
  <c r="P367" i="1"/>
  <c r="S359" i="1" s="1"/>
  <c r="P368" i="1"/>
  <c r="S360" i="1" s="1"/>
  <c r="P369" i="1"/>
  <c r="P370" i="1"/>
  <c r="P371" i="1"/>
  <c r="P372" i="1"/>
  <c r="P373" i="1"/>
  <c r="P374" i="1"/>
  <c r="S366" i="1" s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S379" i="1" s="1"/>
  <c r="P388" i="1"/>
  <c r="P389" i="1"/>
  <c r="P390" i="1"/>
  <c r="P391" i="1"/>
  <c r="P392" i="1"/>
  <c r="P393" i="1"/>
  <c r="S385" i="1" s="1"/>
  <c r="P394" i="1"/>
  <c r="P395" i="1"/>
  <c r="P396" i="1"/>
  <c r="P397" i="1"/>
  <c r="P398" i="1"/>
  <c r="P399" i="1"/>
  <c r="P400" i="1"/>
  <c r="S392" i="1" s="1"/>
  <c r="P401" i="1"/>
  <c r="P402" i="1"/>
  <c r="P403" i="1"/>
  <c r="P404" i="1"/>
  <c r="P405" i="1"/>
  <c r="P406" i="1"/>
  <c r="S398" i="1" s="1"/>
  <c r="P407" i="1"/>
  <c r="P408" i="1"/>
  <c r="P409" i="1"/>
  <c r="P410" i="1"/>
  <c r="P411" i="1"/>
  <c r="S403" i="1" s="1"/>
  <c r="P412" i="1"/>
  <c r="P413" i="1"/>
  <c r="P414" i="1"/>
  <c r="S406" i="1" s="1"/>
  <c r="P415" i="1"/>
  <c r="S407" i="1" s="1"/>
  <c r="P416" i="1"/>
  <c r="P417" i="1"/>
  <c r="S409" i="1" s="1"/>
  <c r="P418" i="1"/>
  <c r="S410" i="1" s="1"/>
  <c r="P419" i="1"/>
  <c r="P420" i="1"/>
  <c r="P421" i="1"/>
  <c r="P422" i="1"/>
  <c r="P423" i="1"/>
  <c r="P424" i="1"/>
  <c r="P425" i="1"/>
  <c r="P426" i="1"/>
  <c r="S418" i="1" s="1"/>
  <c r="P427" i="1"/>
  <c r="P428" i="1"/>
  <c r="P429" i="1"/>
  <c r="S421" i="1" s="1"/>
  <c r="P430" i="1"/>
  <c r="S422" i="1" s="1"/>
  <c r="P431" i="1"/>
  <c r="P432" i="1"/>
  <c r="S424" i="1" s="1"/>
  <c r="P433" i="1"/>
  <c r="P434" i="1"/>
  <c r="P435" i="1"/>
  <c r="P436" i="1"/>
  <c r="S428" i="1" s="1"/>
  <c r="P437" i="1"/>
  <c r="P438" i="1"/>
  <c r="P439" i="1"/>
  <c r="P440" i="1"/>
  <c r="S432" i="1" s="1"/>
  <c r="P441" i="1"/>
  <c r="S433" i="1" s="1"/>
  <c r="P442" i="1"/>
  <c r="P443" i="1"/>
  <c r="P444" i="1"/>
  <c r="P445" i="1"/>
  <c r="P446" i="1"/>
  <c r="P447" i="1"/>
  <c r="P448" i="1"/>
  <c r="P449" i="1"/>
  <c r="P450" i="1"/>
  <c r="P451" i="1"/>
  <c r="P452" i="1"/>
  <c r="S444" i="1" s="1"/>
  <c r="P453" i="1"/>
  <c r="P454" i="1"/>
  <c r="P455" i="1"/>
  <c r="P456" i="1"/>
  <c r="P457" i="1"/>
  <c r="P458" i="1"/>
  <c r="P459" i="1"/>
  <c r="P460" i="1"/>
  <c r="P461" i="1"/>
  <c r="S453" i="1" s="1"/>
  <c r="P462" i="1"/>
  <c r="P463" i="1"/>
  <c r="S455" i="1" s="1"/>
  <c r="P464" i="1"/>
  <c r="P465" i="1"/>
  <c r="P466" i="1"/>
  <c r="P467" i="1"/>
  <c r="S459" i="1" s="1"/>
  <c r="P468" i="1"/>
  <c r="P469" i="1"/>
  <c r="P470" i="1"/>
  <c r="P471" i="1"/>
  <c r="S463" i="1" s="1"/>
  <c r="P472" i="1"/>
  <c r="P473" i="1"/>
  <c r="P474" i="1"/>
  <c r="P475" i="1"/>
  <c r="P476" i="1"/>
  <c r="P477" i="1"/>
  <c r="P478" i="1"/>
  <c r="P479" i="1"/>
  <c r="P480" i="1"/>
  <c r="P481" i="1"/>
  <c r="P482" i="1"/>
  <c r="S474" i="1" s="1"/>
  <c r="P483" i="1"/>
  <c r="P484" i="1"/>
  <c r="P485" i="1"/>
  <c r="P486" i="1"/>
  <c r="P487" i="1"/>
  <c r="P488" i="1"/>
  <c r="S480" i="1" s="1"/>
  <c r="P489" i="1"/>
  <c r="P490" i="1"/>
  <c r="P491" i="1"/>
  <c r="P492" i="1"/>
  <c r="P3" i="1"/>
</calcChain>
</file>

<file path=xl/sharedStrings.xml><?xml version="1.0" encoding="utf-8"?>
<sst xmlns="http://schemas.openxmlformats.org/spreadsheetml/2006/main" count="17971" uniqueCount="8596">
  <si>
    <t/>
  </si>
  <si>
    <t>Member Number</t>
  </si>
  <si>
    <t>First Name</t>
  </si>
  <si>
    <t>Last Name</t>
  </si>
  <si>
    <t>Birthdate</t>
  </si>
  <si>
    <t>Age @ Dec 31 Reporting Year</t>
  </si>
  <si>
    <t>Balance @ Jan 1 Reporting Year</t>
  </si>
  <si>
    <t>Calculation Method</t>
  </si>
  <si>
    <t>Specified Dollars</t>
  </si>
  <si>
    <t>Age Election</t>
  </si>
  <si>
    <t>Frequency</t>
  </si>
  <si>
    <t>Spouse Age @ Dec 31 Reporting Year</t>
  </si>
  <si>
    <t>New Age Factor</t>
  </si>
  <si>
    <t>Minimum Requirement</t>
  </si>
  <si>
    <t>YTD Withdrawal</t>
  </si>
  <si>
    <t>Last Payment Amount</t>
  </si>
  <si>
    <t>LON</t>
  </si>
  <si>
    <t>BORGERSON</t>
  </si>
  <si>
    <t>19-NOV-1950</t>
  </si>
  <si>
    <t>-</t>
  </si>
  <si>
    <t>Member</t>
  </si>
  <si>
    <t>1000447</t>
  </si>
  <si>
    <t>JANET</t>
  </si>
  <si>
    <t>ABELLS</t>
  </si>
  <si>
    <t>$1,230,861.45</t>
  </si>
  <si>
    <t>ITA Minimum</t>
  </si>
  <si>
    <t>Monthly</t>
  </si>
  <si>
    <t>$5,672.22</t>
  </si>
  <si>
    <t>1000553</t>
  </si>
  <si>
    <t>DAVID</t>
  </si>
  <si>
    <t>ABRAHAM</t>
  </si>
  <si>
    <t>$21,846.42</t>
  </si>
  <si>
    <t>Annual</t>
  </si>
  <si>
    <t>$103.22</t>
  </si>
  <si>
    <t>1001015</t>
  </si>
  <si>
    <t>EUGENE</t>
  </si>
  <si>
    <t>ACHTEMICHUK</t>
  </si>
  <si>
    <t>23-APR-1949</t>
  </si>
  <si>
    <t>$568,695.91</t>
  </si>
  <si>
    <t>Fixed Amount</t>
  </si>
  <si>
    <t>$3,000.00</t>
  </si>
  <si>
    <t>Spouse</t>
  </si>
  <si>
    <t>$2,156.31</t>
  </si>
  <si>
    <t>1001155</t>
  </si>
  <si>
    <t>DOLORES</t>
  </si>
  <si>
    <t>ACKERMAN</t>
  </si>
  <si>
    <t>$76,248.54</t>
  </si>
  <si>
    <t>$1,000.00</t>
  </si>
  <si>
    <t>$360.27</t>
  </si>
  <si>
    <t>1001833</t>
  </si>
  <si>
    <t>HANIF</t>
  </si>
  <si>
    <t>ADAMS</t>
  </si>
  <si>
    <t>$250,717.08</t>
  </si>
  <si>
    <t>$1,215.98</t>
  </si>
  <si>
    <t>1001916</t>
  </si>
  <si>
    <t>KAREN</t>
  </si>
  <si>
    <t>$1,011,124.18</t>
  </si>
  <si>
    <t>$75,000.00</t>
  </si>
  <si>
    <t>$4,903.95</t>
  </si>
  <si>
    <t>1002039</t>
  </si>
  <si>
    <t>NORMAN</t>
  </si>
  <si>
    <t>21-DEC-1944</t>
  </si>
  <si>
    <t>$15,900.68</t>
  </si>
  <si>
    <t>$81.76</t>
  </si>
  <si>
    <t>1002336</t>
  </si>
  <si>
    <t>ADELMAN</t>
  </si>
  <si>
    <t>$113,255.03</t>
  </si>
  <si>
    <t>$800.00</t>
  </si>
  <si>
    <t>$564.39</t>
  </si>
  <si>
    <t>1002690</t>
  </si>
  <si>
    <t>CASELY</t>
  </si>
  <si>
    <t>AGO</t>
  </si>
  <si>
    <t>08-MAR-1949</t>
  </si>
  <si>
    <t>$365,672.85</t>
  </si>
  <si>
    <t>$1,645.53</t>
  </si>
  <si>
    <t>1003177</t>
  </si>
  <si>
    <t>VICTOR</t>
  </si>
  <si>
    <t>AIMEY</t>
  </si>
  <si>
    <t>$271,340.76</t>
  </si>
  <si>
    <t>$1,250.43</t>
  </si>
  <si>
    <t>1003870</t>
  </si>
  <si>
    <t>WILLIAM</t>
  </si>
  <si>
    <t>ALDCORN</t>
  </si>
  <si>
    <t>$634,503.31</t>
  </si>
  <si>
    <t>$2,204.90</t>
  </si>
  <si>
    <t>1004175</t>
  </si>
  <si>
    <t>MARIE</t>
  </si>
  <si>
    <t>ALEXANDER</t>
  </si>
  <si>
    <t>$102,370.77</t>
  </si>
  <si>
    <t>$1,200.00</t>
  </si>
  <si>
    <t>$471.76</t>
  </si>
  <si>
    <t>1004191</t>
  </si>
  <si>
    <t>NAGWA</t>
  </si>
  <si>
    <t>$175,155.36</t>
  </si>
  <si>
    <t>$2,800.00</t>
  </si>
  <si>
    <t>$827.61</t>
  </si>
  <si>
    <t>1004233</t>
  </si>
  <si>
    <t xml:space="preserve">SUSAN </t>
  </si>
  <si>
    <t>GREENFIELD</t>
  </si>
  <si>
    <t>$365,128.35</t>
  </si>
  <si>
    <t>$6,000.00</t>
  </si>
  <si>
    <t>$1,606.57</t>
  </si>
  <si>
    <t>1004324</t>
  </si>
  <si>
    <t>JANIB</t>
  </si>
  <si>
    <t>ALI</t>
  </si>
  <si>
    <t>$101,073.91</t>
  </si>
  <si>
    <t>$4,000.00</t>
  </si>
  <si>
    <t>$554.22</t>
  </si>
  <si>
    <t>1004605</t>
  </si>
  <si>
    <t>ALLCOCK</t>
  </si>
  <si>
    <t>01-JUN-1950</t>
  </si>
  <si>
    <t>$181,555.21</t>
  </si>
  <si>
    <t>$798.84</t>
  </si>
  <si>
    <t>1004712</t>
  </si>
  <si>
    <t>DIANA</t>
  </si>
  <si>
    <t>ALLEN</t>
  </si>
  <si>
    <t>22-AUG-1950</t>
  </si>
  <si>
    <t>$185,092.24</t>
  </si>
  <si>
    <t>$814.41</t>
  </si>
  <si>
    <t>1004761</t>
  </si>
  <si>
    <t>GEORGE</t>
  </si>
  <si>
    <t>$121,866.58</t>
  </si>
  <si>
    <t>$2,000.00</t>
  </si>
  <si>
    <t>$575.82</t>
  </si>
  <si>
    <t>1004951</t>
  </si>
  <si>
    <t>RICHARD</t>
  </si>
  <si>
    <t>$281,818.62</t>
  </si>
  <si>
    <t>$1,298.71</t>
  </si>
  <si>
    <t>1005479</t>
  </si>
  <si>
    <t>JAMES</t>
  </si>
  <si>
    <t>AMANIE</t>
  </si>
  <si>
    <t>$457,394.20</t>
  </si>
  <si>
    <t>$1,500.00</t>
  </si>
  <si>
    <t>$2,107.83</t>
  </si>
  <si>
    <t>1005644</t>
  </si>
  <si>
    <t>SHIRLEY</t>
  </si>
  <si>
    <t>AMICHAND</t>
  </si>
  <si>
    <t>$404,576.95</t>
  </si>
  <si>
    <t>$1,820.60</t>
  </si>
  <si>
    <t>1007103</t>
  </si>
  <si>
    <t>JOHN</t>
  </si>
  <si>
    <t>ANDERSON</t>
  </si>
  <si>
    <t>26-NOV-1949</t>
  </si>
  <si>
    <t>$824,770.01</t>
  </si>
  <si>
    <t>$5,000.00</t>
  </si>
  <si>
    <t>$3,711.47</t>
  </si>
  <si>
    <t>1007111</t>
  </si>
  <si>
    <t>$823,532.62</t>
  </si>
  <si>
    <t>$3,994.13</t>
  </si>
  <si>
    <t>1007871</t>
  </si>
  <si>
    <t>$32,580.15</t>
  </si>
  <si>
    <t>$2,500.00</t>
  </si>
  <si>
    <t>$153.94</t>
  </si>
  <si>
    <t>1007921</t>
  </si>
  <si>
    <t>TOM</t>
  </si>
  <si>
    <t>$1,006,892.33</t>
  </si>
  <si>
    <t>$4,757.57</t>
  </si>
  <si>
    <t>1009067</t>
  </si>
  <si>
    <t>ANTHONY</t>
  </si>
  <si>
    <t>ANTONINI</t>
  </si>
  <si>
    <t>$280,658.04</t>
  </si>
  <si>
    <t>$1,361.19</t>
  </si>
  <si>
    <t>1009133</t>
  </si>
  <si>
    <t>MAUREEN</t>
  </si>
  <si>
    <t>ANTONIO</t>
  </si>
  <si>
    <t>$1,153,737.23</t>
  </si>
  <si>
    <t>$5,316.81</t>
  </si>
  <si>
    <t>1009240</t>
  </si>
  <si>
    <t>MARILYN</t>
  </si>
  <si>
    <t>ANTONY</t>
  </si>
  <si>
    <t>$67,345.15</t>
  </si>
  <si>
    <t>$310.35</t>
  </si>
  <si>
    <t>1009570</t>
  </si>
  <si>
    <t>TREVOR</t>
  </si>
  <si>
    <t>APPERLEY</t>
  </si>
  <si>
    <t>$101,036.73</t>
  </si>
  <si>
    <t>$600.00</t>
  </si>
  <si>
    <t>$444.56</t>
  </si>
  <si>
    <t>1009588</t>
  </si>
  <si>
    <t>ALAN</t>
  </si>
  <si>
    <t>APPLEBY</t>
  </si>
  <si>
    <t>$320,275.03</t>
  </si>
  <si>
    <t>$4,500.00</t>
  </si>
  <si>
    <t>$1,596.04</t>
  </si>
  <si>
    <t>1009703</t>
  </si>
  <si>
    <t>GREGORY</t>
  </si>
  <si>
    <t>APSHKRUM</t>
  </si>
  <si>
    <t>$31,264.14</t>
  </si>
  <si>
    <t>$140.69</t>
  </si>
  <si>
    <t>1009844</t>
  </si>
  <si>
    <t>DENNIS</t>
  </si>
  <si>
    <t>ARBUTHNOTT</t>
  </si>
  <si>
    <t>$231,776.53</t>
  </si>
  <si>
    <t>$1,042.99</t>
  </si>
  <si>
    <t>1009968</t>
  </si>
  <si>
    <t>BARRY</t>
  </si>
  <si>
    <t>ARCHER</t>
  </si>
  <si>
    <t>28-FEB-1947</t>
  </si>
  <si>
    <t>$61,849.36</t>
  </si>
  <si>
    <t>$525.00</t>
  </si>
  <si>
    <t>$292.24</t>
  </si>
  <si>
    <t>1010016</t>
  </si>
  <si>
    <t>MARC</t>
  </si>
  <si>
    <t>$695,777.08</t>
  </si>
  <si>
    <t>$3,577.45</t>
  </si>
  <si>
    <t>1010032</t>
  </si>
  <si>
    <t>RITA</t>
  </si>
  <si>
    <t>$717,567.81</t>
  </si>
  <si>
    <t>$3,229.06</t>
  </si>
  <si>
    <t>1010057</t>
  </si>
  <si>
    <t>WAYNE</t>
  </si>
  <si>
    <t>ARCUS</t>
  </si>
  <si>
    <t>$595,757.42</t>
  </si>
  <si>
    <t>$2,745.45</t>
  </si>
  <si>
    <t>1010156</t>
  </si>
  <si>
    <t>ARGUE</t>
  </si>
  <si>
    <t>$347,821.81</t>
  </si>
  <si>
    <t>$936.22</t>
  </si>
  <si>
    <t>1010297</t>
  </si>
  <si>
    <t>LAWRENCE</t>
  </si>
  <si>
    <t>ARISS</t>
  </si>
  <si>
    <t>$157,068.67</t>
  </si>
  <si>
    <t>$782.73</t>
  </si>
  <si>
    <t>1010305</t>
  </si>
  <si>
    <t>MARY</t>
  </si>
  <si>
    <t>ARKELL</t>
  </si>
  <si>
    <t>$344,036.31</t>
  </si>
  <si>
    <t>$2,300.00</t>
  </si>
  <si>
    <t>$1,585.43</t>
  </si>
  <si>
    <t>1010461</t>
  </si>
  <si>
    <t>ARMSTRONG</t>
  </si>
  <si>
    <t>14-OCT-1945</t>
  </si>
  <si>
    <t>$449,904.39</t>
  </si>
  <si>
    <t>$2,242.02</t>
  </si>
  <si>
    <t>1010750</t>
  </si>
  <si>
    <t>VALERIE</t>
  </si>
  <si>
    <t>$198,960.55</t>
  </si>
  <si>
    <t>$900.00</t>
  </si>
  <si>
    <t>$916.88</t>
  </si>
  <si>
    <t>1011212</t>
  </si>
  <si>
    <t>KENNETH</t>
  </si>
  <si>
    <t>ARNOTT</t>
  </si>
  <si>
    <t>$244,542.58</t>
  </si>
  <si>
    <t>$1,800.00</t>
  </si>
  <si>
    <t>$1,100.44</t>
  </si>
  <si>
    <t>1011568</t>
  </si>
  <si>
    <t>PATRICIA</t>
  </si>
  <si>
    <t>ARTHUR</t>
  </si>
  <si>
    <t>$8,876.13</t>
  </si>
  <si>
    <t>$200.00</t>
  </si>
  <si>
    <t>$44.23</t>
  </si>
  <si>
    <t>1011758</t>
  </si>
  <si>
    <t>BARRIE</t>
  </si>
  <si>
    <t>ASH</t>
  </si>
  <si>
    <t>22-AUG-1947</t>
  </si>
  <si>
    <t>$290,028.54</t>
  </si>
  <si>
    <t>$1,370.39</t>
  </si>
  <si>
    <t>1011865</t>
  </si>
  <si>
    <t>CECILE</t>
  </si>
  <si>
    <t>ASHAM</t>
  </si>
  <si>
    <t>$117,074.83</t>
  </si>
  <si>
    <t>$744.00</t>
  </si>
  <si>
    <t>$526.84</t>
  </si>
  <si>
    <t>1012343</t>
  </si>
  <si>
    <t>HARLEY</t>
  </si>
  <si>
    <t>AST</t>
  </si>
  <si>
    <t>$335,824.31</t>
  </si>
  <si>
    <t>$2,200.00</t>
  </si>
  <si>
    <t>$1,628.75</t>
  </si>
  <si>
    <t>1012566</t>
  </si>
  <si>
    <t>DONALD</t>
  </si>
  <si>
    <t>ATKINSON</t>
  </si>
  <si>
    <t>$108,970.78</t>
  </si>
  <si>
    <t>$666.67</t>
  </si>
  <si>
    <t>$619.32</t>
  </si>
  <si>
    <t>1012665</t>
  </si>
  <si>
    <t>ALLAN</t>
  </si>
  <si>
    <t>ATSU</t>
  </si>
  <si>
    <t>$366,461.58</t>
  </si>
  <si>
    <t>$25,000.00</t>
  </si>
  <si>
    <t>$1,526.92</t>
  </si>
  <si>
    <t>1012707</t>
  </si>
  <si>
    <t>ATTWATER</t>
  </si>
  <si>
    <t>$59,502.92</t>
  </si>
  <si>
    <t>$250.00</t>
  </si>
  <si>
    <t>$281.15</t>
  </si>
  <si>
    <t>1013333</t>
  </si>
  <si>
    <t>AUDREY</t>
  </si>
  <si>
    <t>AUSTIN</t>
  </si>
  <si>
    <t>$160,064.42</t>
  </si>
  <si>
    <t>$756.30</t>
  </si>
  <si>
    <t>1013614</t>
  </si>
  <si>
    <t>GARRY</t>
  </si>
  <si>
    <t>AYOTTE</t>
  </si>
  <si>
    <t>$932,523.61</t>
  </si>
  <si>
    <t>$1,655.23</t>
  </si>
  <si>
    <t>1013820</t>
  </si>
  <si>
    <t>BABCOCK</t>
  </si>
  <si>
    <t>$169,395.97</t>
  </si>
  <si>
    <t>$762.28</t>
  </si>
  <si>
    <t>1014448</t>
  </si>
  <si>
    <t>LEROY</t>
  </si>
  <si>
    <t>BADER</t>
  </si>
  <si>
    <t>20-NOV-1948</t>
  </si>
  <si>
    <t>$739,789.73</t>
  </si>
  <si>
    <t>$3,329.05</t>
  </si>
  <si>
    <t>1014505</t>
  </si>
  <si>
    <t>REX</t>
  </si>
  <si>
    <t>BADGER</t>
  </si>
  <si>
    <t>$199,061.96</t>
  </si>
  <si>
    <t>$1,750.00</t>
  </si>
  <si>
    <t>$917.34</t>
  </si>
  <si>
    <t>1014646</t>
  </si>
  <si>
    <t>SOLOMON</t>
  </si>
  <si>
    <t>BAERG</t>
  </si>
  <si>
    <t>$950,496.71</t>
  </si>
  <si>
    <t>$4,736.64</t>
  </si>
  <si>
    <t>1014695</t>
  </si>
  <si>
    <t>GLENN</t>
  </si>
  <si>
    <t>BAERWALDT</t>
  </si>
  <si>
    <t>$10,085.05</t>
  </si>
  <si>
    <t>$500.00</t>
  </si>
  <si>
    <t>$45.38</t>
  </si>
  <si>
    <t>1015585</t>
  </si>
  <si>
    <t>CHARLES</t>
  </si>
  <si>
    <t>BAKER</t>
  </si>
  <si>
    <t>23-APR-1945</t>
  </si>
  <si>
    <t>$330,672.46</t>
  </si>
  <si>
    <t>$1,019.57</t>
  </si>
  <si>
    <t>1015635</t>
  </si>
  <si>
    <t>DOUGLAS</t>
  </si>
  <si>
    <t>$98,589.99</t>
  </si>
  <si>
    <t>$465.84</t>
  </si>
  <si>
    <t>1015643</t>
  </si>
  <si>
    <t>FRANCES</t>
  </si>
  <si>
    <t>$416,923.01</t>
  </si>
  <si>
    <t>$2,022.08</t>
  </si>
  <si>
    <t>1015718</t>
  </si>
  <si>
    <t>JANICE</t>
  </si>
  <si>
    <t>$354,360.26</t>
  </si>
  <si>
    <t>$1,674.35</t>
  </si>
  <si>
    <t>1016393</t>
  </si>
  <si>
    <t>JOYCE</t>
  </si>
  <si>
    <t>BALDWIN</t>
  </si>
  <si>
    <t>01-DEC-1943</t>
  </si>
  <si>
    <t>$118,654.89</t>
  </si>
  <si>
    <t>$8,966.00</t>
  </si>
  <si>
    <t>$560.64</t>
  </si>
  <si>
    <t>1016633</t>
  </si>
  <si>
    <t>EDWARD</t>
  </si>
  <si>
    <t>BALKWILL</t>
  </si>
  <si>
    <t>$184,999.04</t>
  </si>
  <si>
    <t>$3,700.00</t>
  </si>
  <si>
    <t>$832.50</t>
  </si>
  <si>
    <t>1017094</t>
  </si>
  <si>
    <t>BALON</t>
  </si>
  <si>
    <t>$378,128.09</t>
  </si>
  <si>
    <t>$1,260.43</t>
  </si>
  <si>
    <t>1017581</t>
  </si>
  <si>
    <t>JOAN</t>
  </si>
  <si>
    <t>BANKOWSKI</t>
  </si>
  <si>
    <t>07-FEB-1945</t>
  </si>
  <si>
    <t>$54,494.06</t>
  </si>
  <si>
    <t>$271.56</t>
  </si>
  <si>
    <t>1017623</t>
  </si>
  <si>
    <t>BANKS</t>
  </si>
  <si>
    <t>$455,573.87</t>
  </si>
  <si>
    <t>$2,342.41</t>
  </si>
  <si>
    <t>1017714</t>
  </si>
  <si>
    <t>GRAHAM BANMAN</t>
  </si>
  <si>
    <t>$398,679.06</t>
  </si>
  <si>
    <t>$1,006.67</t>
  </si>
  <si>
    <t>1017920</t>
  </si>
  <si>
    <t>PAUL</t>
  </si>
  <si>
    <t>BANTLE</t>
  </si>
  <si>
    <t>04-FEB-1950</t>
  </si>
  <si>
    <t>$76,399.13</t>
  </si>
  <si>
    <t>$336.16</t>
  </si>
  <si>
    <t>1018258</t>
  </si>
  <si>
    <t>BARBER</t>
  </si>
  <si>
    <t>$86,130.46</t>
  </si>
  <si>
    <t>$378.97</t>
  </si>
  <si>
    <t>1018290</t>
  </si>
  <si>
    <t>D</t>
  </si>
  <si>
    <t>$187,060.55</t>
  </si>
  <si>
    <t>$885.00</t>
  </si>
  <si>
    <t>$883.86</t>
  </si>
  <si>
    <t>1018324</t>
  </si>
  <si>
    <t>08-JUN-1942</t>
  </si>
  <si>
    <t>$1,195,580.39</t>
  </si>
  <si>
    <t>$6,555.77</t>
  </si>
  <si>
    <t>1018621</t>
  </si>
  <si>
    <t>BARISOFF</t>
  </si>
  <si>
    <t>$853,804.08</t>
  </si>
  <si>
    <t>$3,842.12</t>
  </si>
  <si>
    <t>1018670</t>
  </si>
  <si>
    <t>BARKER</t>
  </si>
  <si>
    <t>$288,538.82</t>
  </si>
  <si>
    <t>$1,900.00</t>
  </si>
  <si>
    <t>$1,399.41</t>
  </si>
  <si>
    <t>1019280</t>
  </si>
  <si>
    <t>LINDA</t>
  </si>
  <si>
    <t>BARNES</t>
  </si>
  <si>
    <t>$135,696.68</t>
  </si>
  <si>
    <t>$719.19</t>
  </si>
  <si>
    <t>1019900</t>
  </si>
  <si>
    <t>BRIAN</t>
  </si>
  <si>
    <t>BARRINGTON FOOTE</t>
  </si>
  <si>
    <t>05-AUG-1950</t>
  </si>
  <si>
    <t>$48,766.95</t>
  </si>
  <si>
    <t>$214.57</t>
  </si>
  <si>
    <t>1019983</t>
  </si>
  <si>
    <t>GERALD</t>
  </si>
  <si>
    <t>BARSI</t>
  </si>
  <si>
    <t>$355,429.05</t>
  </si>
  <si>
    <t>$2,100.00</t>
  </si>
  <si>
    <t>$1,563.89</t>
  </si>
  <si>
    <t>1020635</t>
  </si>
  <si>
    <t>LUELLA</t>
  </si>
  <si>
    <t>BARTSCH</t>
  </si>
  <si>
    <t>11-JUN-1942</t>
  </si>
  <si>
    <t>$97,279.91</t>
  </si>
  <si>
    <t>$459.65</t>
  </si>
  <si>
    <t>1020841</t>
  </si>
  <si>
    <t>DIANNE</t>
  </si>
  <si>
    <t>BASHUTSKI</t>
  </si>
  <si>
    <t>$466,899.72</t>
  </si>
  <si>
    <t>$2,054.36</t>
  </si>
  <si>
    <t>1021625</t>
  </si>
  <si>
    <t>JIM</t>
  </si>
  <si>
    <t>BATKE</t>
  </si>
  <si>
    <t>$408,591.36</t>
  </si>
  <si>
    <t>$2,400.00</t>
  </si>
  <si>
    <t>$1,882.93</t>
  </si>
  <si>
    <t>1022037</t>
  </si>
  <si>
    <t>JUNE</t>
  </si>
  <si>
    <t>BAUMGARTNER</t>
  </si>
  <si>
    <t>$646,328.33</t>
  </si>
  <si>
    <t>$2,843.85</t>
  </si>
  <si>
    <t>1022276</t>
  </si>
  <si>
    <t>TED</t>
  </si>
  <si>
    <t>BAY</t>
  </si>
  <si>
    <t>04-JUN-1949</t>
  </si>
  <si>
    <t>$1,372,637.39</t>
  </si>
  <si>
    <t>$6,176.87</t>
  </si>
  <si>
    <t>1022425</t>
  </si>
  <si>
    <t>BAYNE</t>
  </si>
  <si>
    <t>$642,103.57</t>
  </si>
  <si>
    <t>$3,300.00</t>
  </si>
  <si>
    <t>$3,301.48</t>
  </si>
  <si>
    <t>1022508</t>
  </si>
  <si>
    <t>WALTER</t>
  </si>
  <si>
    <t>BAZARKIEWICZ</t>
  </si>
  <si>
    <t>$318,334.81</t>
  </si>
  <si>
    <t>$1,543.92</t>
  </si>
  <si>
    <t>1023910</t>
  </si>
  <si>
    <t>RON</t>
  </si>
  <si>
    <t>BEAUDRY</t>
  </si>
  <si>
    <t>$163,005.80</t>
  </si>
  <si>
    <t>$522.98</t>
  </si>
  <si>
    <t>1024314</t>
  </si>
  <si>
    <t>BEAZELY</t>
  </si>
  <si>
    <t>$1,271,988.46</t>
  </si>
  <si>
    <t>$6,400.00</t>
  </si>
  <si>
    <t>$6,010.15</t>
  </si>
  <si>
    <t>1024801</t>
  </si>
  <si>
    <t>HUGH</t>
  </si>
  <si>
    <t>BECKER</t>
  </si>
  <si>
    <t>24-JUN-1947</t>
  </si>
  <si>
    <t>$3,671.80</t>
  </si>
  <si>
    <t>$17.35</t>
  </si>
  <si>
    <t>1024819</t>
  </si>
  <si>
    <t>05-AUG-1946</t>
  </si>
  <si>
    <t>$52,681.48</t>
  </si>
  <si>
    <t>$255.51</t>
  </si>
  <si>
    <t>1024967</t>
  </si>
  <si>
    <t>SHEILA</t>
  </si>
  <si>
    <t>BECKLES</t>
  </si>
  <si>
    <t>11-APR-1947</t>
  </si>
  <si>
    <t>$63,206.59</t>
  </si>
  <si>
    <t>$298.65</t>
  </si>
  <si>
    <t>1025287</t>
  </si>
  <si>
    <t>ELEANORE</t>
  </si>
  <si>
    <t>GARTNER</t>
  </si>
  <si>
    <t>07-JUL-1948</t>
  </si>
  <si>
    <t>$121.57</t>
  </si>
  <si>
    <t>$0.56</t>
  </si>
  <si>
    <t>1025303</t>
  </si>
  <si>
    <t>GORDON</t>
  </si>
  <si>
    <t>BEECHER</t>
  </si>
  <si>
    <t>$43,260.76</t>
  </si>
  <si>
    <t>$180.25</t>
  </si>
  <si>
    <t>1025691</t>
  </si>
  <si>
    <t>JEAN</t>
  </si>
  <si>
    <t>BEILMAN</t>
  </si>
  <si>
    <t>$48,836.07</t>
  </si>
  <si>
    <t>$267.78</t>
  </si>
  <si>
    <t>1025972</t>
  </si>
  <si>
    <t>FRANK</t>
  </si>
  <si>
    <t>BELANGER</t>
  </si>
  <si>
    <t>$637,151.82</t>
  </si>
  <si>
    <t>$2,309.68</t>
  </si>
  <si>
    <t>1026368</t>
  </si>
  <si>
    <t>BEVERLEY</t>
  </si>
  <si>
    <t>BELL</t>
  </si>
  <si>
    <t>05-APR-1944</t>
  </si>
  <si>
    <t>$164,224.77</t>
  </si>
  <si>
    <t>$844.39</t>
  </si>
  <si>
    <t>1026699</t>
  </si>
  <si>
    <t>LESLIE</t>
  </si>
  <si>
    <t>20-FEB-1950</t>
  </si>
  <si>
    <t>$587,916.99</t>
  </si>
  <si>
    <t>$2,586.84</t>
  </si>
  <si>
    <t>1027556</t>
  </si>
  <si>
    <t>BELTON</t>
  </si>
  <si>
    <t>04-OCT-1946</t>
  </si>
  <si>
    <t>$476,611.18</t>
  </si>
  <si>
    <t>$2,251.99</t>
  </si>
  <si>
    <t>1028299</t>
  </si>
  <si>
    <t>EVAN</t>
  </si>
  <si>
    <t>BENNETT</t>
  </si>
  <si>
    <t>$885,950.50</t>
  </si>
  <si>
    <t>$3,600.00</t>
  </si>
  <si>
    <t>$2,458.51</t>
  </si>
  <si>
    <t>1028661</t>
  </si>
  <si>
    <t>CELIA</t>
  </si>
  <si>
    <t>BENSON</t>
  </si>
  <si>
    <t>14-MAR-1940</t>
  </si>
  <si>
    <t>$596.50</t>
  </si>
  <si>
    <t>$3.52</t>
  </si>
  <si>
    <t>1028703</t>
  </si>
  <si>
    <t>GARY</t>
  </si>
  <si>
    <t>$1,411,542.43</t>
  </si>
  <si>
    <t>$10,000.00</t>
  </si>
  <si>
    <t>$6,845.98</t>
  </si>
  <si>
    <t>1029321</t>
  </si>
  <si>
    <t>BERG</t>
  </si>
  <si>
    <t>$210,809.53</t>
  </si>
  <si>
    <t>$1,600.00</t>
  </si>
  <si>
    <t>$836.21</t>
  </si>
  <si>
    <t>1029529</t>
  </si>
  <si>
    <t>L</t>
  </si>
  <si>
    <t>$11,955.20</t>
  </si>
  <si>
    <t>$65.55</t>
  </si>
  <si>
    <t>1029800</t>
  </si>
  <si>
    <t>BERGER</t>
  </si>
  <si>
    <t>$742,800.87</t>
  </si>
  <si>
    <t>$4,350.00</t>
  </si>
  <si>
    <t>$3,602.58</t>
  </si>
  <si>
    <t>1031004</t>
  </si>
  <si>
    <t>MARJORIE</t>
  </si>
  <si>
    <t>BERTRAND</t>
  </si>
  <si>
    <t>03-NOV-1946</t>
  </si>
  <si>
    <t>$49,084.63</t>
  </si>
  <si>
    <t>$238.06</t>
  </si>
  <si>
    <t>1031699</t>
  </si>
  <si>
    <t>DARLENE</t>
  </si>
  <si>
    <t>BEUTEL</t>
  </si>
  <si>
    <t>09-MAY-1948</t>
  </si>
  <si>
    <t>$18,681.25</t>
  </si>
  <si>
    <t>$86.09</t>
  </si>
  <si>
    <t>1031889</t>
  </si>
  <si>
    <t>YASH</t>
  </si>
  <si>
    <t>BHASIN</t>
  </si>
  <si>
    <t>29-DEC-1949</t>
  </si>
  <si>
    <t>$74,175.33</t>
  </si>
  <si>
    <t>$205.10</t>
  </si>
  <si>
    <t>$220.67</t>
  </si>
  <si>
    <t>1031913</t>
  </si>
  <si>
    <t>BIALOWAS</t>
  </si>
  <si>
    <t>$1,074,355.52</t>
  </si>
  <si>
    <t>$4,073.60</t>
  </si>
  <si>
    <t>1033042</t>
  </si>
  <si>
    <t>PENELOPE</t>
  </si>
  <si>
    <t>BILLOWS</t>
  </si>
  <si>
    <t>$168,827.51</t>
  </si>
  <si>
    <t>$868.06</t>
  </si>
  <si>
    <t>1033109</t>
  </si>
  <si>
    <t>BILSKY</t>
  </si>
  <si>
    <t>$37,328.64</t>
  </si>
  <si>
    <t>$325.00</t>
  </si>
  <si>
    <t>$164.25</t>
  </si>
  <si>
    <t>1033190</t>
  </si>
  <si>
    <t>BINGAMAN</t>
  </si>
  <si>
    <t>29-OCT-1943</t>
  </si>
  <si>
    <t>$1,438,564.88</t>
  </si>
  <si>
    <t>$7,624.39</t>
  </si>
  <si>
    <t>1033307</t>
  </si>
  <si>
    <t>BIRAM</t>
  </si>
  <si>
    <t>17-MAY-1949</t>
  </si>
  <si>
    <t>$26,618.74</t>
  </si>
  <si>
    <t>$119.78</t>
  </si>
  <si>
    <t>1035146</t>
  </si>
  <si>
    <t>ASHLEY</t>
  </si>
  <si>
    <t>BLACKMAN</t>
  </si>
  <si>
    <t>$622,653.88</t>
  </si>
  <si>
    <t>$2,469.86</t>
  </si>
  <si>
    <t>1035500</t>
  </si>
  <si>
    <t>ALBERT</t>
  </si>
  <si>
    <t>BLAIS</t>
  </si>
  <si>
    <t>$211,818.84</t>
  </si>
  <si>
    <t>$1,055.56</t>
  </si>
  <si>
    <t>1035716</t>
  </si>
  <si>
    <t>GISELE</t>
  </si>
  <si>
    <t>BLANCHETTE</t>
  </si>
  <si>
    <t>20-APR-1950</t>
  </si>
  <si>
    <t>$513,461.57</t>
  </si>
  <si>
    <t>$2,600.00</t>
  </si>
  <si>
    <t>$2,259.23</t>
  </si>
  <si>
    <t>1035815</t>
  </si>
  <si>
    <t>VERNON</t>
  </si>
  <si>
    <t>BLASH</t>
  </si>
  <si>
    <t>09-SEP-1949</t>
  </si>
  <si>
    <t>$15,506.93</t>
  </si>
  <si>
    <t>$69.78</t>
  </si>
  <si>
    <t>1035930</t>
  </si>
  <si>
    <t>EDWIN</t>
  </si>
  <si>
    <t>BLAZIEKO</t>
  </si>
  <si>
    <t>$114,880.91</t>
  </si>
  <si>
    <t>$557.17</t>
  </si>
  <si>
    <t>1036243</t>
  </si>
  <si>
    <t>STANLEY</t>
  </si>
  <si>
    <t>BLISS</t>
  </si>
  <si>
    <t>28-OCT-1950</t>
  </si>
  <si>
    <t>$181,188.77</t>
  </si>
  <si>
    <t>$502.80</t>
  </si>
  <si>
    <t>1037126</t>
  </si>
  <si>
    <t>MAE</t>
  </si>
  <si>
    <t>BOA</t>
  </si>
  <si>
    <t>29-JAN-1944</t>
  </si>
  <si>
    <t>$856,433.06</t>
  </si>
  <si>
    <t>$4,403.49</t>
  </si>
  <si>
    <t>$-1,512.89</t>
  </si>
  <si>
    <t>1037639</t>
  </si>
  <si>
    <t>LYLE</t>
  </si>
  <si>
    <t>BODMAN</t>
  </si>
  <si>
    <t>$787,174.29</t>
  </si>
  <si>
    <t>$7,250.00</t>
  </si>
  <si>
    <t>$2,984.70</t>
  </si>
  <si>
    <t>1038405</t>
  </si>
  <si>
    <t>PETER</t>
  </si>
  <si>
    <t>BOGARD</t>
  </si>
  <si>
    <t>$20,655.48</t>
  </si>
  <si>
    <t>$92.95</t>
  </si>
  <si>
    <t>1039973</t>
  </si>
  <si>
    <t>IAN</t>
  </si>
  <si>
    <t>BONNOR</t>
  </si>
  <si>
    <t>$453,293.04</t>
  </si>
  <si>
    <t>$2,968.30</t>
  </si>
  <si>
    <t>$2,485.56</t>
  </si>
  <si>
    <t>1040005</t>
  </si>
  <si>
    <t>BONNY</t>
  </si>
  <si>
    <t>$162,557.33</t>
  </si>
  <si>
    <t>$768.08</t>
  </si>
  <si>
    <t>1040500</t>
  </si>
  <si>
    <t>GLORIA</t>
  </si>
  <si>
    <t>BORISINKOFF</t>
  </si>
  <si>
    <t>$185,284.81</t>
  </si>
  <si>
    <t>$1,460.80</t>
  </si>
  <si>
    <t>$982.01</t>
  </si>
  <si>
    <t>1041243</t>
  </si>
  <si>
    <t>VINCENT</t>
  </si>
  <si>
    <t>BOUCHARD</t>
  </si>
  <si>
    <t>08-FEB-1942</t>
  </si>
  <si>
    <t>$7,379.13</t>
  </si>
  <si>
    <t>$40.46</t>
  </si>
  <si>
    <t>1041474</t>
  </si>
  <si>
    <t>MYRNA</t>
  </si>
  <si>
    <t>BOULDING</t>
  </si>
  <si>
    <t>29-MAY-1945</t>
  </si>
  <si>
    <t>$18,207.54</t>
  </si>
  <si>
    <t>$90.73</t>
  </si>
  <si>
    <t>1041516</t>
  </si>
  <si>
    <t>SONJA</t>
  </si>
  <si>
    <t>BOULTON</t>
  </si>
  <si>
    <t>$99,475.17</t>
  </si>
  <si>
    <t>$482.45</t>
  </si>
  <si>
    <t>1041813</t>
  </si>
  <si>
    <t>RONALD</t>
  </si>
  <si>
    <t>BOURGEOIS</t>
  </si>
  <si>
    <t>$84,051.91</t>
  </si>
  <si>
    <t>$700.00</t>
  </si>
  <si>
    <t>$350.22</t>
  </si>
  <si>
    <t>1042449</t>
  </si>
  <si>
    <t>PATRICK</t>
  </si>
  <si>
    <t>BOWERS</t>
  </si>
  <si>
    <t>$383,438.40</t>
  </si>
  <si>
    <t>$1,687.13</t>
  </si>
  <si>
    <t>1042837</t>
  </si>
  <si>
    <t>BOYCE</t>
  </si>
  <si>
    <t>$475,421.78</t>
  </si>
  <si>
    <t>$2,139.40</t>
  </si>
  <si>
    <t>1044841</t>
  </si>
  <si>
    <t>LIONEL</t>
  </si>
  <si>
    <t>BRANGER</t>
  </si>
  <si>
    <t>$422,877.68</t>
  </si>
  <si>
    <t>$1,998.10</t>
  </si>
  <si>
    <t>1045715</t>
  </si>
  <si>
    <t>BREHM</t>
  </si>
  <si>
    <t>$238,518.19</t>
  </si>
  <si>
    <t>$1,049.48</t>
  </si>
  <si>
    <t>1045822</t>
  </si>
  <si>
    <t>BREMNER</t>
  </si>
  <si>
    <t>$155,712.56</t>
  </si>
  <si>
    <t>$1,250.00</t>
  </si>
  <si>
    <t>$775.97</t>
  </si>
  <si>
    <t>1045871</t>
  </si>
  <si>
    <t>JUDITH</t>
  </si>
  <si>
    <t>BRENNAN</t>
  </si>
  <si>
    <t>$610,648.46</t>
  </si>
  <si>
    <t>$2,961.65</t>
  </si>
  <si>
    <t>1046085</t>
  </si>
  <si>
    <t>BREWER</t>
  </si>
  <si>
    <t>$312,120.09</t>
  </si>
  <si>
    <t>$1,404.54</t>
  </si>
  <si>
    <t>1046671</t>
  </si>
  <si>
    <t>LETA</t>
  </si>
  <si>
    <t>BRIERLEY</t>
  </si>
  <si>
    <t>01-MAY-1950</t>
  </si>
  <si>
    <t>$180,588.69</t>
  </si>
  <si>
    <t>$794.59</t>
  </si>
  <si>
    <t>1046754</t>
  </si>
  <si>
    <t>BRIGHT</t>
  </si>
  <si>
    <t>$2,352,372.60</t>
  </si>
  <si>
    <t>$10,500.00</t>
  </si>
  <si>
    <t>$10,585.68</t>
  </si>
  <si>
    <t>1046788</t>
  </si>
  <si>
    <t>$327,573.82</t>
  </si>
  <si>
    <t>$3,500.00</t>
  </si>
  <si>
    <t>$1,187.46</t>
  </si>
  <si>
    <t>1046887</t>
  </si>
  <si>
    <t>BRINDLE</t>
  </si>
  <si>
    <t>$500,482.91</t>
  </si>
  <si>
    <t>$2,494.07</t>
  </si>
  <si>
    <t>1047398</t>
  </si>
  <si>
    <t>BROAD</t>
  </si>
  <si>
    <t>$376,104.58</t>
  </si>
  <si>
    <t>$1,692.47</t>
  </si>
  <si>
    <t>1047638</t>
  </si>
  <si>
    <t>BRODA</t>
  </si>
  <si>
    <t>$19,081.55</t>
  </si>
  <si>
    <t>$85.87</t>
  </si>
  <si>
    <t>1048040</t>
  </si>
  <si>
    <t>BROOKS</t>
  </si>
  <si>
    <t>$385,735.06</t>
  </si>
  <si>
    <t>$1,400.00</t>
  </si>
  <si>
    <t>$1,147.56</t>
  </si>
  <si>
    <t>1048339</t>
  </si>
  <si>
    <t>CHRIS</t>
  </si>
  <si>
    <t>BROTEN</t>
  </si>
  <si>
    <t>$739,616.52</t>
  </si>
  <si>
    <t>$3,254.31</t>
  </si>
  <si>
    <t>1048479</t>
  </si>
  <si>
    <t>BEVERLY</t>
  </si>
  <si>
    <t>BROUET</t>
  </si>
  <si>
    <t>$236,535.61</t>
  </si>
  <si>
    <t>$1,344.31</t>
  </si>
  <si>
    <t>1049352</t>
  </si>
  <si>
    <t>LANA</t>
  </si>
  <si>
    <t>BROWN</t>
  </si>
  <si>
    <t>$926,661.60</t>
  </si>
  <si>
    <t>$4,169.98</t>
  </si>
  <si>
    <t>1049378</t>
  </si>
  <si>
    <t>$15,728.78</t>
  </si>
  <si>
    <t>$69.21</t>
  </si>
  <si>
    <t>1049451</t>
  </si>
  <si>
    <t>LYNN</t>
  </si>
  <si>
    <t>$252,041.61</t>
  </si>
  <si>
    <t>$1,134.19</t>
  </si>
  <si>
    <t>1049493</t>
  </si>
  <si>
    <t>MARIANNA</t>
  </si>
  <si>
    <t>26-NOV-1944</t>
  </si>
  <si>
    <t>$42,734.71</t>
  </si>
  <si>
    <t>$219.73</t>
  </si>
  <si>
    <t>1049782</t>
  </si>
  <si>
    <t>$97,676.95</t>
  </si>
  <si>
    <t>$429.78</t>
  </si>
  <si>
    <t>1050095</t>
  </si>
  <si>
    <t>BERNARD</t>
  </si>
  <si>
    <t>BRU</t>
  </si>
  <si>
    <t>$90,856.62</t>
  </si>
  <si>
    <t>$399.77</t>
  </si>
  <si>
    <t>1050327</t>
  </si>
  <si>
    <t>BRUCE</t>
  </si>
  <si>
    <t>10-AUG-1947</t>
  </si>
  <si>
    <t>$547,221.63</t>
  </si>
  <si>
    <t>$2,585.62</t>
  </si>
  <si>
    <t>1050921</t>
  </si>
  <si>
    <t>BRYSHUN</t>
  </si>
  <si>
    <t>02-SEP-1947</t>
  </si>
  <si>
    <t>$109,711.76</t>
  </si>
  <si>
    <t>$518.39</t>
  </si>
  <si>
    <t>1051614</t>
  </si>
  <si>
    <t>MARGARET</t>
  </si>
  <si>
    <t>BUCKLEY</t>
  </si>
  <si>
    <t>$597,333.25</t>
  </si>
  <si>
    <t>$2,752.71</t>
  </si>
  <si>
    <t>1052125</t>
  </si>
  <si>
    <t>DOREEN</t>
  </si>
  <si>
    <t>BUETTNER</t>
  </si>
  <si>
    <t>$10,293.54</t>
  </si>
  <si>
    <t>$125.00</t>
  </si>
  <si>
    <t>$47.44</t>
  </si>
  <si>
    <t>1052158</t>
  </si>
  <si>
    <t>$608,698.64</t>
  </si>
  <si>
    <t>$2,320.00</t>
  </si>
  <si>
    <t>$2,739.14</t>
  </si>
  <si>
    <t>1052364</t>
  </si>
  <si>
    <t>BUHLER</t>
  </si>
  <si>
    <t>$86,193.30</t>
  </si>
  <si>
    <t>$443.18</t>
  </si>
  <si>
    <t>1053008</t>
  </si>
  <si>
    <t>BURAK</t>
  </si>
  <si>
    <t>$245,256.46</t>
  </si>
  <si>
    <t>$1,021.90</t>
  </si>
  <si>
    <t>1054014</t>
  </si>
  <si>
    <t>BURNS</t>
  </si>
  <si>
    <t>15-MAR-1943</t>
  </si>
  <si>
    <t>$29,018.40</t>
  </si>
  <si>
    <t>$153.80</t>
  </si>
  <si>
    <t>1054105</t>
  </si>
  <si>
    <t>$34,439.31</t>
  </si>
  <si>
    <t>$188.84</t>
  </si>
  <si>
    <t>1054261</t>
  </si>
  <si>
    <t>M</t>
  </si>
  <si>
    <t>BURROWS</t>
  </si>
  <si>
    <t>$704,093.61</t>
  </si>
  <si>
    <t>$4,600.00</t>
  </si>
  <si>
    <t>$3,414.85</t>
  </si>
  <si>
    <t>1054733</t>
  </si>
  <si>
    <t>ROBERT</t>
  </si>
  <si>
    <t>BUSCH</t>
  </si>
  <si>
    <t>$94,578.90</t>
  </si>
  <si>
    <t>$416.15</t>
  </si>
  <si>
    <t>1054840</t>
  </si>
  <si>
    <t>BUSHMAN</t>
  </si>
  <si>
    <t>$208,514.05</t>
  </si>
  <si>
    <t>$985.23</t>
  </si>
  <si>
    <t>1054980</t>
  </si>
  <si>
    <t>BUSSEY</t>
  </si>
  <si>
    <t>$83,317.56</t>
  </si>
  <si>
    <t>$441.58</t>
  </si>
  <si>
    <t>1055052</t>
  </si>
  <si>
    <t>CONNIE</t>
  </si>
  <si>
    <t>BUTCHER</t>
  </si>
  <si>
    <t>10-JAN-1947</t>
  </si>
  <si>
    <t>$39,126.46</t>
  </si>
  <si>
    <t>$184.87</t>
  </si>
  <si>
    <t>1055169</t>
  </si>
  <si>
    <t>NASIR</t>
  </si>
  <si>
    <t>BUTT</t>
  </si>
  <si>
    <t>19-APR-1947</t>
  </si>
  <si>
    <t>$388,217.11</t>
  </si>
  <si>
    <t>$1,834.33</t>
  </si>
  <si>
    <t>1055664</t>
  </si>
  <si>
    <t>BYERS</t>
  </si>
  <si>
    <t>$558,901.11</t>
  </si>
  <si>
    <t>$2,710.67</t>
  </si>
  <si>
    <t>1055698</t>
  </si>
  <si>
    <t>BARBARA</t>
  </si>
  <si>
    <t>BYERS BRADLEY</t>
  </si>
  <si>
    <t>$66,149.54</t>
  </si>
  <si>
    <t>$362.72</t>
  </si>
  <si>
    <t>1055987</t>
  </si>
  <si>
    <t>SERELITO</t>
  </si>
  <si>
    <t>CADERMA</t>
  </si>
  <si>
    <t>$158,895.61</t>
  </si>
  <si>
    <t>$1,069.90</t>
  </si>
  <si>
    <t>1056001</t>
  </si>
  <si>
    <t>HAZEL</t>
  </si>
  <si>
    <t>CADIEU</t>
  </si>
  <si>
    <t>$63,250.22</t>
  </si>
  <si>
    <t>$284.63</t>
  </si>
  <si>
    <t>1056456</t>
  </si>
  <si>
    <t>BILL</t>
  </si>
  <si>
    <t>CALDER</t>
  </si>
  <si>
    <t>$610,387.53</t>
  </si>
  <si>
    <t>$40,000.00</t>
  </si>
  <si>
    <t>$2,960.38</t>
  </si>
  <si>
    <t>1056860</t>
  </si>
  <si>
    <t>BRYNN</t>
  </si>
  <si>
    <t>CAMERON</t>
  </si>
  <si>
    <t>23-AUG-1949</t>
  </si>
  <si>
    <t>$559,168.94</t>
  </si>
  <si>
    <t>$2,516.26</t>
  </si>
  <si>
    <t>1056910</t>
  </si>
  <si>
    <t>CREIGHTON</t>
  </si>
  <si>
    <t>26-DEC-1949</t>
  </si>
  <si>
    <t>$171,621.42</t>
  </si>
  <si>
    <t>$772.30</t>
  </si>
  <si>
    <t>1056928</t>
  </si>
  <si>
    <t>09-AUG-1948</t>
  </si>
  <si>
    <t>$64,352.74</t>
  </si>
  <si>
    <t>$296.56</t>
  </si>
  <si>
    <t>1057025</t>
  </si>
  <si>
    <t xml:space="preserve">GORDON </t>
  </si>
  <si>
    <t>$224,187.70</t>
  </si>
  <si>
    <t>$1,033.13</t>
  </si>
  <si>
    <t>1057199</t>
  </si>
  <si>
    <t>STAN</t>
  </si>
  <si>
    <t>08-SEP-1939</t>
  </si>
  <si>
    <t>$250,523.40</t>
  </si>
  <si>
    <t>$1,540.72</t>
  </si>
  <si>
    <t>1057454</t>
  </si>
  <si>
    <t xml:space="preserve">COLLIN </t>
  </si>
  <si>
    <t>CAMPBELL</t>
  </si>
  <si>
    <t>$55,894.20</t>
  </si>
  <si>
    <t>$232.89</t>
  </si>
  <si>
    <t>1057744</t>
  </si>
  <si>
    <t>JULIE</t>
  </si>
  <si>
    <t>29-OCT-1941</t>
  </si>
  <si>
    <t>$35,511.22</t>
  </si>
  <si>
    <t>$201.82</t>
  </si>
  <si>
    <t>1058767</t>
  </si>
  <si>
    <t>CARBNO</t>
  </si>
  <si>
    <t>$169,195.76</t>
  </si>
  <si>
    <t>$761.38</t>
  </si>
  <si>
    <t>1058809</t>
  </si>
  <si>
    <t>RUTH</t>
  </si>
  <si>
    <t>CARD</t>
  </si>
  <si>
    <t>30-JUN-1949</t>
  </si>
  <si>
    <t>$20,642.99</t>
  </si>
  <si>
    <t>$92.89</t>
  </si>
  <si>
    <t>1058817</t>
  </si>
  <si>
    <t>SHARON</t>
  </si>
  <si>
    <t>ROBARTS</t>
  </si>
  <si>
    <t>22-NOV-1948</t>
  </si>
  <si>
    <t>$220,563.50</t>
  </si>
  <si>
    <t>$1,016.43</t>
  </si>
  <si>
    <t>1059591</t>
  </si>
  <si>
    <t>IRVING</t>
  </si>
  <si>
    <t>CARLSON</t>
  </si>
  <si>
    <t>$294,708.91</t>
  </si>
  <si>
    <t>$1,561.96</t>
  </si>
  <si>
    <t>1059641</t>
  </si>
  <si>
    <t xml:space="preserve">LARRY </t>
  </si>
  <si>
    <t>05-SEP-1947</t>
  </si>
  <si>
    <t>$3,507.21</t>
  </si>
  <si>
    <t>$15.78</t>
  </si>
  <si>
    <t>1059757</t>
  </si>
  <si>
    <t>$30,276.86</t>
  </si>
  <si>
    <t>$300.00</t>
  </si>
  <si>
    <t>$133.22</t>
  </si>
  <si>
    <t>1060052</t>
  </si>
  <si>
    <t>SUSAN</t>
  </si>
  <si>
    <t>CARNEGIE</t>
  </si>
  <si>
    <t>$94,397.61</t>
  </si>
  <si>
    <t>$446.03</t>
  </si>
  <si>
    <t>1060060</t>
  </si>
  <si>
    <t>CARNEY</t>
  </si>
  <si>
    <t>$143,413.12</t>
  </si>
  <si>
    <t>$750.00</t>
  </si>
  <si>
    <t>$631.02</t>
  </si>
  <si>
    <t>1060359</t>
  </si>
  <si>
    <t>CARR</t>
  </si>
  <si>
    <t>$136,877.80</t>
  </si>
  <si>
    <t>$630.78</t>
  </si>
  <si>
    <t>1061548</t>
  </si>
  <si>
    <t>TIMOTHY</t>
  </si>
  <si>
    <t>CASCADDEN</t>
  </si>
  <si>
    <t>$185,950.13</t>
  </si>
  <si>
    <t>$2,150.00</t>
  </si>
  <si>
    <t>$836.78</t>
  </si>
  <si>
    <t>1062157</t>
  </si>
  <si>
    <t>CLAUDIA</t>
  </si>
  <si>
    <t>CAWOOD</t>
  </si>
  <si>
    <t>$212,232.64</t>
  </si>
  <si>
    <t>$1,002.80</t>
  </si>
  <si>
    <t>1062165</t>
  </si>
  <si>
    <t>$138,430.61</t>
  </si>
  <si>
    <t>$711.76</t>
  </si>
  <si>
    <t>1062249</t>
  </si>
  <si>
    <t>CEDERWALL</t>
  </si>
  <si>
    <t>20-DEC-1944</t>
  </si>
  <si>
    <t>$56,299.55</t>
  </si>
  <si>
    <t>$266.02</t>
  </si>
  <si>
    <t>1062280</t>
  </si>
  <si>
    <t>SANDRA</t>
  </si>
  <si>
    <t>CELENTANO</t>
  </si>
  <si>
    <t>30-NOV-1947</t>
  </si>
  <si>
    <t>$290,025.31</t>
  </si>
  <si>
    <t>$1,370.37</t>
  </si>
  <si>
    <t>1063189</t>
  </si>
  <si>
    <t>MARLENE</t>
  </si>
  <si>
    <t>CHAMPAGNE</t>
  </si>
  <si>
    <t>$34,548.06</t>
  </si>
  <si>
    <t>$2,180.00</t>
  </si>
  <si>
    <t>$167.56</t>
  </si>
  <si>
    <t>1063197</t>
  </si>
  <si>
    <t>PHILIPPE</t>
  </si>
  <si>
    <t>$27,400.20</t>
  </si>
  <si>
    <t>$132.89</t>
  </si>
  <si>
    <t>1063247</t>
  </si>
  <si>
    <t>CHIU-PING</t>
  </si>
  <si>
    <t>CHAN</t>
  </si>
  <si>
    <t>03-MAR-1949</t>
  </si>
  <si>
    <t>$86,620.94</t>
  </si>
  <si>
    <t>$267.08</t>
  </si>
  <si>
    <t>1063304</t>
  </si>
  <si>
    <t>HEIDI</t>
  </si>
  <si>
    <t>$85,608.70</t>
  </si>
  <si>
    <t>$394.51</t>
  </si>
  <si>
    <t>1063445</t>
  </si>
  <si>
    <t>WINGSHAM</t>
  </si>
  <si>
    <t>08-JUN-1950</t>
  </si>
  <si>
    <t>$99,476.18</t>
  </si>
  <si>
    <t>$437.70</t>
  </si>
  <si>
    <t>1063585</t>
  </si>
  <si>
    <t>CHAPELLAZ</t>
  </si>
  <si>
    <t>09-APR-1947</t>
  </si>
  <si>
    <t>$166,137.84</t>
  </si>
  <si>
    <t>$785.00</t>
  </si>
  <si>
    <t>1063874</t>
  </si>
  <si>
    <t>DAVE</t>
  </si>
  <si>
    <t>CHARANDUK</t>
  </si>
  <si>
    <t>$303,611.02</t>
  </si>
  <si>
    <t>$1,235.00</t>
  </si>
  <si>
    <t>$1,434.56</t>
  </si>
  <si>
    <t>1064328</t>
  </si>
  <si>
    <t>CHARLTON</t>
  </si>
  <si>
    <t>$150,787.72</t>
  </si>
  <si>
    <t>$8,255.00</t>
  </si>
  <si>
    <t>$678.55</t>
  </si>
  <si>
    <t>1064344</t>
  </si>
  <si>
    <t>SIDNEY</t>
  </si>
  <si>
    <t>$365,532.20</t>
  </si>
  <si>
    <t>$1,100.00</t>
  </si>
  <si>
    <t>$1,385.98</t>
  </si>
  <si>
    <t>1065242</t>
  </si>
  <si>
    <t>CHEKAY</t>
  </si>
  <si>
    <t>$481,123.33</t>
  </si>
  <si>
    <t>$2,250.00</t>
  </si>
  <si>
    <t>$2,217.18</t>
  </si>
  <si>
    <t>1065747</t>
  </si>
  <si>
    <t>CHERNIAK</t>
  </si>
  <si>
    <t>$117,806.31</t>
  </si>
  <si>
    <t>$518.35</t>
  </si>
  <si>
    <t>1065895</t>
  </si>
  <si>
    <t>JOSEPH</t>
  </si>
  <si>
    <t>CHERNYSH</t>
  </si>
  <si>
    <t>26-SEP-1945</t>
  </si>
  <si>
    <t>$27,729.32</t>
  </si>
  <si>
    <t>$138.18</t>
  </si>
  <si>
    <t>1066380</t>
  </si>
  <si>
    <t>CHIN</t>
  </si>
  <si>
    <t>$814,047.95</t>
  </si>
  <si>
    <t>$3,846.38</t>
  </si>
  <si>
    <t>1066430</t>
  </si>
  <si>
    <t>TERRANCE</t>
  </si>
  <si>
    <t>CHINN</t>
  </si>
  <si>
    <t>16-AUG-1950</t>
  </si>
  <si>
    <t>$1,663,456.83</t>
  </si>
  <si>
    <t>$9,000.00</t>
  </si>
  <si>
    <t>$7,319.21</t>
  </si>
  <si>
    <t>1066638</t>
  </si>
  <si>
    <t>CHITOLIE</t>
  </si>
  <si>
    <t>$399,575.87</t>
  </si>
  <si>
    <t>$1,798.09</t>
  </si>
  <si>
    <t>1066950</t>
  </si>
  <si>
    <t>CHOQUER</t>
  </si>
  <si>
    <t>$700,068.20</t>
  </si>
  <si>
    <t>$2,432.74</t>
  </si>
  <si>
    <t>1067040</t>
  </si>
  <si>
    <t>DELINER</t>
  </si>
  <si>
    <t>CHORNEY</t>
  </si>
  <si>
    <t>$309,946.41</t>
  </si>
  <si>
    <t>$2,190.62</t>
  </si>
  <si>
    <t>$1,464.50</t>
  </si>
  <si>
    <t>1067222</t>
  </si>
  <si>
    <t>KIM</t>
  </si>
  <si>
    <t>CHOW</t>
  </si>
  <si>
    <t>$774,566.73</t>
  </si>
  <si>
    <t>$5,215.42</t>
  </si>
  <si>
    <t>1068071</t>
  </si>
  <si>
    <t>CHUNYS</t>
  </si>
  <si>
    <t>17-DEC-1943</t>
  </si>
  <si>
    <t>$166,846.66</t>
  </si>
  <si>
    <t>$884.29</t>
  </si>
  <si>
    <t>1068238</t>
  </si>
  <si>
    <t>CHURKO</t>
  </si>
  <si>
    <t>25-FEB-1945</t>
  </si>
  <si>
    <t>$75,030.35</t>
  </si>
  <si>
    <t>$297.62</t>
  </si>
  <si>
    <t>1068717</t>
  </si>
  <si>
    <t>CLARK</t>
  </si>
  <si>
    <t>$64,282.71</t>
  </si>
  <si>
    <t>$1,506.66</t>
  </si>
  <si>
    <t>$289.27</t>
  </si>
  <si>
    <t>1068907</t>
  </si>
  <si>
    <t>LOIS</t>
  </si>
  <si>
    <t>04-JAN-1949</t>
  </si>
  <si>
    <t>$201,040.04</t>
  </si>
  <si>
    <t>$904.68</t>
  </si>
  <si>
    <t>1069012</t>
  </si>
  <si>
    <t>PEGGY</t>
  </si>
  <si>
    <t>27-DEC-1948</t>
  </si>
  <si>
    <t>$43,126.03</t>
  </si>
  <si>
    <t>$198.74</t>
  </si>
  <si>
    <t>1069046</t>
  </si>
  <si>
    <t>30-MAY-1945</t>
  </si>
  <si>
    <t>$593,652.96</t>
  </si>
  <si>
    <t>$2,958.37</t>
  </si>
  <si>
    <t>1069137</t>
  </si>
  <si>
    <t>WENDY</t>
  </si>
  <si>
    <t>$102,371.56</t>
  </si>
  <si>
    <t>$1,300.00</t>
  </si>
  <si>
    <t>$542.57</t>
  </si>
  <si>
    <t>1069459</t>
  </si>
  <si>
    <t>CLARKE</t>
  </si>
  <si>
    <t>$479,013.18</t>
  </si>
  <si>
    <t>$1,816.26</t>
  </si>
  <si>
    <t>1069624</t>
  </si>
  <si>
    <t>$1,362,013.95</t>
  </si>
  <si>
    <t>$6,435.52</t>
  </si>
  <si>
    <t>1069681</t>
  </si>
  <si>
    <t>SARINA</t>
  </si>
  <si>
    <t>$442,648.31</t>
  </si>
  <si>
    <t>$2,146.84</t>
  </si>
  <si>
    <t>1070093</t>
  </si>
  <si>
    <t>CLAYTON</t>
  </si>
  <si>
    <t>20-MAR-1946</t>
  </si>
  <si>
    <t>$254,158.94</t>
  </si>
  <si>
    <t>$12,640.00</t>
  </si>
  <si>
    <t>$1,200.90</t>
  </si>
  <si>
    <t>1070143</t>
  </si>
  <si>
    <t>RAYMOND</t>
  </si>
  <si>
    <t>$1,782,032.09</t>
  </si>
  <si>
    <t>$4,128.37</t>
  </si>
  <si>
    <t>1070606</t>
  </si>
  <si>
    <t>J</t>
  </si>
  <si>
    <t>CLIPSHAM</t>
  </si>
  <si>
    <t>$113,261.81</t>
  </si>
  <si>
    <t>$509.68</t>
  </si>
  <si>
    <t>1070838</t>
  </si>
  <si>
    <t>WARREN</t>
  </si>
  <si>
    <t>CLUBB</t>
  </si>
  <si>
    <t>$801,662.31</t>
  </si>
  <si>
    <t>$3,527.31</t>
  </si>
  <si>
    <t>1070952</t>
  </si>
  <si>
    <t>COATES</t>
  </si>
  <si>
    <t>$62,853.15</t>
  </si>
  <si>
    <t>$296.98</t>
  </si>
  <si>
    <t>1071570</t>
  </si>
  <si>
    <t>LARRY</t>
  </si>
  <si>
    <t>COGHLIN</t>
  </si>
  <si>
    <t>07-OCT-1948</t>
  </si>
  <si>
    <t>$712,769.13</t>
  </si>
  <si>
    <t>$3,100.00</t>
  </si>
  <si>
    <t>$2,827.32</t>
  </si>
  <si>
    <t>1071794</t>
  </si>
  <si>
    <t>COLE</t>
  </si>
  <si>
    <t>$163,666.09</t>
  </si>
  <si>
    <t>$841.52</t>
  </si>
  <si>
    <t>1071810</t>
  </si>
  <si>
    <t>$489,254.28</t>
  </si>
  <si>
    <t>$2,152.72</t>
  </si>
  <si>
    <t>1072784</t>
  </si>
  <si>
    <t>FRANCIS</t>
  </si>
  <si>
    <t>COMFORT</t>
  </si>
  <si>
    <t>$14,705.64</t>
  </si>
  <si>
    <t>$400.00</t>
  </si>
  <si>
    <t>$66.18</t>
  </si>
  <si>
    <t>1072917</t>
  </si>
  <si>
    <t>GLEN</t>
  </si>
  <si>
    <t>CONACHER</t>
  </si>
  <si>
    <t>24-DEC-1948</t>
  </si>
  <si>
    <t>$19,038.95</t>
  </si>
  <si>
    <t>$87.74</t>
  </si>
  <si>
    <t>1073055</t>
  </si>
  <si>
    <t>HUYNH</t>
  </si>
  <si>
    <t>CONGLY</t>
  </si>
  <si>
    <t>$1,388,489.32</t>
  </si>
  <si>
    <t>$5,264.69</t>
  </si>
  <si>
    <t>1073162</t>
  </si>
  <si>
    <t>CONN</t>
  </si>
  <si>
    <t>$1,057,859.03</t>
  </si>
  <si>
    <t>$4,654.58</t>
  </si>
  <si>
    <t>1073212</t>
  </si>
  <si>
    <t>LANCE</t>
  </si>
  <si>
    <t>CONNELL</t>
  </si>
  <si>
    <t>$139,216.45</t>
  </si>
  <si>
    <t>$641.56</t>
  </si>
  <si>
    <t>1073253</t>
  </si>
  <si>
    <t>CONNICK</t>
  </si>
  <si>
    <t>$406,669.62</t>
  </si>
  <si>
    <t>$2,026.57</t>
  </si>
  <si>
    <t>1073295</t>
  </si>
  <si>
    <t>ALFRED</t>
  </si>
  <si>
    <t>CONNOLY</t>
  </si>
  <si>
    <t>02-JAN-1948</t>
  </si>
  <si>
    <t>$2,728,443.77</t>
  </si>
  <si>
    <t>$12,573.58</t>
  </si>
  <si>
    <t>1073832</t>
  </si>
  <si>
    <t xml:space="preserve">JOHN </t>
  </si>
  <si>
    <t>COOK</t>
  </si>
  <si>
    <t>25-APR-1947</t>
  </si>
  <si>
    <t>$23,371.48</t>
  </si>
  <si>
    <t>$110.43</t>
  </si>
  <si>
    <t>1073915</t>
  </si>
  <si>
    <t>MURRAY D.</t>
  </si>
  <si>
    <t>$105,082.90</t>
  </si>
  <si>
    <t>$496.52</t>
  </si>
  <si>
    <t>1074079</t>
  </si>
  <si>
    <t>COOKE</t>
  </si>
  <si>
    <t>$303,038.16</t>
  </si>
  <si>
    <t>$1,469.74</t>
  </si>
  <si>
    <t>1074251</t>
  </si>
  <si>
    <t>KEITH</t>
  </si>
  <si>
    <t>COOMBS</t>
  </si>
  <si>
    <t>$157,399.55</t>
  </si>
  <si>
    <t>$725.35</t>
  </si>
  <si>
    <t>1074590</t>
  </si>
  <si>
    <t>COOPER</t>
  </si>
  <si>
    <t>01-APR-1947</t>
  </si>
  <si>
    <t>$829,880.14</t>
  </si>
  <si>
    <t>$3,651.47</t>
  </si>
  <si>
    <t>1075084</t>
  </si>
  <si>
    <t>CORCORAN</t>
  </si>
  <si>
    <t>$1,405,524.54</t>
  </si>
  <si>
    <t>$6,641.10</t>
  </si>
  <si>
    <t>1076447</t>
  </si>
  <si>
    <t>COURTNAGE</t>
  </si>
  <si>
    <t>$270,658.15</t>
  </si>
  <si>
    <t>$1,391.63</t>
  </si>
  <si>
    <t>1076512</t>
  </si>
  <si>
    <t>COUSINS</t>
  </si>
  <si>
    <t>06-MAY-1946</t>
  </si>
  <si>
    <t>$55,124.49</t>
  </si>
  <si>
    <t>$267.35</t>
  </si>
  <si>
    <t>1076942</t>
  </si>
  <si>
    <t>C</t>
  </si>
  <si>
    <t>COWMAN</t>
  </si>
  <si>
    <t>$252,761.52</t>
  </si>
  <si>
    <t>1077270</t>
  </si>
  <si>
    <t>ANDREA</t>
  </si>
  <si>
    <t>CRAIG</t>
  </si>
  <si>
    <t>$52,302.55</t>
  </si>
  <si>
    <t>$218.87</t>
  </si>
  <si>
    <t>$241.03</t>
  </si>
  <si>
    <t>1077619</t>
  </si>
  <si>
    <t>HAROLD</t>
  </si>
  <si>
    <t>CRANDALL</t>
  </si>
  <si>
    <t>$729,253.47</t>
  </si>
  <si>
    <t>$3,208.72</t>
  </si>
  <si>
    <t>1078427</t>
  </si>
  <si>
    <t>LENARD</t>
  </si>
  <si>
    <t>CRITTENDEN</t>
  </si>
  <si>
    <t>24-NOV-1950</t>
  </si>
  <si>
    <t>$98,025.17</t>
  </si>
  <si>
    <t>$540.00</t>
  </si>
  <si>
    <t>$431.31</t>
  </si>
  <si>
    <t>1078492</t>
  </si>
  <si>
    <t>NEIL</t>
  </si>
  <si>
    <t>CROCKER</t>
  </si>
  <si>
    <t>$518,490.20</t>
  </si>
  <si>
    <t>$2,333.21</t>
  </si>
  <si>
    <t>1078567</t>
  </si>
  <si>
    <t>NEREE</t>
  </si>
  <si>
    <t>CROISETIERE</t>
  </si>
  <si>
    <t>$163,572.52</t>
  </si>
  <si>
    <t>$772.88</t>
  </si>
  <si>
    <t>1079037</t>
  </si>
  <si>
    <t>HERBERT</t>
  </si>
  <si>
    <t>CROSS</t>
  </si>
  <si>
    <t>$140,077.38</t>
  </si>
  <si>
    <t>$486.77</t>
  </si>
  <si>
    <t>1079862</t>
  </si>
  <si>
    <t>JAIME</t>
  </si>
  <si>
    <t>CULIG</t>
  </si>
  <si>
    <t>$689,103.04</t>
  </si>
  <si>
    <t>$4,846.51</t>
  </si>
  <si>
    <t>$3,342.15</t>
  </si>
  <si>
    <t>1080241</t>
  </si>
  <si>
    <t>DANNY</t>
  </si>
  <si>
    <t>CUNNINGHAM</t>
  </si>
  <si>
    <t>12-MAY-1949</t>
  </si>
  <si>
    <t>$1,014,872.23</t>
  </si>
  <si>
    <t>$4,025.66</t>
  </si>
  <si>
    <t>1080340</t>
  </si>
  <si>
    <t>ESTATE OF SANDRA</t>
  </si>
  <si>
    <t>27-SEP-1948</t>
  </si>
  <si>
    <t>$116,345.66</t>
  </si>
  <si>
    <t>$536.16</t>
  </si>
  <si>
    <t>1080449</t>
  </si>
  <si>
    <t>CURLE</t>
  </si>
  <si>
    <t>$140,975.51</t>
  </si>
  <si>
    <t>$666.11</t>
  </si>
  <si>
    <t>1080514</t>
  </si>
  <si>
    <t>H</t>
  </si>
  <si>
    <t>CURRAN</t>
  </si>
  <si>
    <t>26-JAN-1946</t>
  </si>
  <si>
    <t>$858,329.96</t>
  </si>
  <si>
    <t>$4,162.90</t>
  </si>
  <si>
    <t>1081033</t>
  </si>
  <si>
    <t>CUSHON</t>
  </si>
  <si>
    <t>$1,373,453.89</t>
  </si>
  <si>
    <t>$6,329.33</t>
  </si>
  <si>
    <t>1081355</t>
  </si>
  <si>
    <t>CUZZI SPADA</t>
  </si>
  <si>
    <t>03-AUG-1942</t>
  </si>
  <si>
    <t>$535,599.32</t>
  </si>
  <si>
    <t>$2,936.87</t>
  </si>
  <si>
    <t>1081850</t>
  </si>
  <si>
    <t>DANIEL</t>
  </si>
  <si>
    <t>D'AUTREMONT</t>
  </si>
  <si>
    <t>$1,410,638.12</t>
  </si>
  <si>
    <t>$6,210.00</t>
  </si>
  <si>
    <t>$6,206.81</t>
  </si>
  <si>
    <t>1081918</t>
  </si>
  <si>
    <t>JETTE</t>
  </si>
  <si>
    <t>DA SILVA</t>
  </si>
  <si>
    <t>26-OCT-1949</t>
  </si>
  <si>
    <t>$690,912.66</t>
  </si>
  <si>
    <t>$20,000.00</t>
  </si>
  <si>
    <t>$3,109.11</t>
  </si>
  <si>
    <t>1081926</t>
  </si>
  <si>
    <t>TERENCE</t>
  </si>
  <si>
    <t>08-AUG-1942</t>
  </si>
  <si>
    <t>$306,456.64</t>
  </si>
  <si>
    <t>$1,379.06</t>
  </si>
  <si>
    <t>1082171</t>
  </si>
  <si>
    <t>DAHL</t>
  </si>
  <si>
    <t>$637,078.82</t>
  </si>
  <si>
    <t>$2,866.86</t>
  </si>
  <si>
    <t>1082320</t>
  </si>
  <si>
    <t>ANNE</t>
  </si>
  <si>
    <t>DAHLEM</t>
  </si>
  <si>
    <t>$499,163.29</t>
  </si>
  <si>
    <t>$2,566.53</t>
  </si>
  <si>
    <t>1082973</t>
  </si>
  <si>
    <t>DALLY</t>
  </si>
  <si>
    <t>$169,777.85</t>
  </si>
  <si>
    <t>$782.39</t>
  </si>
  <si>
    <t>1083385</t>
  </si>
  <si>
    <t>DANCHILLA</t>
  </si>
  <si>
    <t>16-MAR-1947</t>
  </si>
  <si>
    <t>$658,259.42</t>
  </si>
  <si>
    <t>$3,110.28</t>
  </si>
  <si>
    <t>1084011</t>
  </si>
  <si>
    <t>ABDUL</t>
  </si>
  <si>
    <t>DAR</t>
  </si>
  <si>
    <t>$422,415.12</t>
  </si>
  <si>
    <t>$1,995.91</t>
  </si>
  <si>
    <t>1084086</t>
  </si>
  <si>
    <t>DARK</t>
  </si>
  <si>
    <t>$1,929,862.58</t>
  </si>
  <si>
    <t>$8,684.38</t>
  </si>
  <si>
    <t>1084136</t>
  </si>
  <si>
    <t>DARROCH</t>
  </si>
  <si>
    <t>$629,794.88</t>
  </si>
  <si>
    <t>$5,500.00</t>
  </si>
  <si>
    <t>$2,975.78</t>
  </si>
  <si>
    <t>1084185</t>
  </si>
  <si>
    <t>DARWENT</t>
  </si>
  <si>
    <t>$754,937.01</t>
  </si>
  <si>
    <t>$2,994.58</t>
  </si>
  <si>
    <t>1084342</t>
  </si>
  <si>
    <t>DASH</t>
  </si>
  <si>
    <t>$401,702.16</t>
  </si>
  <si>
    <t>$1,948.26</t>
  </si>
  <si>
    <t>1084458</t>
  </si>
  <si>
    <t>BEATRIZ</t>
  </si>
  <si>
    <t>DAVALOS</t>
  </si>
  <si>
    <t>$227,461.98</t>
  </si>
  <si>
    <t>$2,540.00</t>
  </si>
  <si>
    <t>$1,103.19</t>
  </si>
  <si>
    <t>1085497</t>
  </si>
  <si>
    <t>LINDEN</t>
  </si>
  <si>
    <t>DAVIS</t>
  </si>
  <si>
    <t>26-APR-1942</t>
  </si>
  <si>
    <t>$8,225.53</t>
  </si>
  <si>
    <t>$45.10</t>
  </si>
  <si>
    <t>1085596</t>
  </si>
  <si>
    <t>$367,202.34</t>
  </si>
  <si>
    <t>$1,550.00</t>
  </si>
  <si>
    <t>$1,615.69</t>
  </si>
  <si>
    <t>1085687</t>
  </si>
  <si>
    <t>$1,103,523.59</t>
  </si>
  <si>
    <t>$4,850.00</t>
  </si>
  <si>
    <t>$4,855.50</t>
  </si>
  <si>
    <t>1085893</t>
  </si>
  <si>
    <t>DAWSON</t>
  </si>
  <si>
    <t>06-OCT-1947</t>
  </si>
  <si>
    <t>$61,331.24</t>
  </si>
  <si>
    <t>$289.79</t>
  </si>
  <si>
    <t>1086172</t>
  </si>
  <si>
    <t>SHELAGH</t>
  </si>
  <si>
    <t>DAY</t>
  </si>
  <si>
    <t>$687,993.31</t>
  </si>
  <si>
    <t>$26,200.00</t>
  </si>
  <si>
    <t>$2,493.98</t>
  </si>
  <si>
    <t>1086594</t>
  </si>
  <si>
    <t>DEACON</t>
  </si>
  <si>
    <t>$153,009.26</t>
  </si>
  <si>
    <t>$705.12</t>
  </si>
  <si>
    <t>1086636</t>
  </si>
  <si>
    <t>DEAGNON</t>
  </si>
  <si>
    <t>$161,543.45</t>
  </si>
  <si>
    <t>$11,000.00</t>
  </si>
  <si>
    <t>$726.95</t>
  </si>
  <si>
    <t>1086727</t>
  </si>
  <si>
    <t xml:space="preserve">EDWARD </t>
  </si>
  <si>
    <t>DEAN</t>
  </si>
  <si>
    <t>$307,446.59</t>
  </si>
  <si>
    <t>$1,352.77</t>
  </si>
  <si>
    <t>1087121</t>
  </si>
  <si>
    <t>DEBRECENI</t>
  </si>
  <si>
    <t>16-MAY-1947</t>
  </si>
  <si>
    <t>$297,115.04</t>
  </si>
  <si>
    <t>$1,403.87</t>
  </si>
  <si>
    <t>1087667</t>
  </si>
  <si>
    <t>MARGUERITE</t>
  </si>
  <si>
    <t>DEGENHART</t>
  </si>
  <si>
    <t>13-MAR-1948</t>
  </si>
  <si>
    <t>$181,775.50</t>
  </si>
  <si>
    <t>$837.68</t>
  </si>
  <si>
    <t>1088228</t>
  </si>
  <si>
    <t>DELAMARE</t>
  </si>
  <si>
    <t>$363,497.34</t>
  </si>
  <si>
    <t>$1,762.96</t>
  </si>
  <si>
    <t>1088236</t>
  </si>
  <si>
    <t>DELANEY</t>
  </si>
  <si>
    <t>$1,371,462.90</t>
  </si>
  <si>
    <t>$4,571.54</t>
  </si>
  <si>
    <t>1088277</t>
  </si>
  <si>
    <t>DELANGHE</t>
  </si>
  <si>
    <t>$625,184.55</t>
  </si>
  <si>
    <t>$2,813.33</t>
  </si>
  <si>
    <t>1088830</t>
  </si>
  <si>
    <t>JEANNENE</t>
  </si>
  <si>
    <t>DEMENCUIK</t>
  </si>
  <si>
    <t>$32,774.73</t>
  </si>
  <si>
    <t>$154.86</t>
  </si>
  <si>
    <t>1089242</t>
  </si>
  <si>
    <t>LLOYD</t>
  </si>
  <si>
    <t>DEMYEN</t>
  </si>
  <si>
    <t>$57,528.41</t>
  </si>
  <si>
    <t>$253.13</t>
  </si>
  <si>
    <t>1089473</t>
  </si>
  <si>
    <t>DENNETT</t>
  </si>
  <si>
    <t>$1,340,257.48</t>
  </si>
  <si>
    <t>$5,316.36</t>
  </si>
  <si>
    <t>1089556</t>
  </si>
  <si>
    <t>BRYANT</t>
  </si>
  <si>
    <t>$1,081,199.71</t>
  </si>
  <si>
    <t>$50,000.00</t>
  </si>
  <si>
    <t>$3,333.70</t>
  </si>
  <si>
    <t>1089770</t>
  </si>
  <si>
    <t>KARL</t>
  </si>
  <si>
    <t>DEPNER</t>
  </si>
  <si>
    <t>$350,684.77</t>
  </si>
  <si>
    <t>$1,578.08</t>
  </si>
  <si>
    <t>1089903</t>
  </si>
  <si>
    <t>MYRTLE</t>
  </si>
  <si>
    <t>DERBOWKA</t>
  </si>
  <si>
    <t>09-DEC-1937</t>
  </si>
  <si>
    <t>$8,787.19</t>
  </si>
  <si>
    <t>$46.57</t>
  </si>
  <si>
    <t>1089952</t>
  </si>
  <si>
    <t>JEANENE</t>
  </si>
  <si>
    <t>DERDALL</t>
  </si>
  <si>
    <t>$223,534.89</t>
  </si>
  <si>
    <t>$983.55</t>
  </si>
  <si>
    <t>1090083</t>
  </si>
  <si>
    <t>ESTATE OF KAREN</t>
  </si>
  <si>
    <t>DERIAN</t>
  </si>
  <si>
    <t>$215,077.73</t>
  </si>
  <si>
    <t>$1,016.24</t>
  </si>
  <si>
    <t>1090414</t>
  </si>
  <si>
    <t>DERY</t>
  </si>
  <si>
    <t>$56,098.72</t>
  </si>
  <si>
    <t>$265.07</t>
  </si>
  <si>
    <t>1091560</t>
  </si>
  <si>
    <t>DETERS</t>
  </si>
  <si>
    <t>$120,145.11</t>
  </si>
  <si>
    <t>$553.67</t>
  </si>
  <si>
    <t>1092022</t>
  </si>
  <si>
    <t>MICHAEL</t>
  </si>
  <si>
    <t>DEY</t>
  </si>
  <si>
    <t>$308,803.43</t>
  </si>
  <si>
    <t>$941.75</t>
  </si>
  <si>
    <t>$952.14</t>
  </si>
  <si>
    <t>1092527</t>
  </si>
  <si>
    <t>PENELLA</t>
  </si>
  <si>
    <t>DICKINSON</t>
  </si>
  <si>
    <t>$92,195.56</t>
  </si>
  <si>
    <t>$447.15</t>
  </si>
  <si>
    <t>1092972</t>
  </si>
  <si>
    <t>DIETRICH</t>
  </si>
  <si>
    <t>$1,623,218.89</t>
  </si>
  <si>
    <t>$6,763.41</t>
  </si>
  <si>
    <t>1093103</t>
  </si>
  <si>
    <t>DIETZ</t>
  </si>
  <si>
    <t>$68,477.12</t>
  </si>
  <si>
    <t>$332.11</t>
  </si>
  <si>
    <t>1093913</t>
  </si>
  <si>
    <t>DITSON</t>
  </si>
  <si>
    <t>$544,654.03</t>
  </si>
  <si>
    <t>$1,892.67</t>
  </si>
  <si>
    <t>1093921</t>
  </si>
  <si>
    <t>RAMAIAH</t>
  </si>
  <si>
    <t>DIVI</t>
  </si>
  <si>
    <t>$41,828.11</t>
  </si>
  <si>
    <t>$88.90</t>
  </si>
  <si>
    <t>$197.64</t>
  </si>
  <si>
    <t>1094549</t>
  </si>
  <si>
    <t>ESTATE OF KEN</t>
  </si>
  <si>
    <t>DOCKING</t>
  </si>
  <si>
    <t>$132,705.12</t>
  </si>
  <si>
    <t>$643.62</t>
  </si>
  <si>
    <t>1095561</t>
  </si>
  <si>
    <t>LOUIS</t>
  </si>
  <si>
    <t>DOMOTOR</t>
  </si>
  <si>
    <t>$471,139.50</t>
  </si>
  <si>
    <t>$2,700.00</t>
  </si>
  <si>
    <t>$2,497.04</t>
  </si>
  <si>
    <t>1096221</t>
  </si>
  <si>
    <t>IVAN</t>
  </si>
  <si>
    <t>DONOVEL</t>
  </si>
  <si>
    <t>$306,588.83</t>
  </si>
  <si>
    <t>$1,486.96</t>
  </si>
  <si>
    <t>1096932</t>
  </si>
  <si>
    <t>ALVIN</t>
  </si>
  <si>
    <t>$164,009.63</t>
  </si>
  <si>
    <t>$755.81</t>
  </si>
  <si>
    <t>1097054</t>
  </si>
  <si>
    <t>FIONA</t>
  </si>
  <si>
    <t>RAMSAY</t>
  </si>
  <si>
    <t>$305,511.76</t>
  </si>
  <si>
    <t>$1,374.80</t>
  </si>
  <si>
    <t>1097104</t>
  </si>
  <si>
    <t>HEATHER</t>
  </si>
  <si>
    <t>05-NOV-1947</t>
  </si>
  <si>
    <t>$336,694.64</t>
  </si>
  <si>
    <t>$1,590.88</t>
  </si>
  <si>
    <t>1097260</t>
  </si>
  <si>
    <t>$1,305,723.45</t>
  </si>
  <si>
    <t>$6,332.76</t>
  </si>
  <si>
    <t>1097831</t>
  </si>
  <si>
    <t>DRAPER</t>
  </si>
  <si>
    <t>24-DEC-1946</t>
  </si>
  <si>
    <t>$32,568.08</t>
  </si>
  <si>
    <t>$157.96</t>
  </si>
  <si>
    <t>1098474</t>
  </si>
  <si>
    <t>DRUMMOND</t>
  </si>
  <si>
    <t>14-JAN-1948</t>
  </si>
  <si>
    <t>$164,320.45</t>
  </si>
  <si>
    <t>$595.66</t>
  </si>
  <si>
    <t>1098573</t>
  </si>
  <si>
    <t>DRYSDALE</t>
  </si>
  <si>
    <t>$218,055.26</t>
  </si>
  <si>
    <t>$959.44</t>
  </si>
  <si>
    <t>1098870</t>
  </si>
  <si>
    <t>LENA</t>
  </si>
  <si>
    <t>DUBRAY</t>
  </si>
  <si>
    <t>$304,730.17</t>
  </si>
  <si>
    <t>$1,404.30</t>
  </si>
  <si>
    <t>1099407</t>
  </si>
  <si>
    <t>SIEGFRIED</t>
  </si>
  <si>
    <t>DUECK</t>
  </si>
  <si>
    <t>21-AUG-1941</t>
  </si>
  <si>
    <t>$134,656.38</t>
  </si>
  <si>
    <t>$650.00</t>
  </si>
  <si>
    <t>$636.25</t>
  </si>
  <si>
    <t>1099431</t>
  </si>
  <si>
    <t>NANCY</t>
  </si>
  <si>
    <t>DUESENER</t>
  </si>
  <si>
    <t>$22,096.17</t>
  </si>
  <si>
    <t>$101.83</t>
  </si>
  <si>
    <t>1099779</t>
  </si>
  <si>
    <t>KATHERINE</t>
  </si>
  <si>
    <t>DUGAN</t>
  </si>
  <si>
    <t>$796,825.35</t>
  </si>
  <si>
    <t>$3,585.71</t>
  </si>
  <si>
    <t>1099993</t>
  </si>
  <si>
    <t>DUKE</t>
  </si>
  <si>
    <t>$157,681.20</t>
  </si>
  <si>
    <t>$930.32</t>
  </si>
  <si>
    <t>1100403</t>
  </si>
  <si>
    <t>ROGER</t>
  </si>
  <si>
    <t>DUMONT</t>
  </si>
  <si>
    <t>$72,289.95</t>
  </si>
  <si>
    <t>$274.10</t>
  </si>
  <si>
    <t>1100528</t>
  </si>
  <si>
    <t>LYNDA</t>
  </si>
  <si>
    <t>DUNBAR</t>
  </si>
  <si>
    <t>$197,033.51</t>
  </si>
  <si>
    <t>$1,013.08</t>
  </si>
  <si>
    <t>1100783</t>
  </si>
  <si>
    <t>DUNCAN</t>
  </si>
  <si>
    <t>$570,274.93</t>
  </si>
  <si>
    <t>$2,566.24</t>
  </si>
  <si>
    <t>1101773</t>
  </si>
  <si>
    <t>DURDEN</t>
  </si>
  <si>
    <t>$686,924.19</t>
  </si>
  <si>
    <t>$3,531.94</t>
  </si>
  <si>
    <t>1102797</t>
  </si>
  <si>
    <t>DYCK</t>
  </si>
  <si>
    <t>$499,222.22</t>
  </si>
  <si>
    <t>$3,200.00</t>
  </si>
  <si>
    <t>$2,487.79</t>
  </si>
  <si>
    <t>1102813</t>
  </si>
  <si>
    <t>JERRY</t>
  </si>
  <si>
    <t>$504,294.76</t>
  </si>
  <si>
    <t>$2,218.90</t>
  </si>
  <si>
    <t>1103886</t>
  </si>
  <si>
    <t>EATON</t>
  </si>
  <si>
    <t>$85,461.06</t>
  </si>
  <si>
    <t>$403.80</t>
  </si>
  <si>
    <t>1104140</t>
  </si>
  <si>
    <t>EBERLE</t>
  </si>
  <si>
    <t>$188,782.05</t>
  </si>
  <si>
    <t>$1,000.55</t>
  </si>
  <si>
    <t>1104736</t>
  </si>
  <si>
    <t>EDGER</t>
  </si>
  <si>
    <t>13-FEB-1948</t>
  </si>
  <si>
    <t>$87,435.77</t>
  </si>
  <si>
    <t>$402.93</t>
  </si>
  <si>
    <t>1104777</t>
  </si>
  <si>
    <t>EDMISON</t>
  </si>
  <si>
    <t>$26,462.17</t>
  </si>
  <si>
    <t>$121.95</t>
  </si>
  <si>
    <t>1104785</t>
  </si>
  <si>
    <t>$324,919.83</t>
  </si>
  <si>
    <t>$1,429.65</t>
  </si>
  <si>
    <t>1105014</t>
  </si>
  <si>
    <t>EDWARDS</t>
  </si>
  <si>
    <t>$361,669.91</t>
  </si>
  <si>
    <t>$1,708.89</t>
  </si>
  <si>
    <t>1105055</t>
  </si>
  <si>
    <t>14-SEP-1949</t>
  </si>
  <si>
    <t>$2,776,638.24</t>
  </si>
  <si>
    <t>$10,065.31</t>
  </si>
  <si>
    <t>1105568</t>
  </si>
  <si>
    <t>JOSIE</t>
  </si>
  <si>
    <t>EHMAN</t>
  </si>
  <si>
    <t>07-AUG-1944</t>
  </si>
  <si>
    <t>$102,409.88</t>
  </si>
  <si>
    <t>$526.56</t>
  </si>
  <si>
    <t>1105618</t>
  </si>
  <si>
    <t>16-NOV-1948</t>
  </si>
  <si>
    <t>$574,918.19</t>
  </si>
  <si>
    <t>$2,750.00</t>
  </si>
  <si>
    <t>$2,649.42</t>
  </si>
  <si>
    <t>1106855</t>
  </si>
  <si>
    <t>CANDACE</t>
  </si>
  <si>
    <t>ELLIOTT</t>
  </si>
  <si>
    <t>$874.58</t>
  </si>
  <si>
    <t>$3.94</t>
  </si>
  <si>
    <t>1107051</t>
  </si>
  <si>
    <t>$182,005.77</t>
  </si>
  <si>
    <t>$907.00</t>
  </si>
  <si>
    <t>1107176</t>
  </si>
  <si>
    <t>ELLIS</t>
  </si>
  <si>
    <t>$322,756.07</t>
  </si>
  <si>
    <t>$1,659.50</t>
  </si>
  <si>
    <t>1107234</t>
  </si>
  <si>
    <t>$1,226,195.75</t>
  </si>
  <si>
    <t>$5,517.88</t>
  </si>
  <si>
    <t>1107689</t>
  </si>
  <si>
    <t>EMIGH</t>
  </si>
  <si>
    <t>$167,111.16</t>
  </si>
  <si>
    <t>$1,073.69</t>
  </si>
  <si>
    <t>1108349</t>
  </si>
  <si>
    <t>MARTA</t>
  </si>
  <si>
    <t>ENGLAND</t>
  </si>
  <si>
    <t>$487,009.44</t>
  </si>
  <si>
    <t>$2,142.84</t>
  </si>
  <si>
    <t>1108505</t>
  </si>
  <si>
    <t>ENGLISH</t>
  </si>
  <si>
    <t>$441,688.54</t>
  </si>
  <si>
    <t>$1,943.43</t>
  </si>
  <si>
    <t>1108943</t>
  </si>
  <si>
    <t>ENSZ</t>
  </si>
  <si>
    <t>$70,229.87</t>
  </si>
  <si>
    <t>$237.50</t>
  </si>
  <si>
    <t>$309.01</t>
  </si>
  <si>
    <t>1109214</t>
  </si>
  <si>
    <t>EPP</t>
  </si>
  <si>
    <t>$527,451.29</t>
  </si>
  <si>
    <t>$1,450.00</t>
  </si>
  <si>
    <t>$2,373.53</t>
  </si>
  <si>
    <t>1109255</t>
  </si>
  <si>
    <t>$157,065.30</t>
  </si>
  <si>
    <t>$706.79</t>
  </si>
  <si>
    <t>1109636</t>
  </si>
  <si>
    <t>ENOS</t>
  </si>
  <si>
    <t>ERICKSON</t>
  </si>
  <si>
    <t>$5,554.10</t>
  </si>
  <si>
    <t>$25.60</t>
  </si>
  <si>
    <t>1109743</t>
  </si>
  <si>
    <t>$376,259.59</t>
  </si>
  <si>
    <t>$1,733.93</t>
  </si>
  <si>
    <t>1110220</t>
  </si>
  <si>
    <t>CAROLYN</t>
  </si>
  <si>
    <t>EROS</t>
  </si>
  <si>
    <t>08-JAN-1949</t>
  </si>
  <si>
    <t>$73,380.68</t>
  </si>
  <si>
    <t>$330.21</t>
  </si>
  <si>
    <t>1110501</t>
  </si>
  <si>
    <t>JEANNIE</t>
  </si>
  <si>
    <t>ESSEY</t>
  </si>
  <si>
    <t>$604,748.69</t>
  </si>
  <si>
    <t>$2,857.44</t>
  </si>
  <si>
    <t>1111004</t>
  </si>
  <si>
    <t>EVANS</t>
  </si>
  <si>
    <t>$737,575.14</t>
  </si>
  <si>
    <t>$3,485.04</t>
  </si>
  <si>
    <t>1111053</t>
  </si>
  <si>
    <t>$319,698.94</t>
  </si>
  <si>
    <t>$1,268.14</t>
  </si>
  <si>
    <t>1111426</t>
  </si>
  <si>
    <t>MURRAY</t>
  </si>
  <si>
    <t>EVERETT</t>
  </si>
  <si>
    <t>17-MAY-1947</t>
  </si>
  <si>
    <t>$10,658.73</t>
  </si>
  <si>
    <t>$160.00</t>
  </si>
  <si>
    <t>$50.36</t>
  </si>
  <si>
    <t>1111566</t>
  </si>
  <si>
    <t>EWART</t>
  </si>
  <si>
    <t>$672,371.84</t>
  </si>
  <si>
    <t>$2,958.44</t>
  </si>
  <si>
    <t>1111715</t>
  </si>
  <si>
    <t>YVETTE</t>
  </si>
  <si>
    <t>EWERT</t>
  </si>
  <si>
    <t>$271,727.13</t>
  </si>
  <si>
    <t>$1,195.60</t>
  </si>
  <si>
    <t>1112663</t>
  </si>
  <si>
    <t>FALCONER</t>
  </si>
  <si>
    <t>15-DEC-1945</t>
  </si>
  <si>
    <t>$38,863.26</t>
  </si>
  <si>
    <t>$193.67</t>
  </si>
  <si>
    <t>1113042</t>
  </si>
  <si>
    <t>FARMER</t>
  </si>
  <si>
    <t>$145,675.71</t>
  </si>
  <si>
    <t>$655.54</t>
  </si>
  <si>
    <t>1113869</t>
  </si>
  <si>
    <t>FAZAKAS</t>
  </si>
  <si>
    <t>20-JUL-1948</t>
  </si>
  <si>
    <t>$17,151.20</t>
  </si>
  <si>
    <t>$79.04</t>
  </si>
  <si>
    <t>1113968</t>
  </si>
  <si>
    <t>FECHO</t>
  </si>
  <si>
    <t>$60,708.86</t>
  </si>
  <si>
    <t>$267.12</t>
  </si>
  <si>
    <t>1114131</t>
  </si>
  <si>
    <t>VINCE</t>
  </si>
  <si>
    <t>FEDOROWICH</t>
  </si>
  <si>
    <t>01-SEP-1950</t>
  </si>
  <si>
    <t>$645,936.48</t>
  </si>
  <si>
    <t>$2,842.12</t>
  </si>
  <si>
    <t>1114644</t>
  </si>
  <si>
    <t>LAURA</t>
  </si>
  <si>
    <t>FEIST</t>
  </si>
  <si>
    <t>12-AUG-1943</t>
  </si>
  <si>
    <t>$18,370.88</t>
  </si>
  <si>
    <t>$97.37</t>
  </si>
  <si>
    <t>1115146</t>
  </si>
  <si>
    <t>FENGSTAD</t>
  </si>
  <si>
    <t>$152,323.63</t>
  </si>
  <si>
    <t>$835.24</t>
  </si>
  <si>
    <t>1115237</t>
  </si>
  <si>
    <t>R</t>
  </si>
  <si>
    <t>FENNIG</t>
  </si>
  <si>
    <t>$389,310.96</t>
  </si>
  <si>
    <t>$1,622.13</t>
  </si>
  <si>
    <t>1115799</t>
  </si>
  <si>
    <t>FERGUSON</t>
  </si>
  <si>
    <t>$106,423.33</t>
  </si>
  <si>
    <t>$7,200.00</t>
  </si>
  <si>
    <t>$468.26</t>
  </si>
  <si>
    <t>1116961</t>
  </si>
  <si>
    <t>DWAINE</t>
  </si>
  <si>
    <t>FIECHTER</t>
  </si>
  <si>
    <t>$115,876.02</t>
  </si>
  <si>
    <t>$521.44</t>
  </si>
  <si>
    <t>1117142</t>
  </si>
  <si>
    <t>TERESA</t>
  </si>
  <si>
    <t>FIELD</t>
  </si>
  <si>
    <t>$23,194.43</t>
  </si>
  <si>
    <t>$112.49</t>
  </si>
  <si>
    <t>1117167</t>
  </si>
  <si>
    <t>HENRY</t>
  </si>
  <si>
    <t>FIELDING</t>
  </si>
  <si>
    <t>$312,676.39</t>
  </si>
  <si>
    <t>$1,477.40</t>
  </si>
  <si>
    <t>1117472</t>
  </si>
  <si>
    <t>EILEEN</t>
  </si>
  <si>
    <t>FILTHAUT</t>
  </si>
  <si>
    <t>$5,104.22</t>
  </si>
  <si>
    <t>$110.00</t>
  </si>
  <si>
    <t>$24.76</t>
  </si>
  <si>
    <t>1117654</t>
  </si>
  <si>
    <t>DENT</t>
  </si>
  <si>
    <t>FINES</t>
  </si>
  <si>
    <t>$1,056,784.95</t>
  </si>
  <si>
    <t>$3,650.00</t>
  </si>
  <si>
    <t>$3,522.62</t>
  </si>
  <si>
    <t>1117837</t>
  </si>
  <si>
    <t>EDITH</t>
  </si>
  <si>
    <t>FINKELDEY</t>
  </si>
  <si>
    <t>$223,484.35</t>
  </si>
  <si>
    <t>$1,083.90</t>
  </si>
  <si>
    <t>1117845</t>
  </si>
  <si>
    <t>ERICH</t>
  </si>
  <si>
    <t>07-DEC-1945</t>
  </si>
  <si>
    <t>$134,714.56</t>
  </si>
  <si>
    <t>$671.33</t>
  </si>
  <si>
    <t>1118371</t>
  </si>
  <si>
    <t>FISCHER</t>
  </si>
  <si>
    <t>15-SEP-1950</t>
  </si>
  <si>
    <t>$551,934.85</t>
  </si>
  <si>
    <t>$2,428.51</t>
  </si>
  <si>
    <t>1119015</t>
  </si>
  <si>
    <t>FISTER</t>
  </si>
  <si>
    <t>$731,048.00</t>
  </si>
  <si>
    <t>$3,289.72</t>
  </si>
  <si>
    <t>1119296</t>
  </si>
  <si>
    <t>FITZSIMMONS</t>
  </si>
  <si>
    <t>$111,598.48</t>
  </si>
  <si>
    <t>$556.13</t>
  </si>
  <si>
    <t>1120161</t>
  </si>
  <si>
    <t>DALE</t>
  </si>
  <si>
    <t>FLETCHER</t>
  </si>
  <si>
    <t>$12,776.53</t>
  </si>
  <si>
    <t>$53.24</t>
  </si>
  <si>
    <t>1120302</t>
  </si>
  <si>
    <t>FLETT</t>
  </si>
  <si>
    <t>$276,029.91</t>
  </si>
  <si>
    <t>$1,375.55</t>
  </si>
  <si>
    <t>1120328</t>
  </si>
  <si>
    <t>FLEURY</t>
  </si>
  <si>
    <t>09-JUN-1940</t>
  </si>
  <si>
    <t>$5,869.39</t>
  </si>
  <si>
    <t>$34.63</t>
  </si>
  <si>
    <t>1120468</t>
  </si>
  <si>
    <t xml:space="preserve">KATHLEEN </t>
  </si>
  <si>
    <t>FLOOD</t>
  </si>
  <si>
    <t>$210,158.80</t>
  </si>
  <si>
    <t>$968.48</t>
  </si>
  <si>
    <t>1120922</t>
  </si>
  <si>
    <t>FOELKL</t>
  </si>
  <si>
    <t>$571,557.94</t>
  </si>
  <si>
    <t>$180.00</t>
  </si>
  <si>
    <t>$2,572.01</t>
  </si>
  <si>
    <t>1121052</t>
  </si>
  <si>
    <t>CONRAD</t>
  </si>
  <si>
    <t>FOLEY</t>
  </si>
  <si>
    <t>$14,938.30</t>
  </si>
  <si>
    <t>$74.44</t>
  </si>
  <si>
    <t>1121417</t>
  </si>
  <si>
    <t>FOLKERSEN</t>
  </si>
  <si>
    <t>17-JUL-1949</t>
  </si>
  <si>
    <t>$138,268.07</t>
  </si>
  <si>
    <t>$622.21</t>
  </si>
  <si>
    <t>1121680</t>
  </si>
  <si>
    <t>ELMER</t>
  </si>
  <si>
    <t>FONTAINE</t>
  </si>
  <si>
    <t>26-AUG-1949</t>
  </si>
  <si>
    <t>$12,447.16</t>
  </si>
  <si>
    <t>$1,151.02</t>
  </si>
  <si>
    <t>$56.01</t>
  </si>
  <si>
    <t>1121888</t>
  </si>
  <si>
    <t>FORBERG</t>
  </si>
  <si>
    <t>$454,926.35</t>
  </si>
  <si>
    <t>$2,206.39</t>
  </si>
  <si>
    <t>1121896</t>
  </si>
  <si>
    <t>FORBES</t>
  </si>
  <si>
    <t>$122,648.72</t>
  </si>
  <si>
    <t>$6,165.30</t>
  </si>
  <si>
    <t>$579.52</t>
  </si>
  <si>
    <t>1122118</t>
  </si>
  <si>
    <t>FORD</t>
  </si>
  <si>
    <t>03-JAN-1947</t>
  </si>
  <si>
    <t>$333,119.74</t>
  </si>
  <si>
    <t>$1,573.99</t>
  </si>
  <si>
    <t>1122787</t>
  </si>
  <si>
    <t>FORSYTHE</t>
  </si>
  <si>
    <t>$441.98</t>
  </si>
  <si>
    <t>$1.99</t>
  </si>
  <si>
    <t>1123199</t>
  </si>
  <si>
    <t>GERRY</t>
  </si>
  <si>
    <t>FOSTER</t>
  </si>
  <si>
    <t>$133,796.00</t>
  </si>
  <si>
    <t>$709.12</t>
  </si>
  <si>
    <t>1123355</t>
  </si>
  <si>
    <t>11-JUN-1945</t>
  </si>
  <si>
    <t>$702,587.46</t>
  </si>
  <si>
    <t>$3,319.73</t>
  </si>
  <si>
    <t>1123710</t>
  </si>
  <si>
    <t>FOWLER</t>
  </si>
  <si>
    <t>$83,450.59</t>
  </si>
  <si>
    <t>$375.53</t>
  </si>
  <si>
    <t>1123843</t>
  </si>
  <si>
    <t>GLADYS</t>
  </si>
  <si>
    <t>FOX</t>
  </si>
  <si>
    <t>$209,814.06</t>
  </si>
  <si>
    <t>$991.37</t>
  </si>
  <si>
    <t>1124031</t>
  </si>
  <si>
    <t>FOY CONNOLLY</t>
  </si>
  <si>
    <t>$454,161.61</t>
  </si>
  <si>
    <t>$2,043.73</t>
  </si>
  <si>
    <t>1124296</t>
  </si>
  <si>
    <t>$489,306.20</t>
  </si>
  <si>
    <t>$2,201.88</t>
  </si>
  <si>
    <t>1124593</t>
  </si>
  <si>
    <t>02-JUL-1947</t>
  </si>
  <si>
    <t>$197,519.35</t>
  </si>
  <si>
    <t>$933.28</t>
  </si>
  <si>
    <t>1124981</t>
  </si>
  <si>
    <t>FRANZ</t>
  </si>
  <si>
    <t>$15,570.96</t>
  </si>
  <si>
    <t>$61.77</t>
  </si>
  <si>
    <t>1125756</t>
  </si>
  <si>
    <t>AGNES</t>
  </si>
  <si>
    <t>FREDERICKS</t>
  </si>
  <si>
    <t>$231,567.76</t>
  </si>
  <si>
    <t>$1,018.90</t>
  </si>
  <si>
    <t>1125897</t>
  </si>
  <si>
    <t>FREEDMAN</t>
  </si>
  <si>
    <t>$265,758.89</t>
  </si>
  <si>
    <t>$1,195.92</t>
  </si>
  <si>
    <t>1126291</t>
  </si>
  <si>
    <t>COLLEEN</t>
  </si>
  <si>
    <t>FRENCH</t>
  </si>
  <si>
    <t>11-AUG-1949</t>
  </si>
  <si>
    <t>$193,388.54</t>
  </si>
  <si>
    <t>$850.91</t>
  </si>
  <si>
    <t>1126309</t>
  </si>
  <si>
    <t>$247,741.09</t>
  </si>
  <si>
    <t>$1,234.58</t>
  </si>
  <si>
    <t>1126630</t>
  </si>
  <si>
    <t>MARCIA</t>
  </si>
  <si>
    <t>FRID</t>
  </si>
  <si>
    <t>$292,692.16</t>
  </si>
  <si>
    <t>$1,087.00</t>
  </si>
  <si>
    <t>$1,287.85</t>
  </si>
  <si>
    <t>1126796</t>
  </si>
  <si>
    <t>FRIEL</t>
  </si>
  <si>
    <t>07-AUG-1950</t>
  </si>
  <si>
    <t>$28,615.61</t>
  </si>
  <si>
    <t>$350.00</t>
  </si>
  <si>
    <t>$125.91</t>
  </si>
  <si>
    <t>1127216</t>
  </si>
  <si>
    <t>KAETHIE</t>
  </si>
  <si>
    <t>FRIESEN</t>
  </si>
  <si>
    <t>$432,709.50</t>
  </si>
  <si>
    <t>$1,903.92</t>
  </si>
  <si>
    <t>1127596</t>
  </si>
  <si>
    <t>DAWN</t>
  </si>
  <si>
    <t>FRIGGSTAD</t>
  </si>
  <si>
    <t>$11,405.87</t>
  </si>
  <si>
    <t>$1,040.00</t>
  </si>
  <si>
    <t>$50.19</t>
  </si>
  <si>
    <t>1127794</t>
  </si>
  <si>
    <t>BAZIL</t>
  </si>
  <si>
    <t>FRITZ</t>
  </si>
  <si>
    <t>$207,537.32</t>
  </si>
  <si>
    <t>$913.16</t>
  </si>
  <si>
    <t>1127844</t>
  </si>
  <si>
    <t>$558,568.96</t>
  </si>
  <si>
    <t>$36,000.00</t>
  </si>
  <si>
    <t>$2,574.07</t>
  </si>
  <si>
    <t>1127893</t>
  </si>
  <si>
    <t>LORRAINE</t>
  </si>
  <si>
    <t>FRITZKE</t>
  </si>
  <si>
    <t>$142,636.59</t>
  </si>
  <si>
    <t>$710.81</t>
  </si>
  <si>
    <t>1128578</t>
  </si>
  <si>
    <t>KARSTEN</t>
  </si>
  <si>
    <t>FRYDENLUND</t>
  </si>
  <si>
    <t>06-SEP-1947</t>
  </si>
  <si>
    <t>$15,265.12</t>
  </si>
  <si>
    <t>$72.13</t>
  </si>
  <si>
    <t>1129220</t>
  </si>
  <si>
    <t>FUNK</t>
  </si>
  <si>
    <t>$113,703.41</t>
  </si>
  <si>
    <t>$278.57</t>
  </si>
  <si>
    <t>1129493</t>
  </si>
  <si>
    <t>Z</t>
  </si>
  <si>
    <t>WALLIS</t>
  </si>
  <si>
    <t>$378,121.54</t>
  </si>
  <si>
    <t>$1,663.74</t>
  </si>
  <si>
    <t>1129592</t>
  </si>
  <si>
    <t>LORNA DAWN</t>
  </si>
  <si>
    <t>FYKE</t>
  </si>
  <si>
    <t>$74,904.66</t>
  </si>
  <si>
    <t>$410.73</t>
  </si>
  <si>
    <t>1130178</t>
  </si>
  <si>
    <t>GAETZ</t>
  </si>
  <si>
    <t>$529,709.55</t>
  </si>
  <si>
    <t>$2,639.72</t>
  </si>
  <si>
    <t>1130210</t>
  </si>
  <si>
    <t>ALYCE</t>
  </si>
  <si>
    <t>GAGNE</t>
  </si>
  <si>
    <t>28-MAY-1939</t>
  </si>
  <si>
    <t>$56,982.20</t>
  </si>
  <si>
    <t>$350.44</t>
  </si>
  <si>
    <t>1130434</t>
  </si>
  <si>
    <t>GALATIUK</t>
  </si>
  <si>
    <t>$241,038.20</t>
  </si>
  <si>
    <t>$1,084.67</t>
  </si>
  <si>
    <t>1131010</t>
  </si>
  <si>
    <t>GALLANT</t>
  </si>
  <si>
    <t>$289,356.90</t>
  </si>
  <si>
    <t>$1,367.21</t>
  </si>
  <si>
    <t>1131812</t>
  </si>
  <si>
    <t>GARCHINSKI</t>
  </si>
  <si>
    <t>$87,126.10</t>
  </si>
  <si>
    <t>$447.97</t>
  </si>
  <si>
    <t>1132257</t>
  </si>
  <si>
    <t>MARION</t>
  </si>
  <si>
    <t>GARDNER</t>
  </si>
  <si>
    <t>$120,112.57</t>
  </si>
  <si>
    <t>$500.47</t>
  </si>
  <si>
    <t>1132547</t>
  </si>
  <si>
    <t>RICK</t>
  </si>
  <si>
    <t>GARNIER</t>
  </si>
  <si>
    <t>$80,811.58</t>
  </si>
  <si>
    <t>$240.41</t>
  </si>
  <si>
    <t>1133537</t>
  </si>
  <si>
    <t>LAURIER</t>
  </si>
  <si>
    <t>GAUDET</t>
  </si>
  <si>
    <t>$183,922.26</t>
  </si>
  <si>
    <t>$869.03</t>
  </si>
  <si>
    <t>1133628</t>
  </si>
  <si>
    <t>GAUDETTE</t>
  </si>
  <si>
    <t>$68,115.58</t>
  </si>
  <si>
    <t>$350.23</t>
  </si>
  <si>
    <t>1133701</t>
  </si>
  <si>
    <t>GAULT</t>
  </si>
  <si>
    <t>$1,107,579.26</t>
  </si>
  <si>
    <t>$4,984.11</t>
  </si>
  <si>
    <t>1134014</t>
  </si>
  <si>
    <t>RONDA</t>
  </si>
  <si>
    <t>GAY</t>
  </si>
  <si>
    <t>$841,098.44</t>
  </si>
  <si>
    <t>$3,974.19</t>
  </si>
  <si>
    <t>1135037</t>
  </si>
  <si>
    <t>GELLNER</t>
  </si>
  <si>
    <t>$37,059.62</t>
  </si>
  <si>
    <t>$184.68</t>
  </si>
  <si>
    <t>1135045</t>
  </si>
  <si>
    <t>$98,119.19</t>
  </si>
  <si>
    <t>$340.00</t>
  </si>
  <si>
    <t>$463.61</t>
  </si>
  <si>
    <t>1135425</t>
  </si>
  <si>
    <t>GENEST</t>
  </si>
  <si>
    <t>21-DEC-1945</t>
  </si>
  <si>
    <t>$16,159.81</t>
  </si>
  <si>
    <t>$74.47</t>
  </si>
  <si>
    <t>1135466</t>
  </si>
  <si>
    <t>GENT</t>
  </si>
  <si>
    <t>$665,428.25</t>
  </si>
  <si>
    <t>$3,066.52</t>
  </si>
  <si>
    <t>1136068</t>
  </si>
  <si>
    <t>GEREIN</t>
  </si>
  <si>
    <t>$279,271.17</t>
  </si>
  <si>
    <t>$1,228.79</t>
  </si>
  <si>
    <t>1136134</t>
  </si>
  <si>
    <t>LEONA</t>
  </si>
  <si>
    <t>GERES</t>
  </si>
  <si>
    <t>16-MAR-1940</t>
  </si>
  <si>
    <t>$144,198.67</t>
  </si>
  <si>
    <t>$850.77</t>
  </si>
  <si>
    <t>1136167</t>
  </si>
  <si>
    <t>GERGELY</t>
  </si>
  <si>
    <t>$488,179.03</t>
  </si>
  <si>
    <t>$2,034.08</t>
  </si>
  <si>
    <t>1136290</t>
  </si>
  <si>
    <t>GERMAIN</t>
  </si>
  <si>
    <t>11-FEB-1947</t>
  </si>
  <si>
    <t>$375,091.77</t>
  </si>
  <si>
    <t>$1,772.31</t>
  </si>
  <si>
    <t>1136639</t>
  </si>
  <si>
    <t>GERTZ</t>
  </si>
  <si>
    <t>$316,996.99</t>
  </si>
  <si>
    <t>$1,394.79</t>
  </si>
  <si>
    <t>1136720</t>
  </si>
  <si>
    <t>GERVAIS</t>
  </si>
  <si>
    <t>$169,732.27</t>
  </si>
  <si>
    <t>$615.28</t>
  </si>
  <si>
    <t>1137223</t>
  </si>
  <si>
    <t>KEFELA</t>
  </si>
  <si>
    <t>GHEBRE</t>
  </si>
  <si>
    <t>$84,939.62</t>
  </si>
  <si>
    <t>$336.93</t>
  </si>
  <si>
    <t>1137488</t>
  </si>
  <si>
    <t>GIBBON</t>
  </si>
  <si>
    <t>25-JUL-1942</t>
  </si>
  <si>
    <t>$113,909.03</t>
  </si>
  <si>
    <t>$624.60</t>
  </si>
  <si>
    <t>1137587</t>
  </si>
  <si>
    <t>GIBBS</t>
  </si>
  <si>
    <t>$536,697.78</t>
  </si>
  <si>
    <t>$2,034.98</t>
  </si>
  <si>
    <t>1137843</t>
  </si>
  <si>
    <t>GIBSON</t>
  </si>
  <si>
    <t>$476,481.16</t>
  </si>
  <si>
    <t>$2,195.78</t>
  </si>
  <si>
    <t>1138205</t>
  </si>
  <si>
    <t>ELIZABETH</t>
  </si>
  <si>
    <t>GIENI</t>
  </si>
  <si>
    <t>$44,805.15</t>
  </si>
  <si>
    <t>$223.28</t>
  </si>
  <si>
    <t>1138353</t>
  </si>
  <si>
    <t>GIESBRECHT</t>
  </si>
  <si>
    <t>$229,527.75</t>
  </si>
  <si>
    <t>$1,032.88</t>
  </si>
  <si>
    <t>1138700</t>
  </si>
  <si>
    <t>CHRISTOPHER</t>
  </si>
  <si>
    <t>GILBOY</t>
  </si>
  <si>
    <t>$113,151.42</t>
  </si>
  <si>
    <t>$410.17</t>
  </si>
  <si>
    <t>1139500</t>
  </si>
  <si>
    <t>GILMOUR</t>
  </si>
  <si>
    <t>$125,722.20</t>
  </si>
  <si>
    <t>$553.18</t>
  </si>
  <si>
    <t>1139682</t>
  </si>
  <si>
    <t>JOANNE</t>
  </si>
  <si>
    <t>GINGRAS</t>
  </si>
  <si>
    <t>$224,611.73</t>
  </si>
  <si>
    <t>$1,275.00</t>
  </si>
  <si>
    <t>$988.29</t>
  </si>
  <si>
    <t>1139922</t>
  </si>
  <si>
    <t>GIRODAT</t>
  </si>
  <si>
    <t>$275,168.27</t>
  </si>
  <si>
    <t>$1,238.26</t>
  </si>
  <si>
    <t>1140078</t>
  </si>
  <si>
    <t>GIRVAN</t>
  </si>
  <si>
    <t>02-JUL-1948</t>
  </si>
  <si>
    <t>$105,199.44</t>
  </si>
  <si>
    <t>$417.29</t>
  </si>
  <si>
    <t>1140136</t>
  </si>
  <si>
    <t>GJOSUND</t>
  </si>
  <si>
    <t>$439,324.45</t>
  </si>
  <si>
    <t>$1,830.52</t>
  </si>
  <si>
    <t>1140268</t>
  </si>
  <si>
    <t>ODELIA</t>
  </si>
  <si>
    <t>GLAS</t>
  </si>
  <si>
    <t>$120,195.01</t>
  </si>
  <si>
    <t>$553.90</t>
  </si>
  <si>
    <t>1140573</t>
  </si>
  <si>
    <t>DOUG</t>
  </si>
  <si>
    <t>GLAZER</t>
  </si>
  <si>
    <t>18-AUG-1949</t>
  </si>
  <si>
    <t>$349,026.67</t>
  </si>
  <si>
    <t>$1,384.47</t>
  </si>
  <si>
    <t>1140821</t>
  </si>
  <si>
    <t>GLOMBOWSKI</t>
  </si>
  <si>
    <t>$206,072.72</t>
  </si>
  <si>
    <t>$12,000.00</t>
  </si>
  <si>
    <t>$1,171.18</t>
  </si>
  <si>
    <t>1140847</t>
  </si>
  <si>
    <t>ELEANOR</t>
  </si>
  <si>
    <t>GLOR</t>
  </si>
  <si>
    <t>13-JUN-1946</t>
  </si>
  <si>
    <t>$887,590.35</t>
  </si>
  <si>
    <t>$4,304.81</t>
  </si>
  <si>
    <t>1141167</t>
  </si>
  <si>
    <t>ESTATE OF SCOTT</t>
  </si>
  <si>
    <t>GODDARD</t>
  </si>
  <si>
    <t>18-JUN-1950</t>
  </si>
  <si>
    <t>$457.54</t>
  </si>
  <si>
    <t>$2.01</t>
  </si>
  <si>
    <t>1141712</t>
  </si>
  <si>
    <t>TEN</t>
  </si>
  <si>
    <t>GOH</t>
  </si>
  <si>
    <t>$2,347,235.19</t>
  </si>
  <si>
    <t>$11,384.09</t>
  </si>
  <si>
    <t>1142058</t>
  </si>
  <si>
    <t>GOLUK</t>
  </si>
  <si>
    <t>18-JUN-1946</t>
  </si>
  <si>
    <t>$63,292.36</t>
  </si>
  <si>
    <t>$306.97</t>
  </si>
  <si>
    <t>1142140</t>
  </si>
  <si>
    <t>INES</t>
  </si>
  <si>
    <t>GONZALEZ</t>
  </si>
  <si>
    <t>21-MAY-1942</t>
  </si>
  <si>
    <t>$665.75</t>
  </si>
  <si>
    <t>$3.65</t>
  </si>
  <si>
    <t>1142520</t>
  </si>
  <si>
    <t>CHERYL</t>
  </si>
  <si>
    <t>GOODWIN</t>
  </si>
  <si>
    <t>06-DEC-1950</t>
  </si>
  <si>
    <t>$505,782.80</t>
  </si>
  <si>
    <t>$2,225.44</t>
  </si>
  <si>
    <t>1142546</t>
  </si>
  <si>
    <t>HEDY</t>
  </si>
  <si>
    <t>$504,905.68</t>
  </si>
  <si>
    <t>$2,385.68</t>
  </si>
  <si>
    <t>1142702</t>
  </si>
  <si>
    <t>HELEN</t>
  </si>
  <si>
    <t>GORDER</t>
  </si>
  <si>
    <t>$140,097.17</t>
  </si>
  <si>
    <t>$555.72</t>
  </si>
  <si>
    <t>1143569</t>
  </si>
  <si>
    <t>ROY</t>
  </si>
  <si>
    <t>GOSSELIN</t>
  </si>
  <si>
    <t>19-NOV-1946</t>
  </si>
  <si>
    <t>$5,884.86</t>
  </si>
  <si>
    <t>$28.54</t>
  </si>
  <si>
    <t>1143593</t>
  </si>
  <si>
    <t>$703,808.42</t>
  </si>
  <si>
    <t>$3,167.14</t>
  </si>
  <si>
    <t>1143627</t>
  </si>
  <si>
    <t>GOSSEN</t>
  </si>
  <si>
    <t>12-MAY-1945</t>
  </si>
  <si>
    <t>$148,311.02</t>
  </si>
  <si>
    <t>$739.08</t>
  </si>
  <si>
    <t>1143791</t>
  </si>
  <si>
    <t>MARIANNE</t>
  </si>
  <si>
    <t>GOTTSELIG</t>
  </si>
  <si>
    <t>$72,004.71</t>
  </si>
  <si>
    <t>$324.02</t>
  </si>
  <si>
    <t>1143940</t>
  </si>
  <si>
    <t>GOULD</t>
  </si>
  <si>
    <t>$844,796.91</t>
  </si>
  <si>
    <t>$4,097.27</t>
  </si>
  <si>
    <t>1144070</t>
  </si>
  <si>
    <t>GOULET</t>
  </si>
  <si>
    <t>$601,783.99</t>
  </si>
  <si>
    <t>$2,918.65</t>
  </si>
  <si>
    <t>1144195</t>
  </si>
  <si>
    <t>RUSSELL</t>
  </si>
  <si>
    <t>GOWAN</t>
  </si>
  <si>
    <t>$498,347.76</t>
  </si>
  <si>
    <t>$2,483.43</t>
  </si>
  <si>
    <t>1144724</t>
  </si>
  <si>
    <t>GRAHAM</t>
  </si>
  <si>
    <t>$56,963.62</t>
  </si>
  <si>
    <t>$250.64</t>
  </si>
  <si>
    <t>1144732</t>
  </si>
  <si>
    <t>$1,305,067.84</t>
  </si>
  <si>
    <t>$4,948.38</t>
  </si>
  <si>
    <t>1144914</t>
  </si>
  <si>
    <t>RODERICK</t>
  </si>
  <si>
    <t>$390,404.99</t>
  </si>
  <si>
    <t>$1,844.66</t>
  </si>
  <si>
    <t>1146117</t>
  </si>
  <si>
    <t>GRAY</t>
  </si>
  <si>
    <t>$1,090,007.37</t>
  </si>
  <si>
    <t>$4,905.03</t>
  </si>
  <si>
    <t>1146166</t>
  </si>
  <si>
    <t>$496,761.08</t>
  </si>
  <si>
    <t>$2,235.43</t>
  </si>
  <si>
    <t>1146224</t>
  </si>
  <si>
    <t xml:space="preserve">JANET </t>
  </si>
  <si>
    <t>$53,713.10</t>
  </si>
  <si>
    <t>$247.53</t>
  </si>
  <si>
    <t>1146521</t>
  </si>
  <si>
    <t>GRAYBIEL</t>
  </si>
  <si>
    <t>$1,875,601.13</t>
  </si>
  <si>
    <t>$7,504.00</t>
  </si>
  <si>
    <t>$8,643.40</t>
  </si>
  <si>
    <t>1147131</t>
  </si>
  <si>
    <t>GREENLAW</t>
  </si>
  <si>
    <t>$293,445.44</t>
  </si>
  <si>
    <t>$1,352.29</t>
  </si>
  <si>
    <t>1147792</t>
  </si>
  <si>
    <t>GRESS</t>
  </si>
  <si>
    <t>$156,190.78</t>
  </si>
  <si>
    <t>$719.78</t>
  </si>
  <si>
    <t>1148337</t>
  </si>
  <si>
    <t>GRIFFITHS</t>
  </si>
  <si>
    <t>$566,377.98</t>
  </si>
  <si>
    <t>$2,492.06</t>
  </si>
  <si>
    <t>1148782</t>
  </si>
  <si>
    <t>LUCY</t>
  </si>
  <si>
    <t>GROB</t>
  </si>
  <si>
    <t>14-SEP-1945</t>
  </si>
  <si>
    <t>$491,560.83</t>
  </si>
  <si>
    <t>$2,449.61</t>
  </si>
  <si>
    <t>1148923</t>
  </si>
  <si>
    <t>GROFF</t>
  </si>
  <si>
    <t>02-JUL-1950</t>
  </si>
  <si>
    <t>$614,486.66</t>
  </si>
  <si>
    <t>$3,400.00</t>
  </si>
  <si>
    <t>$2,560.36</t>
  </si>
  <si>
    <t>1149202</t>
  </si>
  <si>
    <t>GROSSE</t>
  </si>
  <si>
    <t>$1,947,796.66</t>
  </si>
  <si>
    <t>$11,069.98</t>
  </si>
  <si>
    <t>1149236</t>
  </si>
  <si>
    <t>GROSSKLEG</t>
  </si>
  <si>
    <t>$512,535.47</t>
  </si>
  <si>
    <t>$2,361.93</t>
  </si>
  <si>
    <t>1149442</t>
  </si>
  <si>
    <t>ERIKA</t>
  </si>
  <si>
    <t>GRUDE</t>
  </si>
  <si>
    <t>04-MAY-1947</t>
  </si>
  <si>
    <t>$260,334.84</t>
  </si>
  <si>
    <t>$1,230.08</t>
  </si>
  <si>
    <t>1149640</t>
  </si>
  <si>
    <t>FERNANDA</t>
  </si>
  <si>
    <t>GRUSZKA</t>
  </si>
  <si>
    <t>22-NOV-1946</t>
  </si>
  <si>
    <t>$1,621,298.36</t>
  </si>
  <si>
    <t>$150,000.00</t>
  </si>
  <si>
    <t>$7,471.48</t>
  </si>
  <si>
    <t>1149830</t>
  </si>
  <si>
    <t>DARLINE</t>
  </si>
  <si>
    <t>GUBBE</t>
  </si>
  <si>
    <t>$169,336.67</t>
  </si>
  <si>
    <t>$762.02</t>
  </si>
  <si>
    <t>1149921</t>
  </si>
  <si>
    <t>ERNEST</t>
  </si>
  <si>
    <t>GUDMUNDSON</t>
  </si>
  <si>
    <t>$636,164.35</t>
  </si>
  <si>
    <t>$2,862.74</t>
  </si>
  <si>
    <t>1149970</t>
  </si>
  <si>
    <t>BOB</t>
  </si>
  <si>
    <t>GUEST</t>
  </si>
  <si>
    <t>22-MAR-1950</t>
  </si>
  <si>
    <t>$110,495.15</t>
  </si>
  <si>
    <t>$0.00</t>
  </si>
  <si>
    <t>$486.18</t>
  </si>
  <si>
    <t>1150143</t>
  </si>
  <si>
    <t>$55,619.55</t>
  </si>
  <si>
    <t>$275.00</t>
  </si>
  <si>
    <t>$277.17</t>
  </si>
  <si>
    <t>1150697</t>
  </si>
  <si>
    <t>ELLEN</t>
  </si>
  <si>
    <t>GUNN</t>
  </si>
  <si>
    <t>$1,105,127.47</t>
  </si>
  <si>
    <t>$6,250.00</t>
  </si>
  <si>
    <t>$4,862.56</t>
  </si>
  <si>
    <t>1151331</t>
  </si>
  <si>
    <t>GUTEK</t>
  </si>
  <si>
    <t>18-FEB-1950</t>
  </si>
  <si>
    <t>$191,116.09</t>
  </si>
  <si>
    <t>$840.91</t>
  </si>
  <si>
    <t>1152313</t>
  </si>
  <si>
    <t>HADDOW</t>
  </si>
  <si>
    <t>$969,024.14</t>
  </si>
  <si>
    <t>$3,674.22</t>
  </si>
  <si>
    <t>1152354</t>
  </si>
  <si>
    <t>GENE</t>
  </si>
  <si>
    <t>HADLAND</t>
  </si>
  <si>
    <t>07-FEB-1948</t>
  </si>
  <si>
    <t>$234,930.11</t>
  </si>
  <si>
    <t>$1,082.64</t>
  </si>
  <si>
    <t>1152370</t>
  </si>
  <si>
    <t>$47,168.11</t>
  </si>
  <si>
    <t>$207.54</t>
  </si>
  <si>
    <t>1152552</t>
  </si>
  <si>
    <t>HAGAN</t>
  </si>
  <si>
    <t>$312,533.33</t>
  </si>
  <si>
    <t>$1,375.15</t>
  </si>
  <si>
    <t>1152800</t>
  </si>
  <si>
    <t>HAGERTY</t>
  </si>
  <si>
    <t>12-SEP-1946</t>
  </si>
  <si>
    <t>$1,288,842.08</t>
  </si>
  <si>
    <t>$6,250.88</t>
  </si>
  <si>
    <t>1153071</t>
  </si>
  <si>
    <t>HAIDL</t>
  </si>
  <si>
    <t>05-SEP-1945</t>
  </si>
  <si>
    <t>$817,122.03</t>
  </si>
  <si>
    <t>$4,071.99</t>
  </si>
  <si>
    <t>1153881</t>
  </si>
  <si>
    <t>HALL</t>
  </si>
  <si>
    <t>$998,829.88</t>
  </si>
  <si>
    <t>$4,494.73</t>
  </si>
  <si>
    <t>1154046</t>
  </si>
  <si>
    <t>GAYLE</t>
  </si>
  <si>
    <t>$158,006.57</t>
  </si>
  <si>
    <t>$695.23</t>
  </si>
  <si>
    <t>1154152</t>
  </si>
  <si>
    <t>LILA</t>
  </si>
  <si>
    <t>$226,992.64</t>
  </si>
  <si>
    <t>$1,021.47</t>
  </si>
  <si>
    <t>1154251</t>
  </si>
  <si>
    <t>$500,201.96</t>
  </si>
  <si>
    <t>$2,250.91</t>
  </si>
  <si>
    <t>1154384</t>
  </si>
  <si>
    <t>HALLADAY</t>
  </si>
  <si>
    <t>$23,042.78</t>
  </si>
  <si>
    <t>$106.19</t>
  </si>
  <si>
    <t>1154467</t>
  </si>
  <si>
    <t>HALLDEN</t>
  </si>
  <si>
    <t>$120,516.18</t>
  </si>
  <si>
    <t>$530.27</t>
  </si>
  <si>
    <t>1154723</t>
  </si>
  <si>
    <t>HALPEN</t>
  </si>
  <si>
    <t>21-JUL-1940</t>
  </si>
  <si>
    <t>$28,029.49</t>
  </si>
  <si>
    <t>$165.37</t>
  </si>
  <si>
    <t>1154806</t>
  </si>
  <si>
    <t>HALTER</t>
  </si>
  <si>
    <t>$408,211.38</t>
  </si>
  <si>
    <t>$1,881.17</t>
  </si>
  <si>
    <t>1155217</t>
  </si>
  <si>
    <t>TYNDALE</t>
  </si>
  <si>
    <t>$1,455,645.56</t>
  </si>
  <si>
    <t>$5,774.06</t>
  </si>
  <si>
    <t>1155225</t>
  </si>
  <si>
    <t>CHARLENE</t>
  </si>
  <si>
    <t>HAMILL</t>
  </si>
  <si>
    <t>$288,643.43</t>
  </si>
  <si>
    <t>$1,270.03</t>
  </si>
  <si>
    <t>1155241</t>
  </si>
  <si>
    <t>16-MAR-1949</t>
  </si>
  <si>
    <t>$459,176.07</t>
  </si>
  <si>
    <t>$2,066.29</t>
  </si>
  <si>
    <t>1155548</t>
  </si>
  <si>
    <t>GRANT</t>
  </si>
  <si>
    <t>HAMILTON</t>
  </si>
  <si>
    <t>$336,616.25</t>
  </si>
  <si>
    <t>$1,169.74</t>
  </si>
  <si>
    <t>1155639</t>
  </si>
  <si>
    <t>$506,378.85</t>
  </si>
  <si>
    <t>$2,278.71</t>
  </si>
  <si>
    <t>1155712</t>
  </si>
  <si>
    <t>02-APR-1948</t>
  </si>
  <si>
    <t>$182,976.58</t>
  </si>
  <si>
    <t>$843.22</t>
  </si>
  <si>
    <t>1156108</t>
  </si>
  <si>
    <t>F</t>
  </si>
  <si>
    <t>HAMMOND</t>
  </si>
  <si>
    <t>$193,894.00</t>
  </si>
  <si>
    <t>$982.66</t>
  </si>
  <si>
    <t>$1,305.55</t>
  </si>
  <si>
    <t>1156116</t>
  </si>
  <si>
    <t>FREDDY</t>
  </si>
  <si>
    <t>$97,312.55</t>
  </si>
  <si>
    <t>$448.45</t>
  </si>
  <si>
    <t>1156876</t>
  </si>
  <si>
    <t>HANNA</t>
  </si>
  <si>
    <t>$338,614.63</t>
  </si>
  <si>
    <t>$1,310.00</t>
  </si>
  <si>
    <t>$1,489.90</t>
  </si>
  <si>
    <t>1157148</t>
  </si>
  <si>
    <t>HANSEN</t>
  </si>
  <si>
    <t>$353,378.91</t>
  </si>
  <si>
    <t>$1,669.72</t>
  </si>
  <si>
    <t>1157437</t>
  </si>
  <si>
    <t>$60,542.04</t>
  </si>
  <si>
    <t>$286.06</t>
  </si>
  <si>
    <t>1157940</t>
  </si>
  <si>
    <t>HANSON</t>
  </si>
  <si>
    <t>$332,936.42</t>
  </si>
  <si>
    <t>$1,573.13</t>
  </si>
  <si>
    <t>1158252</t>
  </si>
  <si>
    <t>WESLEY</t>
  </si>
  <si>
    <t>$254,950.16</t>
  </si>
  <si>
    <t>$1,204.64</t>
  </si>
  <si>
    <t>1158385</t>
  </si>
  <si>
    <t>HARASYM</t>
  </si>
  <si>
    <t>$848,095.10</t>
  </si>
  <si>
    <t>$4,226.34</t>
  </si>
  <si>
    <t>1158468</t>
  </si>
  <si>
    <t>HARBOTTLE</t>
  </si>
  <si>
    <t>$687,277.97</t>
  </si>
  <si>
    <t>$2,900.00</t>
  </si>
  <si>
    <t>$3,092.75</t>
  </si>
  <si>
    <t>1159201</t>
  </si>
  <si>
    <t>JACQUELINE</t>
  </si>
  <si>
    <t>HARLE</t>
  </si>
  <si>
    <t>$107,775.30</t>
  </si>
  <si>
    <t>$484.99</t>
  </si>
  <si>
    <t>1159425</t>
  </si>
  <si>
    <t>HARMON</t>
  </si>
  <si>
    <t>12-NOV-1949</t>
  </si>
  <si>
    <t>$96,970.47</t>
  </si>
  <si>
    <t>$436.37</t>
  </si>
  <si>
    <t>1159573</t>
  </si>
  <si>
    <t>HARNISH</t>
  </si>
  <si>
    <t>$1,093,218.12</t>
  </si>
  <si>
    <t>$4,919.48</t>
  </si>
  <si>
    <t>1159680</t>
  </si>
  <si>
    <t>HARPER</t>
  </si>
  <si>
    <t>$832,019.91</t>
  </si>
  <si>
    <t>$4,700.00</t>
  </si>
  <si>
    <t>$3,744.09</t>
  </si>
  <si>
    <t>1159748</t>
  </si>
  <si>
    <t>30-OCT-1950</t>
  </si>
  <si>
    <t>$475,729.84</t>
  </si>
  <si>
    <t>$2,350.00</t>
  </si>
  <si>
    <t>$2,093.21</t>
  </si>
  <si>
    <t>1159755</t>
  </si>
  <si>
    <t>MERRY</t>
  </si>
  <si>
    <t>$313,430.38</t>
  </si>
  <si>
    <t>$1,695.00</t>
  </si>
  <si>
    <t>$1,444.39</t>
  </si>
  <si>
    <t>1159789</t>
  </si>
  <si>
    <t>$16,015.44</t>
  </si>
  <si>
    <t>$87.82</t>
  </si>
  <si>
    <t>1160381</t>
  </si>
  <si>
    <t>HARRISON</t>
  </si>
  <si>
    <t>$94,764.56</t>
  </si>
  <si>
    <t>$416.96</t>
  </si>
  <si>
    <t>1160530</t>
  </si>
  <si>
    <t>HARVEY</t>
  </si>
  <si>
    <t>26-FEB-1946</t>
  </si>
  <si>
    <t>$321,632.58</t>
  </si>
  <si>
    <t>$1,519.71</t>
  </si>
  <si>
    <t>1160621</t>
  </si>
  <si>
    <t>$72,808.50</t>
  </si>
  <si>
    <t>$320.36</t>
  </si>
  <si>
    <t>1160704</t>
  </si>
  <si>
    <t>$26,672.42</t>
  </si>
  <si>
    <t>$122.92</t>
  </si>
  <si>
    <t>1160902</t>
  </si>
  <si>
    <t>HART</t>
  </si>
  <si>
    <t>$865,736.51</t>
  </si>
  <si>
    <t>$3,809.24</t>
  </si>
  <si>
    <t>1160910</t>
  </si>
  <si>
    <t>31-JUL-1946</t>
  </si>
  <si>
    <t>$487,044.19</t>
  </si>
  <si>
    <t>$2,301.28</t>
  </si>
  <si>
    <t>1161033</t>
  </si>
  <si>
    <t>ESTATE OF                   RAE</t>
  </si>
  <si>
    <t>26-JUL-1944</t>
  </si>
  <si>
    <t>$43,813.74</t>
  </si>
  <si>
    <t>$225.28</t>
  </si>
  <si>
    <t>1161132</t>
  </si>
  <si>
    <t>IRENE</t>
  </si>
  <si>
    <t>HARTL</t>
  </si>
  <si>
    <t>18-SEP-1947</t>
  </si>
  <si>
    <t>$458,601.12</t>
  </si>
  <si>
    <t>$2,166.89</t>
  </si>
  <si>
    <t>1161371</t>
  </si>
  <si>
    <t>DARRELL</t>
  </si>
  <si>
    <t>HARTSFIELD</t>
  </si>
  <si>
    <t>$520,415.71</t>
  </si>
  <si>
    <t>Drawdown Guidance</t>
  </si>
  <si>
    <t>$2,524.02</t>
  </si>
  <si>
    <t>1161488</t>
  </si>
  <si>
    <t>HARTZ</t>
  </si>
  <si>
    <t>$518,190.66</t>
  </si>
  <si>
    <t>$2,280.04</t>
  </si>
  <si>
    <t>1161645</t>
  </si>
  <si>
    <t>MARTIN</t>
  </si>
  <si>
    <t>$299,572.73</t>
  </si>
  <si>
    <t>$1,380.53</t>
  </si>
  <si>
    <t>1161793</t>
  </si>
  <si>
    <t>HARWOOD</t>
  </si>
  <si>
    <t>26-MAR-1941</t>
  </si>
  <si>
    <t>$1,041,967.30</t>
  </si>
  <si>
    <t>$5,921.85</t>
  </si>
  <si>
    <t>1161918</t>
  </si>
  <si>
    <t>MASOOD</t>
  </si>
  <si>
    <t>HASSAN</t>
  </si>
  <si>
    <t>$1,146,721.20</t>
  </si>
  <si>
    <t>$3,984.86</t>
  </si>
  <si>
    <t>1161959</t>
  </si>
  <si>
    <t>HASSARD</t>
  </si>
  <si>
    <t>$843,428.97</t>
  </si>
  <si>
    <t>$4,250.00</t>
  </si>
  <si>
    <t>$3,711.09</t>
  </si>
  <si>
    <t>1162023</t>
  </si>
  <si>
    <t>BEV</t>
  </si>
  <si>
    <t>HASTINGS</t>
  </si>
  <si>
    <t>20-JUL-1949</t>
  </si>
  <si>
    <t>$240,957.29</t>
  </si>
  <si>
    <t>$1,084.31</t>
  </si>
  <si>
    <t>1162254</t>
  </si>
  <si>
    <t>HATLEVIK</t>
  </si>
  <si>
    <t>$93,954.80</t>
  </si>
  <si>
    <t>$443.94</t>
  </si>
  <si>
    <t>1162270</t>
  </si>
  <si>
    <t>HATTON</t>
  </si>
  <si>
    <t>$12,538.54</t>
  </si>
  <si>
    <t>$59.25</t>
  </si>
  <si>
    <t>1162387</t>
  </si>
  <si>
    <t>ERIC</t>
  </si>
  <si>
    <t>HAUCH</t>
  </si>
  <si>
    <t>$763,151.76</t>
  </si>
  <si>
    <t>$3,516.86</t>
  </si>
  <si>
    <t>1162916</t>
  </si>
  <si>
    <t>ORVAL</t>
  </si>
  <si>
    <t>HAVERSTOCK</t>
  </si>
  <si>
    <t>$55,023.62</t>
  </si>
  <si>
    <t>$191.21</t>
  </si>
  <si>
    <t>1163047</t>
  </si>
  <si>
    <t>PAULINE</t>
  </si>
  <si>
    <t>HAWKES</t>
  </si>
  <si>
    <t>$383,561.72</t>
  </si>
  <si>
    <t>$1,767.58</t>
  </si>
  <si>
    <t>1163302</t>
  </si>
  <si>
    <t>LAURIE</t>
  </si>
  <si>
    <t>HAWRISHOK</t>
  </si>
  <si>
    <t>$420,001.02</t>
  </si>
  <si>
    <t>$19,000.00</t>
  </si>
  <si>
    <t>$1,848.00</t>
  </si>
  <si>
    <t>1164011</t>
  </si>
  <si>
    <t>HAZEN</t>
  </si>
  <si>
    <t>$751,124.08</t>
  </si>
  <si>
    <t>$3,380.06</t>
  </si>
  <si>
    <t>1164557</t>
  </si>
  <si>
    <t>HEBERT</t>
  </si>
  <si>
    <t>$23,419.40</t>
  </si>
  <si>
    <t>$105.39</t>
  </si>
  <si>
    <t>1164615</t>
  </si>
  <si>
    <t>$252,313.94</t>
  </si>
  <si>
    <t>$1,162.75</t>
  </si>
  <si>
    <t>1164730</t>
  </si>
  <si>
    <t>HECKER</t>
  </si>
  <si>
    <t>$17,241.21</t>
  </si>
  <si>
    <t>$91.38</t>
  </si>
  <si>
    <t>1165018</t>
  </si>
  <si>
    <t>HEFFERNAN</t>
  </si>
  <si>
    <t>$1,226,011.22</t>
  </si>
  <si>
    <t>$8,000.00</t>
  </si>
  <si>
    <t>$5,792.90</t>
  </si>
  <si>
    <t>1165240</t>
  </si>
  <si>
    <t>FLOYD</t>
  </si>
  <si>
    <t>HEIDECKER</t>
  </si>
  <si>
    <t>$150,839.63</t>
  </si>
  <si>
    <t>$695.12</t>
  </si>
  <si>
    <t>1165380</t>
  </si>
  <si>
    <t>LYNNE</t>
  </si>
  <si>
    <t>HEIDT</t>
  </si>
  <si>
    <t>$409,641.15</t>
  </si>
  <si>
    <t>$1,843.39</t>
  </si>
  <si>
    <t>1165604</t>
  </si>
  <si>
    <t>ESTATE OF BETTY A</t>
  </si>
  <si>
    <t>HEINRICH</t>
  </si>
  <si>
    <t>$1,067,111.17</t>
  </si>
  <si>
    <t>$4,917.60</t>
  </si>
  <si>
    <t>1165786</t>
  </si>
  <si>
    <t>HEISE</t>
  </si>
  <si>
    <t>$881,497.50</t>
  </si>
  <si>
    <t>$4,275.26</t>
  </si>
  <si>
    <t>1166131</t>
  </si>
  <si>
    <t>FLORENCE</t>
  </si>
  <si>
    <t>HELETA</t>
  </si>
  <si>
    <t>$152,775.86</t>
  </si>
  <si>
    <t>$721.87</t>
  </si>
  <si>
    <t>1166347</t>
  </si>
  <si>
    <t>CHERYLE</t>
  </si>
  <si>
    <t>HELSTROM</t>
  </si>
  <si>
    <t>$151,869.84</t>
  </si>
  <si>
    <t>$780.86</t>
  </si>
  <si>
    <t>1166479</t>
  </si>
  <si>
    <t>CHARMAINE</t>
  </si>
  <si>
    <t>HEMINGSON</t>
  </si>
  <si>
    <t>$732,351.20</t>
  </si>
  <si>
    <t>$3,222.35</t>
  </si>
  <si>
    <t>1166750</t>
  </si>
  <si>
    <t>HENDERSON</t>
  </si>
  <si>
    <t>$643,651.29</t>
  </si>
  <si>
    <t>$3,207.53</t>
  </si>
  <si>
    <t>1167055</t>
  </si>
  <si>
    <t>HENDRIKS</t>
  </si>
  <si>
    <t>$253,093.90</t>
  </si>
  <si>
    <t>$1,700.00</t>
  </si>
  <si>
    <t>$1,195.87</t>
  </si>
  <si>
    <t>1167667</t>
  </si>
  <si>
    <t>HENSHAW</t>
  </si>
  <si>
    <t>$45,094.89</t>
  </si>
  <si>
    <t>$163.47</t>
  </si>
  <si>
    <t>1167816</t>
  </si>
  <si>
    <t>HEPTING</t>
  </si>
  <si>
    <t>$244,769.48</t>
  </si>
  <si>
    <t>$1,076.99</t>
  </si>
  <si>
    <t>1167857</t>
  </si>
  <si>
    <t>LORNE</t>
  </si>
  <si>
    <t>HEPWORTH</t>
  </si>
  <si>
    <t>$1,614,202.60</t>
  </si>
  <si>
    <t>$7,627.11</t>
  </si>
  <si>
    <t>1168590</t>
  </si>
  <si>
    <t>HEROD</t>
  </si>
  <si>
    <t>$333,114.24</t>
  </si>
  <si>
    <t>$1,465.70</t>
  </si>
  <si>
    <t>1169135</t>
  </si>
  <si>
    <t>ESTATE OF GEORGINA</t>
  </si>
  <si>
    <t>HESELTON</t>
  </si>
  <si>
    <t>$1,453,771.07</t>
  </si>
  <si>
    <t>$8,577.25</t>
  </si>
  <si>
    <t>1169614</t>
  </si>
  <si>
    <t>HICKEY</t>
  </si>
  <si>
    <t>$736,895.46</t>
  </si>
  <si>
    <t>$2,364.21</t>
  </si>
  <si>
    <t>1171180</t>
  </si>
  <si>
    <t>HILL</t>
  </si>
  <si>
    <t>$232,052.93</t>
  </si>
  <si>
    <t>$879.87</t>
  </si>
  <si>
    <t>1171578</t>
  </si>
  <si>
    <t>HINCK</t>
  </si>
  <si>
    <t>$50,371.13</t>
  </si>
  <si>
    <t>$550.00</t>
  </si>
  <si>
    <t>$190.99</t>
  </si>
  <si>
    <t>1171628</t>
  </si>
  <si>
    <t>HINDLE</t>
  </si>
  <si>
    <t>23-OCT-1940</t>
  </si>
  <si>
    <t>$254,356.70</t>
  </si>
  <si>
    <t>$1,500.70</t>
  </si>
  <si>
    <t>1172089</t>
  </si>
  <si>
    <t>HITCHINGS</t>
  </si>
  <si>
    <t>27-JUL-1949</t>
  </si>
  <si>
    <t>$194,600.04</t>
  </si>
  <si>
    <t>$875.70</t>
  </si>
  <si>
    <t>1172295</t>
  </si>
  <si>
    <t>HLEBOFF</t>
  </si>
  <si>
    <t>$264,681.97</t>
  </si>
  <si>
    <t>$1,102.84</t>
  </si>
  <si>
    <t>1172436</t>
  </si>
  <si>
    <t xml:space="preserve">BEVERLY </t>
  </si>
  <si>
    <t>HNIDY</t>
  </si>
  <si>
    <t>25-APR-1949</t>
  </si>
  <si>
    <t>$16,805.57</t>
  </si>
  <si>
    <t>$75.63</t>
  </si>
  <si>
    <t>1172626</t>
  </si>
  <si>
    <t>HOBBS</t>
  </si>
  <si>
    <t>26-JUN-1950</t>
  </si>
  <si>
    <t>$1,720,754.99</t>
  </si>
  <si>
    <t>$7,571.32</t>
  </si>
  <si>
    <t>1173137</t>
  </si>
  <si>
    <t>HODGSON</t>
  </si>
  <si>
    <t>$273,018.18</t>
  </si>
  <si>
    <t>$1,290.01</t>
  </si>
  <si>
    <t>1173392</t>
  </si>
  <si>
    <t>HOEDEL</t>
  </si>
  <si>
    <t>$56,373.86</t>
  </si>
  <si>
    <t>$1,129.20</t>
  </si>
  <si>
    <t>$309.12</t>
  </si>
  <si>
    <t>1174317</t>
  </si>
  <si>
    <t>HOFFMANN</t>
  </si>
  <si>
    <t>$514,328.50</t>
  </si>
  <si>
    <t>$2,430.20</t>
  </si>
  <si>
    <t>1174408</t>
  </si>
  <si>
    <t>HOFFOS</t>
  </si>
  <si>
    <t>$5,550.26</t>
  </si>
  <si>
    <t>$26.92</t>
  </si>
  <si>
    <t>1174622</t>
  </si>
  <si>
    <t>HOGARTH</t>
  </si>
  <si>
    <t>14-MAY-1943</t>
  </si>
  <si>
    <t>$211,468.44</t>
  </si>
  <si>
    <t>$1,120.78</t>
  </si>
  <si>
    <t>1174697</t>
  </si>
  <si>
    <t>HOGUE</t>
  </si>
  <si>
    <t>$283,443.12</t>
  </si>
  <si>
    <t>$1,339.27</t>
  </si>
  <si>
    <t>1175140</t>
  </si>
  <si>
    <t>ADAM</t>
  </si>
  <si>
    <t>HOLINATY</t>
  </si>
  <si>
    <t>$16,062.82</t>
  </si>
  <si>
    <t>$100.00</t>
  </si>
  <si>
    <t>$75.90</t>
  </si>
  <si>
    <t>1175215</t>
  </si>
  <si>
    <t>SAMANTHA</t>
  </si>
  <si>
    <t>HOLLAND</t>
  </si>
  <si>
    <t>$278,511.17</t>
  </si>
  <si>
    <t>$1,315.97</t>
  </si>
  <si>
    <t>1175306</t>
  </si>
  <si>
    <t>HOLLICK</t>
  </si>
  <si>
    <t>$85,380.82</t>
  </si>
  <si>
    <t>$811.00</t>
  </si>
  <si>
    <t>$403.42</t>
  </si>
  <si>
    <t>1175496</t>
  </si>
  <si>
    <t>PHILIP</t>
  </si>
  <si>
    <t>HOLLOWAY</t>
  </si>
  <si>
    <t>$345,763.64</t>
  </si>
  <si>
    <t>$1,555.94</t>
  </si>
  <si>
    <t>1176486</t>
  </si>
  <si>
    <t>HOMENICK</t>
  </si>
  <si>
    <t>$264,843.21</t>
  </si>
  <si>
    <t>$1,284.49</t>
  </si>
  <si>
    <t>1176858</t>
  </si>
  <si>
    <t>HOOKENSON</t>
  </si>
  <si>
    <t>$488,346.98</t>
  </si>
  <si>
    <t>$2,197.56</t>
  </si>
  <si>
    <t>1177047</t>
  </si>
  <si>
    <t>HOPE</t>
  </si>
  <si>
    <t>21-MAY-1949</t>
  </si>
  <si>
    <t>$318,162.54</t>
  </si>
  <si>
    <t>$1,431.73</t>
  </si>
  <si>
    <t>1177054</t>
  </si>
  <si>
    <t>24-AUG-1949</t>
  </si>
  <si>
    <t>$624,810.71</t>
  </si>
  <si>
    <t>$2,811.65</t>
  </si>
  <si>
    <t>1177070</t>
  </si>
  <si>
    <t>HOPKIN</t>
  </si>
  <si>
    <t>$648,281.17</t>
  </si>
  <si>
    <t>$2,917.27</t>
  </si>
  <si>
    <t>1177377</t>
  </si>
  <si>
    <t>RHONDA</t>
  </si>
  <si>
    <t>HORDICHUK</t>
  </si>
  <si>
    <t>$54,925.44</t>
  </si>
  <si>
    <t>$241.67</t>
  </si>
  <si>
    <t>1177732</t>
  </si>
  <si>
    <t>THEODORE</t>
  </si>
  <si>
    <t>HORNUNG</t>
  </si>
  <si>
    <t>$351,804.91</t>
  </si>
  <si>
    <t>$1,753.16</t>
  </si>
  <si>
    <t>1177799</t>
  </si>
  <si>
    <t>HORSFALL</t>
  </si>
  <si>
    <t>$1,709,296.33</t>
  </si>
  <si>
    <t>$7,520.90</t>
  </si>
  <si>
    <t>1177849</t>
  </si>
  <si>
    <t>HORSMAN</t>
  </si>
  <si>
    <t>$1,482,055.72</t>
  </si>
  <si>
    <t>$11,300.00</t>
  </si>
  <si>
    <t>$6,175.23</t>
  </si>
  <si>
    <t>1178938</t>
  </si>
  <si>
    <t>JOSEFINA</t>
  </si>
  <si>
    <t>HOWARD</t>
  </si>
  <si>
    <t>$239,428.36</t>
  </si>
  <si>
    <t>$3,750.00</t>
  </si>
  <si>
    <t>$1,268.97</t>
  </si>
  <si>
    <t>1179209</t>
  </si>
  <si>
    <t>HOWE</t>
  </si>
  <si>
    <t>24-DEC-1941</t>
  </si>
  <si>
    <t>$255,694.16</t>
  </si>
  <si>
    <t>$30,000.00</t>
  </si>
  <si>
    <t>$926.89</t>
  </si>
  <si>
    <t>1179662</t>
  </si>
  <si>
    <t>HREBENIUK</t>
  </si>
  <si>
    <t>$36,302.62</t>
  </si>
  <si>
    <t>$167.29</t>
  </si>
  <si>
    <t>1179886</t>
  </si>
  <si>
    <t>HRYHOR</t>
  </si>
  <si>
    <t>$1,088,169.63</t>
  </si>
  <si>
    <t>$4,787.95</t>
  </si>
  <si>
    <t>1179910</t>
  </si>
  <si>
    <t>HRYHORCHUK</t>
  </si>
  <si>
    <t>$1,557,948.73</t>
  </si>
  <si>
    <t>$6,854.97</t>
  </si>
  <si>
    <t>1180439</t>
  </si>
  <si>
    <t>ELAINE</t>
  </si>
  <si>
    <t>HUBER</t>
  </si>
  <si>
    <t>$95,372.33</t>
  </si>
  <si>
    <t>$450.63</t>
  </si>
  <si>
    <t>1181098</t>
  </si>
  <si>
    <t>HUCULIAK</t>
  </si>
  <si>
    <t>$727,532.40</t>
  </si>
  <si>
    <t>$2,528.18</t>
  </si>
  <si>
    <t>1181536</t>
  </si>
  <si>
    <t>HUET</t>
  </si>
  <si>
    <t>07-MAY-1947</t>
  </si>
  <si>
    <t>$86,369.31</t>
  </si>
  <si>
    <t>$408.10</t>
  </si>
  <si>
    <t>1181676</t>
  </si>
  <si>
    <t>ELISABETH</t>
  </si>
  <si>
    <t>HUGEL</t>
  </si>
  <si>
    <t>$743,337.06</t>
  </si>
  <si>
    <t>$3,097.24</t>
  </si>
  <si>
    <t>1181726</t>
  </si>
  <si>
    <t>HUGG</t>
  </si>
  <si>
    <t>$1,541,770.62</t>
  </si>
  <si>
    <t>$6,937.97</t>
  </si>
  <si>
    <t>1182096</t>
  </si>
  <si>
    <t>HULTGREEN</t>
  </si>
  <si>
    <t>$199,174.79</t>
  </si>
  <si>
    <t>$941.10</t>
  </si>
  <si>
    <t>1182138</t>
  </si>
  <si>
    <t>BERNADETTE</t>
  </si>
  <si>
    <t>HUMBLE</t>
  </si>
  <si>
    <t>$163,494.63</t>
  </si>
  <si>
    <t>$753.44</t>
  </si>
  <si>
    <t>1182286</t>
  </si>
  <si>
    <t>B</t>
  </si>
  <si>
    <t>HUMPHREY</t>
  </si>
  <si>
    <t>$116,152.32</t>
  </si>
  <si>
    <t>$522.69</t>
  </si>
  <si>
    <t>1182294</t>
  </si>
  <si>
    <t>KEN</t>
  </si>
  <si>
    <t>$334,297.48</t>
  </si>
  <si>
    <t>$1,504.34</t>
  </si>
  <si>
    <t>1182641</t>
  </si>
  <si>
    <t>EMELIE</t>
  </si>
  <si>
    <t>HUNT</t>
  </si>
  <si>
    <t>$1,304,453.59</t>
  </si>
  <si>
    <t>$6,500.53</t>
  </si>
  <si>
    <t>1182708</t>
  </si>
  <si>
    <t>01-JAN-1950</t>
  </si>
  <si>
    <t>$30,628.60</t>
  </si>
  <si>
    <t>$137.83</t>
  </si>
  <si>
    <t>1183151</t>
  </si>
  <si>
    <t>RUBY</t>
  </si>
  <si>
    <t>HUNTER</t>
  </si>
  <si>
    <t>$332,253.69</t>
  </si>
  <si>
    <t>$1,708.34</t>
  </si>
  <si>
    <t>1183649</t>
  </si>
  <si>
    <t>HUSCH</t>
  </si>
  <si>
    <t>$15,614.22</t>
  </si>
  <si>
    <t>$7,000.00</t>
  </si>
  <si>
    <t>$68.70</t>
  </si>
  <si>
    <t>1183730</t>
  </si>
  <si>
    <t>FARZANA</t>
  </si>
  <si>
    <t>HUSSAIN</t>
  </si>
  <si>
    <t>$258,867.58</t>
  </si>
  <si>
    <t>$1,139.02</t>
  </si>
  <si>
    <t>1183912</t>
  </si>
  <si>
    <t>HUTCHINSON</t>
  </si>
  <si>
    <t>$1,023,433.15</t>
  </si>
  <si>
    <t>$4,800.00</t>
  </si>
  <si>
    <t>$4,835.72</t>
  </si>
  <si>
    <t>1184068</t>
  </si>
  <si>
    <t>ANDREW</t>
  </si>
  <si>
    <t>HUTYRA</t>
  </si>
  <si>
    <t>$34,846.45</t>
  </si>
  <si>
    <t>$156.81</t>
  </si>
  <si>
    <t>1184290</t>
  </si>
  <si>
    <t xml:space="preserve">RAPHAEL </t>
  </si>
  <si>
    <t>HWANG</t>
  </si>
  <si>
    <t>27-MAY-1945</t>
  </si>
  <si>
    <t>$96,598.15</t>
  </si>
  <si>
    <t>$425.03</t>
  </si>
  <si>
    <t>1184308</t>
  </si>
  <si>
    <t>HYCHE</t>
  </si>
  <si>
    <t>$45,322.13</t>
  </si>
  <si>
    <t>$234.00</t>
  </si>
  <si>
    <t>$208.86</t>
  </si>
  <si>
    <t>1184316</t>
  </si>
  <si>
    <t>$99,057.99</t>
  </si>
  <si>
    <t>$494.00</t>
  </si>
  <si>
    <t>$445.76</t>
  </si>
  <si>
    <t>1184381</t>
  </si>
  <si>
    <t>HYDE</t>
  </si>
  <si>
    <t>$1,001,810.82</t>
  </si>
  <si>
    <t>$3,088.92</t>
  </si>
  <si>
    <t>1184399</t>
  </si>
  <si>
    <t>HYDEMAN</t>
  </si>
  <si>
    <t>21-SEP-1949</t>
  </si>
  <si>
    <t>$161,847.27</t>
  </si>
  <si>
    <t>$728.31</t>
  </si>
  <si>
    <t>1184704</t>
  </si>
  <si>
    <t>ROMAN</t>
  </si>
  <si>
    <t>IGNEROWICZ</t>
  </si>
  <si>
    <t>24-JAN-1947</t>
  </si>
  <si>
    <t>$43,070.54</t>
  </si>
  <si>
    <t>$203.51</t>
  </si>
  <si>
    <t>1184829</t>
  </si>
  <si>
    <t>IMHOFF</t>
  </si>
  <si>
    <t>$183,927.41</t>
  </si>
  <si>
    <t>$1,010.00</t>
  </si>
  <si>
    <t>$869.06</t>
  </si>
  <si>
    <t>1184985</t>
  </si>
  <si>
    <t>CAROL</t>
  </si>
  <si>
    <t>INGHAM</t>
  </si>
  <si>
    <t>$312,242.97</t>
  </si>
  <si>
    <t>$1,666.00</t>
  </si>
  <si>
    <t>$1,514.38</t>
  </si>
  <si>
    <t>1184993</t>
  </si>
  <si>
    <t>$231,867.02</t>
  </si>
  <si>
    <t>$1,667.00</t>
  </si>
  <si>
    <t>$1,124.56</t>
  </si>
  <si>
    <t>1185180</t>
  </si>
  <si>
    <t>SHARILYN</t>
  </si>
  <si>
    <t>INGRAM</t>
  </si>
  <si>
    <t>$427,958.96</t>
  </si>
  <si>
    <t>$1,972.18</t>
  </si>
  <si>
    <t>1185198</t>
  </si>
  <si>
    <t>YVONNE</t>
  </si>
  <si>
    <t>$25,197.15</t>
  </si>
  <si>
    <t>$125.57</t>
  </si>
  <si>
    <t>1185396</t>
  </si>
  <si>
    <t>DEREK</t>
  </si>
  <si>
    <t>IRELAND</t>
  </si>
  <si>
    <t>$213,213.23</t>
  </si>
  <si>
    <t>$1,130.03</t>
  </si>
  <si>
    <t>1185404</t>
  </si>
  <si>
    <t>$1,085,279.27</t>
  </si>
  <si>
    <t>$4,770.00</t>
  </si>
  <si>
    <t>$4,775.23</t>
  </si>
  <si>
    <t>1186212</t>
  </si>
  <si>
    <t>ITTERMAN</t>
  </si>
  <si>
    <t>29-OCT-1948</t>
  </si>
  <si>
    <t>$222,580.63</t>
  </si>
  <si>
    <t>$1,025.00</t>
  </si>
  <si>
    <t>$1,025.73</t>
  </si>
  <si>
    <t>1186550</t>
  </si>
  <si>
    <t>ANDY</t>
  </si>
  <si>
    <t>IWANCHUK</t>
  </si>
  <si>
    <t>$212,844.73</t>
  </si>
  <si>
    <t>$493.09</t>
  </si>
  <si>
    <t>1186766</t>
  </si>
  <si>
    <t>MATT</t>
  </si>
  <si>
    <t>JACKIW</t>
  </si>
  <si>
    <t>$171,584.39</t>
  </si>
  <si>
    <t>$476.15</t>
  </si>
  <si>
    <t>1187046</t>
  </si>
  <si>
    <t>JACKSON</t>
  </si>
  <si>
    <t>$172,709.16</t>
  </si>
  <si>
    <t>$685.08</t>
  </si>
  <si>
    <t>1187467</t>
  </si>
  <si>
    <t>JACOBS</t>
  </si>
  <si>
    <t>28-JAN-1949</t>
  </si>
  <si>
    <t>$148,586.45</t>
  </si>
  <si>
    <t>$668.64</t>
  </si>
  <si>
    <t>1187848</t>
  </si>
  <si>
    <t>JUDY</t>
  </si>
  <si>
    <t>JAHN</t>
  </si>
  <si>
    <t>$27,149.69</t>
  </si>
  <si>
    <t>$119.46</t>
  </si>
  <si>
    <t>1187897</t>
  </si>
  <si>
    <t>JITENDRA</t>
  </si>
  <si>
    <t>JAIN</t>
  </si>
  <si>
    <t>$1,311,320.83</t>
  </si>
  <si>
    <t>$4,556.84</t>
  </si>
  <si>
    <t>1188267</t>
  </si>
  <si>
    <t>MARI</t>
  </si>
  <si>
    <t>$670,728.04</t>
  </si>
  <si>
    <t>$2,951.20</t>
  </si>
  <si>
    <t>1188341</t>
  </si>
  <si>
    <t>$81,076.14</t>
  </si>
  <si>
    <t>$383.09</t>
  </si>
  <si>
    <t>1188424</t>
  </si>
  <si>
    <t>BLANCHE</t>
  </si>
  <si>
    <t>JAMIESON</t>
  </si>
  <si>
    <t>28-FEB-1942</t>
  </si>
  <si>
    <t>$68,748.48</t>
  </si>
  <si>
    <t>$376.97</t>
  </si>
  <si>
    <t>1188481</t>
  </si>
  <si>
    <t>MIROSLAV</t>
  </si>
  <si>
    <t>JANCEWICZ</t>
  </si>
  <si>
    <t>$1,066,932.29</t>
  </si>
  <si>
    <t>$2,694.00</t>
  </si>
  <si>
    <t>1189562</t>
  </si>
  <si>
    <t>JAROCK</t>
  </si>
  <si>
    <t>$335,941.00</t>
  </si>
  <si>
    <t>$1,587.32</t>
  </si>
  <si>
    <t>1189950</t>
  </si>
  <si>
    <t>DONNA</t>
  </si>
  <si>
    <t>$1,131,173.56</t>
  </si>
  <si>
    <t>$5,486.19</t>
  </si>
  <si>
    <t>1191535</t>
  </si>
  <si>
    <t>JO</t>
  </si>
  <si>
    <t>$890,531.95</t>
  </si>
  <si>
    <t>$4,007.39</t>
  </si>
  <si>
    <t>1191659</t>
  </si>
  <si>
    <t>ANDRE</t>
  </si>
  <si>
    <t>JOBIN</t>
  </si>
  <si>
    <t>21-OCT-1950</t>
  </si>
  <si>
    <t>$85,599.63</t>
  </si>
  <si>
    <t>$376.64</t>
  </si>
  <si>
    <t>1191691</t>
  </si>
  <si>
    <t>JOCELYN</t>
  </si>
  <si>
    <t>07-NOV-1948</t>
  </si>
  <si>
    <t>$2,440.33</t>
  </si>
  <si>
    <t>$5.98</t>
  </si>
  <si>
    <t>1191758</t>
  </si>
  <si>
    <t>JOEL</t>
  </si>
  <si>
    <t>$335,531.92</t>
  </si>
  <si>
    <t>$1,546.24</t>
  </si>
  <si>
    <t>1191816</t>
  </si>
  <si>
    <t>LEONARD</t>
  </si>
  <si>
    <t>JOHANNSON</t>
  </si>
  <si>
    <t>$212,992.06</t>
  </si>
  <si>
    <t>$937.17</t>
  </si>
  <si>
    <t>1192111</t>
  </si>
  <si>
    <t>ALEC</t>
  </si>
  <si>
    <t>JOHNSON</t>
  </si>
  <si>
    <t>$193,157.55</t>
  </si>
  <si>
    <t>$4,333.33</t>
  </si>
  <si>
    <t>$849.89</t>
  </si>
  <si>
    <t>1192210</t>
  </si>
  <si>
    <t>$523,544.01</t>
  </si>
  <si>
    <t>$2,691.89</t>
  </si>
  <si>
    <t>1192988</t>
  </si>
  <si>
    <t>$1,814,742.73</t>
  </si>
  <si>
    <t>$7,984.87</t>
  </si>
  <si>
    <t>1193390</t>
  </si>
  <si>
    <t>22-JAN-1945</t>
  </si>
  <si>
    <t>$1,242,179.51</t>
  </si>
  <si>
    <t>$5,175.75</t>
  </si>
  <si>
    <t>1193705</t>
  </si>
  <si>
    <t>OLE</t>
  </si>
  <si>
    <t>$34,494.16</t>
  </si>
  <si>
    <t>$125.04</t>
  </si>
  <si>
    <t>1193879</t>
  </si>
  <si>
    <t>18-APR-1947</t>
  </si>
  <si>
    <t>$48,921.20</t>
  </si>
  <si>
    <t>$231.15</t>
  </si>
  <si>
    <t>1194141</t>
  </si>
  <si>
    <t xml:space="preserve">WILLIAM </t>
  </si>
  <si>
    <t>14-MAR-1950</t>
  </si>
  <si>
    <t>$26,402.39</t>
  </si>
  <si>
    <t>$116.17</t>
  </si>
  <si>
    <t>1194240</t>
  </si>
  <si>
    <t>ALISTAIR</t>
  </si>
  <si>
    <t>JOHNSTON</t>
  </si>
  <si>
    <t>$1,083,149.02</t>
  </si>
  <si>
    <t>$2,915.48</t>
  </si>
  <si>
    <t>1194539</t>
  </si>
  <si>
    <t>LYN</t>
  </si>
  <si>
    <t>$224,787.36</t>
  </si>
  <si>
    <t>$1,120.19</t>
  </si>
  <si>
    <t>1194786</t>
  </si>
  <si>
    <t>JOHNSTONE</t>
  </si>
  <si>
    <t>$472,317.08</t>
  </si>
  <si>
    <t>$2,231.70</t>
  </si>
  <si>
    <t>1195106</t>
  </si>
  <si>
    <t>JONES</t>
  </si>
  <si>
    <t>06-MAY-1948</t>
  </si>
  <si>
    <t>$104,328.27</t>
  </si>
  <si>
    <t>$480.78</t>
  </si>
  <si>
    <t>1195312</t>
  </si>
  <si>
    <t>$158,904.13</t>
  </si>
  <si>
    <t>$699.18</t>
  </si>
  <si>
    <t>1195742</t>
  </si>
  <si>
    <t>$437,147.99</t>
  </si>
  <si>
    <t>$1,967.17</t>
  </si>
  <si>
    <t>1195908</t>
  </si>
  <si>
    <t>JONSON</t>
  </si>
  <si>
    <t>$114,603.35</t>
  </si>
  <si>
    <t>$555.83</t>
  </si>
  <si>
    <t>1196518</t>
  </si>
  <si>
    <t>ELVINA</t>
  </si>
  <si>
    <t>05-MAR-1949</t>
  </si>
  <si>
    <t>$121,043.50</t>
  </si>
  <si>
    <t>$544.70</t>
  </si>
  <si>
    <t>1196658</t>
  </si>
  <si>
    <t>ARLENE</t>
  </si>
  <si>
    <t>JULE</t>
  </si>
  <si>
    <t>$149,637.88</t>
  </si>
  <si>
    <t>$725.74</t>
  </si>
  <si>
    <t>1197417</t>
  </si>
  <si>
    <t>KAHL</t>
  </si>
  <si>
    <t>$47,378.18</t>
  </si>
  <si>
    <t>$197.41</t>
  </si>
  <si>
    <t>1197813</t>
  </si>
  <si>
    <t>PHYLLIS</t>
  </si>
  <si>
    <t>KALK</t>
  </si>
  <si>
    <t>$1,909.63</t>
  </si>
  <si>
    <t>$8.40</t>
  </si>
  <si>
    <t>1197854</t>
  </si>
  <si>
    <t>KALMAKOFF</t>
  </si>
  <si>
    <t>$491,796.53</t>
  </si>
  <si>
    <t>$2,213.08</t>
  </si>
  <si>
    <t>1197987</t>
  </si>
  <si>
    <t>PETRUNELLA</t>
  </si>
  <si>
    <t>KALYNIUK</t>
  </si>
  <si>
    <t>$239,137.87</t>
  </si>
  <si>
    <t>$1,102.03</t>
  </si>
  <si>
    <t>1198399</t>
  </si>
  <si>
    <t>SHOO</t>
  </si>
  <si>
    <t>KANG</t>
  </si>
  <si>
    <t>26-FEB-1949</t>
  </si>
  <si>
    <t>$993,264.74</t>
  </si>
  <si>
    <t>$4,469.69</t>
  </si>
  <si>
    <t>1198977</t>
  </si>
  <si>
    <t>DUANE</t>
  </si>
  <si>
    <t>KARLSTROM</t>
  </si>
  <si>
    <t>$163,933.88</t>
  </si>
  <si>
    <t>$737.70</t>
  </si>
  <si>
    <t>1199223</t>
  </si>
  <si>
    <t>KARVONEN</t>
  </si>
  <si>
    <t>$72,871.23</t>
  </si>
  <si>
    <t>$335.82</t>
  </si>
  <si>
    <t>1199256</t>
  </si>
  <si>
    <t>KARY</t>
  </si>
  <si>
    <t>$194,378.55</t>
  </si>
  <si>
    <t>$539.40</t>
  </si>
  <si>
    <t>1199348</t>
  </si>
  <si>
    <t>LEE</t>
  </si>
  <si>
    <t>KASLANDER</t>
  </si>
  <si>
    <t>$430,255.20</t>
  </si>
  <si>
    <t>$2,086.74</t>
  </si>
  <si>
    <t>1199611</t>
  </si>
  <si>
    <t>KATZ</t>
  </si>
  <si>
    <t>$595,396.29</t>
  </si>
  <si>
    <t>$3,440.00</t>
  </si>
  <si>
    <t>$2,361.74</t>
  </si>
  <si>
    <t>1199629</t>
  </si>
  <si>
    <t>17-JUN-1948</t>
  </si>
  <si>
    <t>$26,375.71</t>
  </si>
  <si>
    <t>$121.55</t>
  </si>
  <si>
    <t>1199777</t>
  </si>
  <si>
    <t>SADHNA</t>
  </si>
  <si>
    <t>KAUSHIK</t>
  </si>
  <si>
    <t>$21,650.46</t>
  </si>
  <si>
    <t>$95.26</t>
  </si>
  <si>
    <t>1199926</t>
  </si>
  <si>
    <t>KAYE</t>
  </si>
  <si>
    <t>19-AUG-1947</t>
  </si>
  <si>
    <t>$20,505.36</t>
  </si>
  <si>
    <t>$96.89</t>
  </si>
  <si>
    <t>1200179</t>
  </si>
  <si>
    <t>SYLVIA</t>
  </si>
  <si>
    <t>KEALL</t>
  </si>
  <si>
    <t>$223,842.96</t>
  </si>
  <si>
    <t>$833.00</t>
  </si>
  <si>
    <t>$718.16</t>
  </si>
  <si>
    <t>1200575</t>
  </si>
  <si>
    <t>KEENE</t>
  </si>
  <si>
    <t>$125,887.56</t>
  </si>
  <si>
    <t>$680.00</t>
  </si>
  <si>
    <t>$566.49</t>
  </si>
  <si>
    <t>1200625</t>
  </si>
  <si>
    <t>KEEPING</t>
  </si>
  <si>
    <t>$133,746.90</t>
  </si>
  <si>
    <t>$950.00</t>
  </si>
  <si>
    <t>$631.95</t>
  </si>
  <si>
    <t>1200633</t>
  </si>
  <si>
    <t>17-OCT-1949</t>
  </si>
  <si>
    <t>$53,751.14</t>
  </si>
  <si>
    <t>$241.88</t>
  </si>
  <si>
    <t>1200948</t>
  </si>
  <si>
    <t>KEIR</t>
  </si>
  <si>
    <t>$47,372.44</t>
  </si>
  <si>
    <t>$425.00</t>
  </si>
  <si>
    <t>$223.84</t>
  </si>
  <si>
    <t>1201052</t>
  </si>
  <si>
    <t>LOCK</t>
  </si>
  <si>
    <t>09-JUN-1946</t>
  </si>
  <si>
    <t>$116,710.05</t>
  </si>
  <si>
    <t>$566.04</t>
  </si>
  <si>
    <t>1201516</t>
  </si>
  <si>
    <t>KELLSEY</t>
  </si>
  <si>
    <t>$662,440.95</t>
  </si>
  <si>
    <t>$3,130.03</t>
  </si>
  <si>
    <t>1201821</t>
  </si>
  <si>
    <t>KELLY</t>
  </si>
  <si>
    <t>31-DEC-1946</t>
  </si>
  <si>
    <t>$132,695.42</t>
  </si>
  <si>
    <t>$643.57</t>
  </si>
  <si>
    <t>1202068</t>
  </si>
  <si>
    <t>KEMPLING</t>
  </si>
  <si>
    <t>$284,276.69</t>
  </si>
  <si>
    <t>$1,558.78</t>
  </si>
  <si>
    <t>1202167</t>
  </si>
  <si>
    <t>ALICE</t>
  </si>
  <si>
    <t>KENNEDY</t>
  </si>
  <si>
    <t>$40,434.05</t>
  </si>
  <si>
    <t>$177.91</t>
  </si>
  <si>
    <t>1202472</t>
  </si>
  <si>
    <t xml:space="preserve">MARJORIE </t>
  </si>
  <si>
    <t>$151,665.69</t>
  </si>
  <si>
    <t>$735.58</t>
  </si>
  <si>
    <t>1202506</t>
  </si>
  <si>
    <t>$109,047.17</t>
  </si>
  <si>
    <t>$515.25</t>
  </si>
  <si>
    <t>1202522</t>
  </si>
  <si>
    <t>$494,691.70</t>
  </si>
  <si>
    <t>$2,337.42</t>
  </si>
  <si>
    <t>1202704</t>
  </si>
  <si>
    <t>GRACE</t>
  </si>
  <si>
    <t>$35,598.36</t>
  </si>
  <si>
    <t>$168.20</t>
  </si>
  <si>
    <t>1202894</t>
  </si>
  <si>
    <t>SUKHDIP</t>
  </si>
  <si>
    <t>KENT</t>
  </si>
  <si>
    <t>$1,585,256.53</t>
  </si>
  <si>
    <t>$6,800.00</t>
  </si>
  <si>
    <t>$5,508.77</t>
  </si>
  <si>
    <t>1204049</t>
  </si>
  <si>
    <t>KIRBY</t>
  </si>
  <si>
    <t>KEW</t>
  </si>
  <si>
    <t>$158,637.83</t>
  </si>
  <si>
    <t>$698.01</t>
  </si>
  <si>
    <t>1204221</t>
  </si>
  <si>
    <t>SALIM</t>
  </si>
  <si>
    <t>KHALID</t>
  </si>
  <si>
    <t>16-JUN-1939</t>
  </si>
  <si>
    <t>$92,383.62</t>
  </si>
  <si>
    <t>$415.73</t>
  </si>
  <si>
    <t>1204288</t>
  </si>
  <si>
    <t>MOHAMMAD</t>
  </si>
  <si>
    <t>KHAN</t>
  </si>
  <si>
    <t>$793,418.15</t>
  </si>
  <si>
    <t>$2,360.42</t>
  </si>
  <si>
    <t>1205012</t>
  </si>
  <si>
    <t>KINASH</t>
  </si>
  <si>
    <t>$793,068.12</t>
  </si>
  <si>
    <t>$3,489.50</t>
  </si>
  <si>
    <t>1205285</t>
  </si>
  <si>
    <t>GARTH</t>
  </si>
  <si>
    <t>KING</t>
  </si>
  <si>
    <t>$11,419.44</t>
  </si>
  <si>
    <t>$53.96</t>
  </si>
  <si>
    <t>1205962</t>
  </si>
  <si>
    <t>KINGWELL</t>
  </si>
  <si>
    <t>23-SEP-1950</t>
  </si>
  <si>
    <t>$281,943.73</t>
  </si>
  <si>
    <t>$1,240.55</t>
  </si>
  <si>
    <t>1206523</t>
  </si>
  <si>
    <t>KIRKNESS</t>
  </si>
  <si>
    <t>$261,940.67</t>
  </si>
  <si>
    <t>$1,237.67</t>
  </si>
  <si>
    <t>1207984</t>
  </si>
  <si>
    <t>KLATT</t>
  </si>
  <si>
    <t>$510,699.64</t>
  </si>
  <si>
    <t>$2,353.47</t>
  </si>
  <si>
    <t>1208313</t>
  </si>
  <si>
    <t>CLIFFORD</t>
  </si>
  <si>
    <t>KLEIN</t>
  </si>
  <si>
    <t>$1,919,484.41</t>
  </si>
  <si>
    <t>$9,565.43</t>
  </si>
  <si>
    <t>1208560</t>
  </si>
  <si>
    <t>KLEINER</t>
  </si>
  <si>
    <t>$132,753.59</t>
  </si>
  <si>
    <t>$627.26</t>
  </si>
  <si>
    <t>1209220</t>
  </si>
  <si>
    <t>KLUGER</t>
  </si>
  <si>
    <t>28-MAR-1943</t>
  </si>
  <si>
    <t>$461,911.23</t>
  </si>
  <si>
    <t>$2,448.13</t>
  </si>
  <si>
    <t>1210046</t>
  </si>
  <si>
    <t>KNOLL</t>
  </si>
  <si>
    <t>$182,285.37</t>
  </si>
  <si>
    <t>$840.03</t>
  </si>
  <si>
    <t>1210095</t>
  </si>
  <si>
    <t>$966,978.55</t>
  </si>
  <si>
    <t>$3,835.68</t>
  </si>
  <si>
    <t>1210244</t>
  </si>
  <si>
    <t>KNOWLES</t>
  </si>
  <si>
    <t>$56,302.50</t>
  </si>
  <si>
    <t>$266.03</t>
  </si>
  <si>
    <t>1210251</t>
  </si>
  <si>
    <t>CORDELLIA</t>
  </si>
  <si>
    <t>$251,412.62</t>
  </si>
  <si>
    <t>$1,106.22</t>
  </si>
  <si>
    <t>1210830</t>
  </si>
  <si>
    <t>KOCH</t>
  </si>
  <si>
    <t>$80,160.75</t>
  </si>
  <si>
    <t>$352.71</t>
  </si>
  <si>
    <t>1211101</t>
  </si>
  <si>
    <t>KOEHLER</t>
  </si>
  <si>
    <t>23-FEB-1950</t>
  </si>
  <si>
    <t>$61,566.09</t>
  </si>
  <si>
    <t>$270.89</t>
  </si>
  <si>
    <t>1211218</t>
  </si>
  <si>
    <t>E</t>
  </si>
  <si>
    <t>KOENKER</t>
  </si>
  <si>
    <t>$634,204.90</t>
  </si>
  <si>
    <t>$4,376.00</t>
  </si>
  <si>
    <t>$2,996.62</t>
  </si>
  <si>
    <t>1212059</t>
  </si>
  <si>
    <t>DON</t>
  </si>
  <si>
    <t>KONCHUK</t>
  </si>
  <si>
    <t>$5,135.85</t>
  </si>
  <si>
    <t>$27.22</t>
  </si>
  <si>
    <t>1212497</t>
  </si>
  <si>
    <t>KOPP</t>
  </si>
  <si>
    <t>$137,656.91</t>
  </si>
  <si>
    <t>$619.46</t>
  </si>
  <si>
    <t>1212703</t>
  </si>
  <si>
    <t>OSAMA</t>
  </si>
  <si>
    <t>KORIECH</t>
  </si>
  <si>
    <t>25-JAN-1944</t>
  </si>
  <si>
    <t>$43,568.68</t>
  </si>
  <si>
    <t>$224.02</t>
  </si>
  <si>
    <t>1212885</t>
  </si>
  <si>
    <t>MIROSLAW</t>
  </si>
  <si>
    <t>KOROL</t>
  </si>
  <si>
    <t>02-MAY-1950</t>
  </si>
  <si>
    <t>$370,235.74</t>
  </si>
  <si>
    <t>$1,468.60</t>
  </si>
  <si>
    <t>1212935</t>
  </si>
  <si>
    <t>KOROLCHUK</t>
  </si>
  <si>
    <t>$121,215.16</t>
  </si>
  <si>
    <t>$623.25</t>
  </si>
  <si>
    <t>1213198</t>
  </si>
  <si>
    <t>KORVEMAKER</t>
  </si>
  <si>
    <t>$605,754.08</t>
  </si>
  <si>
    <t>$2,523.98</t>
  </si>
  <si>
    <t>1213941</t>
  </si>
  <si>
    <t>KOSTICHUK</t>
  </si>
  <si>
    <t>$157,176.65</t>
  </si>
  <si>
    <t>$742.66</t>
  </si>
  <si>
    <t>1214477</t>
  </si>
  <si>
    <t>KOVACS</t>
  </si>
  <si>
    <t>$461,609.08</t>
  </si>
  <si>
    <t>$2,031.08</t>
  </si>
  <si>
    <t>1214485</t>
  </si>
  <si>
    <t>URSULA</t>
  </si>
  <si>
    <t>$113,730.83</t>
  </si>
  <si>
    <t>$584.77</t>
  </si>
  <si>
    <t>1215862</t>
  </si>
  <si>
    <t>VIVIAN</t>
  </si>
  <si>
    <t>KRAKOWSKI</t>
  </si>
  <si>
    <t>$311,622.38</t>
  </si>
  <si>
    <t>$1,371.14</t>
  </si>
  <si>
    <t>1216365</t>
  </si>
  <si>
    <t>KRAUS</t>
  </si>
  <si>
    <t>$923,568.73</t>
  </si>
  <si>
    <t>$4,845.00</t>
  </si>
  <si>
    <t>$4,479.31</t>
  </si>
  <si>
    <t>1216605</t>
  </si>
  <si>
    <t>KRAUSS</t>
  </si>
  <si>
    <t>$215,909.76</t>
  </si>
  <si>
    <t>$4,400.00</t>
  </si>
  <si>
    <t>$1,020.17</t>
  </si>
  <si>
    <t>1216738</t>
  </si>
  <si>
    <t>KRAWETZ</t>
  </si>
  <si>
    <t>$147,463.21</t>
  </si>
  <si>
    <t>$734.86</t>
  </si>
  <si>
    <t>1217637</t>
  </si>
  <si>
    <t>LILLIAN</t>
  </si>
  <si>
    <t>KRISTJANSON</t>
  </si>
  <si>
    <t>$66,220.19</t>
  </si>
  <si>
    <t>$312.89</t>
  </si>
  <si>
    <t>1218130</t>
  </si>
  <si>
    <t>HERMAN</t>
  </si>
  <si>
    <t>KRUGER</t>
  </si>
  <si>
    <t>03-OCT-1943</t>
  </si>
  <si>
    <t>$95,260.95</t>
  </si>
  <si>
    <t>$419.15</t>
  </si>
  <si>
    <t>1218163</t>
  </si>
  <si>
    <t>$546,316.05</t>
  </si>
  <si>
    <t>$2,403.79</t>
  </si>
  <si>
    <t>1218486</t>
  </si>
  <si>
    <t>DELORES</t>
  </si>
  <si>
    <t>KRYWULAK</t>
  </si>
  <si>
    <t>$162,728.90</t>
  </si>
  <si>
    <t>$789.24</t>
  </si>
  <si>
    <t>1218528</t>
  </si>
  <si>
    <t>$50,607.78</t>
  </si>
  <si>
    <t>$260.21</t>
  </si>
  <si>
    <t>1219120</t>
  </si>
  <si>
    <t>KULACH</t>
  </si>
  <si>
    <t>$85,294.48</t>
  </si>
  <si>
    <t>$413.68</t>
  </si>
  <si>
    <t>1219278</t>
  </si>
  <si>
    <t>ROMA</t>
  </si>
  <si>
    <t>KULSHRESHTHA</t>
  </si>
  <si>
    <t>14-APR-1949</t>
  </si>
  <si>
    <t>$39,419.48</t>
  </si>
  <si>
    <t>$177.39</t>
  </si>
  <si>
    <t>1219302</t>
  </si>
  <si>
    <t>KULYK</t>
  </si>
  <si>
    <t>$213,466.62</t>
  </si>
  <si>
    <t>$1,063.78</t>
  </si>
  <si>
    <t>1219336</t>
  </si>
  <si>
    <t>05-OCT-1945</t>
  </si>
  <si>
    <t>$2,843,932.07</t>
  </si>
  <si>
    <t>$14,172.26</t>
  </si>
  <si>
    <t>1219500</t>
  </si>
  <si>
    <t>KUNKEL</t>
  </si>
  <si>
    <t>$46,908.49</t>
  </si>
  <si>
    <t>$216.17</t>
  </si>
  <si>
    <t>1220045</t>
  </si>
  <si>
    <t>JANAVIE</t>
  </si>
  <si>
    <t>KURBIS</t>
  </si>
  <si>
    <t>$936.48</t>
  </si>
  <si>
    <t>$4.82</t>
  </si>
  <si>
    <t>1220243</t>
  </si>
  <si>
    <t>KURYLO</t>
  </si>
  <si>
    <t>$368,740.86</t>
  </si>
  <si>
    <t>$1,740.00</t>
  </si>
  <si>
    <t>$1,742.30</t>
  </si>
  <si>
    <t>1220599</t>
  </si>
  <si>
    <t>KUTER LUKS</t>
  </si>
  <si>
    <t>29-NOV-1942</t>
  </si>
  <si>
    <t>$17,295.23</t>
  </si>
  <si>
    <t>$94.84</t>
  </si>
  <si>
    <t>1221050</t>
  </si>
  <si>
    <t>KWONG</t>
  </si>
  <si>
    <t>$364,252.58</t>
  </si>
  <si>
    <t>$1,168.64</t>
  </si>
  <si>
    <t>1221357</t>
  </si>
  <si>
    <t>L'HEUREUX</t>
  </si>
  <si>
    <t>$50,281.85</t>
  </si>
  <si>
    <t>$258.53</t>
  </si>
  <si>
    <t>1221597</t>
  </si>
  <si>
    <t>LABAS</t>
  </si>
  <si>
    <t>$285,065.40</t>
  </si>
  <si>
    <t>$1,753.15</t>
  </si>
  <si>
    <t>1221605</t>
  </si>
  <si>
    <t>GERARDE</t>
  </si>
  <si>
    <t>$1,046,888.09</t>
  </si>
  <si>
    <t>$4,946.55</t>
  </si>
  <si>
    <t>1222686</t>
  </si>
  <si>
    <t>CYRIL</t>
  </si>
  <si>
    <t>LAFORGE</t>
  </si>
  <si>
    <t>23-MAR-1950</t>
  </si>
  <si>
    <t>$101,527.90</t>
  </si>
  <si>
    <t>$446.72</t>
  </si>
  <si>
    <t>1223098</t>
  </si>
  <si>
    <t>LAIRD</t>
  </si>
  <si>
    <t>11-OCT-1942</t>
  </si>
  <si>
    <t>$332.96</t>
  </si>
  <si>
    <t>$1.83</t>
  </si>
  <si>
    <t>1224245</t>
  </si>
  <si>
    <t>LAMB</t>
  </si>
  <si>
    <t>$1,124,351.01</t>
  </si>
  <si>
    <t>$4,947.14</t>
  </si>
  <si>
    <t>1224690</t>
  </si>
  <si>
    <t>YAHNKE</t>
  </si>
  <si>
    <t>$233,344.22</t>
  </si>
  <si>
    <t>$748.65</t>
  </si>
  <si>
    <t>1224856</t>
  </si>
  <si>
    <t>LANDRY</t>
  </si>
  <si>
    <t>$375,270.65</t>
  </si>
  <si>
    <t>$1,651.19</t>
  </si>
  <si>
    <t>1225648</t>
  </si>
  <si>
    <t>LANGE</t>
  </si>
  <si>
    <t>$33,928.88</t>
  </si>
  <si>
    <t>$260.00</t>
  </si>
  <si>
    <t>$160.31</t>
  </si>
  <si>
    <t>1225960</t>
  </si>
  <si>
    <t>LANGFORD</t>
  </si>
  <si>
    <t>$283,222.55</t>
  </si>
  <si>
    <t>$1,274.50</t>
  </si>
  <si>
    <t>1226067</t>
  </si>
  <si>
    <t>CAROLINE</t>
  </si>
  <si>
    <t>LANGLEY</t>
  </si>
  <si>
    <t>$78,805.75</t>
  </si>
  <si>
    <t>$354.63</t>
  </si>
  <si>
    <t>1226612</t>
  </si>
  <si>
    <t>LAPOINTE</t>
  </si>
  <si>
    <t>$336,151.81</t>
  </si>
  <si>
    <t>$1,765.00</t>
  </si>
  <si>
    <t>$1,512.68</t>
  </si>
  <si>
    <t>1226703</t>
  </si>
  <si>
    <t>$393,794.25</t>
  </si>
  <si>
    <t>$1,772.07</t>
  </si>
  <si>
    <t>1227438</t>
  </si>
  <si>
    <t>LAROSE</t>
  </si>
  <si>
    <t>26-MAR-1950</t>
  </si>
  <si>
    <t>$10,410.03</t>
  </si>
  <si>
    <t>$45.80</t>
  </si>
  <si>
    <t>1227651</t>
  </si>
  <si>
    <t>KRIVAK</t>
  </si>
  <si>
    <t>$73,230.70</t>
  </si>
  <si>
    <t>$346.02</t>
  </si>
  <si>
    <t>1227677</t>
  </si>
  <si>
    <t>LARSON</t>
  </si>
  <si>
    <t>$145,353.54</t>
  </si>
  <si>
    <t>$669.84</t>
  </si>
  <si>
    <t>1227933</t>
  </si>
  <si>
    <t>$494,551.40</t>
  </si>
  <si>
    <t>$1,792.75</t>
  </si>
  <si>
    <t>1228964</t>
  </si>
  <si>
    <t>LAUTSCH</t>
  </si>
  <si>
    <t>25-MAR-1943</t>
  </si>
  <si>
    <t>$417,461.23</t>
  </si>
  <si>
    <t>$2,212.54</t>
  </si>
  <si>
    <t>1229020</t>
  </si>
  <si>
    <t>LAVALLEE</t>
  </si>
  <si>
    <t>$509,385.95</t>
  </si>
  <si>
    <t>$2,020.56</t>
  </si>
  <si>
    <t>1229236</t>
  </si>
  <si>
    <t>LAVALLEY</t>
  </si>
  <si>
    <t>$278,682.13</t>
  </si>
  <si>
    <t>$627.04</t>
  </si>
  <si>
    <t>1229442</t>
  </si>
  <si>
    <t>LAVOIE</t>
  </si>
  <si>
    <t>$229,063.87</t>
  </si>
  <si>
    <t>$1,110.96</t>
  </si>
  <si>
    <t>1229525</t>
  </si>
  <si>
    <t>LAVOY</t>
  </si>
  <si>
    <t>$592,106.16</t>
  </si>
  <si>
    <t>$2,605.27</t>
  </si>
  <si>
    <t>1229541</t>
  </si>
  <si>
    <t>MARCEL</t>
  </si>
  <si>
    <t>02-MAY-1941</t>
  </si>
  <si>
    <t>$11,897.06</t>
  </si>
  <si>
    <t>$67.62</t>
  </si>
  <si>
    <t>1229582</t>
  </si>
  <si>
    <t>LAW</t>
  </si>
  <si>
    <t>$437,551.01</t>
  </si>
  <si>
    <t>$2,180.46</t>
  </si>
  <si>
    <t>1229848</t>
  </si>
  <si>
    <t>BETTI</t>
  </si>
  <si>
    <t>$103,262.43</t>
  </si>
  <si>
    <t>$475.87</t>
  </si>
  <si>
    <t>1229913</t>
  </si>
  <si>
    <t>$79,587.67</t>
  </si>
  <si>
    <t>$386.00</t>
  </si>
  <si>
    <t>1229970</t>
  </si>
  <si>
    <t>GILBERT</t>
  </si>
  <si>
    <t>$1,163,054.90</t>
  </si>
  <si>
    <t>$5,117.44</t>
  </si>
  <si>
    <t>1230283</t>
  </si>
  <si>
    <t>LAWSON</t>
  </si>
  <si>
    <t>$250,438.11</t>
  </si>
  <si>
    <t>$1,126.97</t>
  </si>
  <si>
    <t>1230333</t>
  </si>
  <si>
    <t>LAX</t>
  </si>
  <si>
    <t>$34,498.07</t>
  </si>
  <si>
    <t>$151.79</t>
  </si>
  <si>
    <t>1230382</t>
  </si>
  <si>
    <t>LAXDAL</t>
  </si>
  <si>
    <t>$1,293,772.54</t>
  </si>
  <si>
    <t>$6,113.08</t>
  </si>
  <si>
    <t>1230598</t>
  </si>
  <si>
    <t>LAZAR</t>
  </si>
  <si>
    <t>$138,413.91</t>
  </si>
  <si>
    <t>$816.64</t>
  </si>
  <si>
    <t>1230986</t>
  </si>
  <si>
    <t>LEADER</t>
  </si>
  <si>
    <t>$107,519.02</t>
  </si>
  <si>
    <t>$495.48</t>
  </si>
  <si>
    <t>1231687</t>
  </si>
  <si>
    <t>LECHNER</t>
  </si>
  <si>
    <t>$977,528.42</t>
  </si>
  <si>
    <t>$4,073.04</t>
  </si>
  <si>
    <t>1232156</t>
  </si>
  <si>
    <t>CHING KWAI</t>
  </si>
  <si>
    <t>06-JAN-1946</t>
  </si>
  <si>
    <t>$471,586.80</t>
  </si>
  <si>
    <t>$2,287.20</t>
  </si>
  <si>
    <t>1232248</t>
  </si>
  <si>
    <t>LIM</t>
  </si>
  <si>
    <t>$16,181.19</t>
  </si>
  <si>
    <t>$72.82</t>
  </si>
  <si>
    <t>1232313</t>
  </si>
  <si>
    <t>$789,576.29</t>
  </si>
  <si>
    <t>$3,829.45</t>
  </si>
  <si>
    <t>1233618</t>
  </si>
  <si>
    <t>LEIGH</t>
  </si>
  <si>
    <t>$460,108.15</t>
  </si>
  <si>
    <t>$3,900.00</t>
  </si>
  <si>
    <t>$2,231.52</t>
  </si>
  <si>
    <t>1233667</t>
  </si>
  <si>
    <t>LEIPPI</t>
  </si>
  <si>
    <t>$714,800.00</t>
  </si>
  <si>
    <t>$2,710.28</t>
  </si>
  <si>
    <t>1233782</t>
  </si>
  <si>
    <t>LEITAO</t>
  </si>
  <si>
    <t>30-MAR-1950</t>
  </si>
  <si>
    <t>$110,427.33</t>
  </si>
  <si>
    <t>$485.88</t>
  </si>
  <si>
    <t>1233790</t>
  </si>
  <si>
    <t>MAFALDA</t>
  </si>
  <si>
    <t>$285,587.36</t>
  </si>
  <si>
    <t>$1,385.10</t>
  </si>
  <si>
    <t>1233816</t>
  </si>
  <si>
    <t>LEITCH</t>
  </si>
  <si>
    <t>$740,677.10</t>
  </si>
  <si>
    <t>$3,413.29</t>
  </si>
  <si>
    <t>1234111</t>
  </si>
  <si>
    <t>LEMAY</t>
  </si>
  <si>
    <t>$291,357.57</t>
  </si>
  <si>
    <t>$1,342.67</t>
  </si>
  <si>
    <t>1234368</t>
  </si>
  <si>
    <t>JOANNA</t>
  </si>
  <si>
    <t>LEN</t>
  </si>
  <si>
    <t>21-JUL-1947</t>
  </si>
  <si>
    <t>$92,666.07</t>
  </si>
  <si>
    <t>$437.85</t>
  </si>
  <si>
    <t>1234509</t>
  </si>
  <si>
    <t>LAVERNE</t>
  </si>
  <si>
    <t>LENIUS</t>
  </si>
  <si>
    <t>$447,401.04</t>
  </si>
  <si>
    <t>$2,061.77</t>
  </si>
  <si>
    <t>1235019</t>
  </si>
  <si>
    <t>LEPARD</t>
  </si>
  <si>
    <t>$99,475.44</t>
  </si>
  <si>
    <t>$458.42</t>
  </si>
  <si>
    <t>1235456</t>
  </si>
  <si>
    <t>GENEVIEVE</t>
  </si>
  <si>
    <t>$644,545.23</t>
  </si>
  <si>
    <t>$3,126.04</t>
  </si>
  <si>
    <t>1236124</t>
  </si>
  <si>
    <t>LEVESQUE</t>
  </si>
  <si>
    <t>$42,179.63</t>
  </si>
  <si>
    <t>$121.27</t>
  </si>
  <si>
    <t>1236181</t>
  </si>
  <si>
    <t>$453,908.53</t>
  </si>
  <si>
    <t>$2,042.59</t>
  </si>
  <si>
    <t>1236280</t>
  </si>
  <si>
    <t>LEVSEN</t>
  </si>
  <si>
    <t>$163,336.06</t>
  </si>
  <si>
    <t>$839.82</t>
  </si>
  <si>
    <t>1236405</t>
  </si>
  <si>
    <t>ZANE</t>
  </si>
  <si>
    <t>LEWCHUK</t>
  </si>
  <si>
    <t>$1,010,937.19</t>
  </si>
  <si>
    <t>$4,658.74</t>
  </si>
  <si>
    <t>1236413</t>
  </si>
  <si>
    <t>LEWCHYSHYN</t>
  </si>
  <si>
    <t>$344,255.18</t>
  </si>
  <si>
    <t>$1,956.52</t>
  </si>
  <si>
    <t>1237064</t>
  </si>
  <si>
    <t>MATINA</t>
  </si>
  <si>
    <t>LIAGRIDONIS</t>
  </si>
  <si>
    <t>$67,157.28</t>
  </si>
  <si>
    <t>$309.48</t>
  </si>
  <si>
    <t>1237122</t>
  </si>
  <si>
    <t>LIBOIRON</t>
  </si>
  <si>
    <t>18-APR-1940</t>
  </si>
  <si>
    <t>$10,764.96</t>
  </si>
  <si>
    <t>$57.05</t>
  </si>
  <si>
    <t>1237361</t>
  </si>
  <si>
    <t>MICHIEL</t>
  </si>
  <si>
    <t>LIGTERMOET</t>
  </si>
  <si>
    <t>$50,759.15</t>
  </si>
  <si>
    <t>$228.42</t>
  </si>
  <si>
    <t>1238146</t>
  </si>
  <si>
    <t>LING</t>
  </si>
  <si>
    <t>$61,275.09</t>
  </si>
  <si>
    <t>$289.53</t>
  </si>
  <si>
    <t>1238294</t>
  </si>
  <si>
    <t>LINKS</t>
  </si>
  <si>
    <t>$350,230.63</t>
  </si>
  <si>
    <t>$1,698.62</t>
  </si>
  <si>
    <t>1238534</t>
  </si>
  <si>
    <t>LIPINSKI</t>
  </si>
  <si>
    <t>$792,277.23</t>
  </si>
  <si>
    <t>$3,948.18</t>
  </si>
  <si>
    <t>1238963</t>
  </si>
  <si>
    <t>LITCHFIELD</t>
  </si>
  <si>
    <t>$78,007.84</t>
  </si>
  <si>
    <t>$359.49</t>
  </si>
  <si>
    <t>1239029</t>
  </si>
  <si>
    <t>MABEL</t>
  </si>
  <si>
    <t>LITOWSKI</t>
  </si>
  <si>
    <t>05-MAY-1947</t>
  </si>
  <si>
    <t>$25,971.37</t>
  </si>
  <si>
    <t>$122.72</t>
  </si>
  <si>
    <t>1240498</t>
  </si>
  <si>
    <t>WILFRED</t>
  </si>
  <si>
    <t>LOEWEN</t>
  </si>
  <si>
    <t>$740,410.10</t>
  </si>
  <si>
    <t>$3,590.99</t>
  </si>
  <si>
    <t>1240639</t>
  </si>
  <si>
    <t>MILDRED</t>
  </si>
  <si>
    <t>LOGAN</t>
  </si>
  <si>
    <t>$84,580.05</t>
  </si>
  <si>
    <t>$399.64</t>
  </si>
  <si>
    <t>1240761</t>
  </si>
  <si>
    <t>DAN</t>
  </si>
  <si>
    <t>LOISELLE</t>
  </si>
  <si>
    <t>$146,549.03</t>
  </si>
  <si>
    <t>$567.70</t>
  </si>
  <si>
    <t>$692.44</t>
  </si>
  <si>
    <t>1240944</t>
  </si>
  <si>
    <t>LONG</t>
  </si>
  <si>
    <t>$415,455.62</t>
  </si>
  <si>
    <t>$1,828.01</t>
  </si>
  <si>
    <t>1240977</t>
  </si>
  <si>
    <t>$263,761.70</t>
  </si>
  <si>
    <t>$19,600.00</t>
  </si>
  <si>
    <t>$1,279.24</t>
  </si>
  <si>
    <t>1241611</t>
  </si>
  <si>
    <t>G</t>
  </si>
  <si>
    <t>DAVEY</t>
  </si>
  <si>
    <t>$8,111.70</t>
  </si>
  <si>
    <t>$49.89</t>
  </si>
  <si>
    <t>1241686</t>
  </si>
  <si>
    <t>LORENCZ</t>
  </si>
  <si>
    <t>$196,890.23</t>
  </si>
  <si>
    <t>$1,012.34</t>
  </si>
  <si>
    <t>1241736</t>
  </si>
  <si>
    <t>LORENZ</t>
  </si>
  <si>
    <t>$598,729.17</t>
  </si>
  <si>
    <t>$2,634.41</t>
  </si>
  <si>
    <t>1241785</t>
  </si>
  <si>
    <t>WALLY</t>
  </si>
  <si>
    <t>24-SEP-1949</t>
  </si>
  <si>
    <t>$24,338.38</t>
  </si>
  <si>
    <t>$109.52</t>
  </si>
  <si>
    <t>1241975</t>
  </si>
  <si>
    <t>CALVIN</t>
  </si>
  <si>
    <t>LOTH</t>
  </si>
  <si>
    <t>$895,713.30</t>
  </si>
  <si>
    <t>$3,941.14</t>
  </si>
  <si>
    <t>1242833</t>
  </si>
  <si>
    <t>LOWE</t>
  </si>
  <si>
    <t>19-SEP-1942</t>
  </si>
  <si>
    <t>$105,278.89</t>
  </si>
  <si>
    <t>$7,500.00</t>
  </si>
  <si>
    <t>$577.28</t>
  </si>
  <si>
    <t>1243716</t>
  </si>
  <si>
    <t>LUCKETT</t>
  </si>
  <si>
    <t>17-FEB-1948</t>
  </si>
  <si>
    <t>$3,858.29</t>
  </si>
  <si>
    <t>$17.78</t>
  </si>
  <si>
    <t>1244359</t>
  </si>
  <si>
    <t>LUNDAHL</t>
  </si>
  <si>
    <t>$146,163.30</t>
  </si>
  <si>
    <t>$708.89</t>
  </si>
  <si>
    <t>1244383</t>
  </si>
  <si>
    <t>BRYCE</t>
  </si>
  <si>
    <t>LUNDEEN</t>
  </si>
  <si>
    <t>$1,783,999.08</t>
  </si>
  <si>
    <t>$8,652.40</t>
  </si>
  <si>
    <t>1244441</t>
  </si>
  <si>
    <t>LUNDIN</t>
  </si>
  <si>
    <t>$80,344.55</t>
  </si>
  <si>
    <t>$353.52</t>
  </si>
  <si>
    <t>1245166</t>
  </si>
  <si>
    <t>LYNCH</t>
  </si>
  <si>
    <t>$495,413.06</t>
  </si>
  <si>
    <t>$2,179.82</t>
  </si>
  <si>
    <t>1245703</t>
  </si>
  <si>
    <t>MACAULAY</t>
  </si>
  <si>
    <t>$220,791.80</t>
  </si>
  <si>
    <t>$1,017.48</t>
  </si>
  <si>
    <t>1246461</t>
  </si>
  <si>
    <t>ROD</t>
  </si>
  <si>
    <t>MACDONALD</t>
  </si>
  <si>
    <t>$130,972.97</t>
  </si>
  <si>
    <t>$576.28</t>
  </si>
  <si>
    <t>1246560</t>
  </si>
  <si>
    <t>STUART</t>
  </si>
  <si>
    <t>12-AUG-1948</t>
  </si>
  <si>
    <t>$347,662.50</t>
  </si>
  <si>
    <t>$1,602.15</t>
  </si>
  <si>
    <t>1246925</t>
  </si>
  <si>
    <t>MACGREGOR</t>
  </si>
  <si>
    <t>$183,362.99</t>
  </si>
  <si>
    <t>$22,000.00</t>
  </si>
  <si>
    <t>$825.13</t>
  </si>
  <si>
    <t>1247006</t>
  </si>
  <si>
    <t>MORLEY</t>
  </si>
  <si>
    <t>MACHIN</t>
  </si>
  <si>
    <t>$2,081,367.75</t>
  </si>
  <si>
    <t>$5,676.00</t>
  </si>
  <si>
    <t>$9,158.02</t>
  </si>
  <si>
    <t>1247022</t>
  </si>
  <si>
    <t>RALPH</t>
  </si>
  <si>
    <t>$72,725.00</t>
  </si>
  <si>
    <t>$373.93</t>
  </si>
  <si>
    <t>1247733</t>
  </si>
  <si>
    <t>MACKENZIE</t>
  </si>
  <si>
    <t>$59,697.71</t>
  </si>
  <si>
    <t>$363.00</t>
  </si>
  <si>
    <t>$282.07</t>
  </si>
  <si>
    <t>1248079</t>
  </si>
  <si>
    <t>MACKINNON</t>
  </si>
  <si>
    <t>$748,384.19</t>
  </si>
  <si>
    <t>$3,536.12</t>
  </si>
  <si>
    <t>1248202</t>
  </si>
  <si>
    <t>MACKRILL</t>
  </si>
  <si>
    <t>$937,350.29</t>
  </si>
  <si>
    <t>$3,257.29</t>
  </si>
  <si>
    <t>1248897</t>
  </si>
  <si>
    <t>MACPHEAT</t>
  </si>
  <si>
    <t>$195,066.15</t>
  </si>
  <si>
    <t>$921.69</t>
  </si>
  <si>
    <t>1248913</t>
  </si>
  <si>
    <t>$319,542.83</t>
  </si>
  <si>
    <t>$1,472.56</t>
  </si>
  <si>
    <t>1249358</t>
  </si>
  <si>
    <t>GERALDINE</t>
  </si>
  <si>
    <t>MADILL</t>
  </si>
  <si>
    <t>$113,965.09</t>
  </si>
  <si>
    <t>$552.73</t>
  </si>
  <si>
    <t>1249473</t>
  </si>
  <si>
    <t>RENATO</t>
  </si>
  <si>
    <t>$55,768.58</t>
  </si>
  <si>
    <t>$286.74</t>
  </si>
  <si>
    <t>1250398</t>
  </si>
  <si>
    <t>MAIER</t>
  </si>
  <si>
    <t>$976,259.29</t>
  </si>
  <si>
    <t>$3,701.65</t>
  </si>
  <si>
    <t>1250653</t>
  </si>
  <si>
    <t>DWAIN</t>
  </si>
  <si>
    <t>MAIN</t>
  </si>
  <si>
    <t>$15,865.12</t>
  </si>
  <si>
    <t>$73.11</t>
  </si>
  <si>
    <t>1251040</t>
  </si>
  <si>
    <t>MALACH</t>
  </si>
  <si>
    <t>21-FEB-1945</t>
  </si>
  <si>
    <t>$50,210.09</t>
  </si>
  <si>
    <t>$250.21</t>
  </si>
  <si>
    <t>1252394</t>
  </si>
  <si>
    <t>MANSIERE</t>
  </si>
  <si>
    <t>21-APR-1950</t>
  </si>
  <si>
    <t>$57,044.03</t>
  </si>
  <si>
    <t>$250.99</t>
  </si>
  <si>
    <t>1253855</t>
  </si>
  <si>
    <t>MARKELL</t>
  </si>
  <si>
    <t>$776,802.21</t>
  </si>
  <si>
    <t>$5,200.00</t>
  </si>
  <si>
    <t>$3,579.76</t>
  </si>
  <si>
    <t>1253996</t>
  </si>
  <si>
    <t>CORINNE</t>
  </si>
  <si>
    <t>MARKO</t>
  </si>
  <si>
    <t>$166,356.09</t>
  </si>
  <si>
    <t>$786.03</t>
  </si>
  <si>
    <t>1254259</t>
  </si>
  <si>
    <t>OLIVE</t>
  </si>
  <si>
    <t>MARRIOTT</t>
  </si>
  <si>
    <t>$138,314.61</t>
  </si>
  <si>
    <t>$711.17</t>
  </si>
  <si>
    <t>1254713</t>
  </si>
  <si>
    <t>J.P.</t>
  </si>
  <si>
    <t>MARSOLLIER</t>
  </si>
  <si>
    <t>$99,073.10</t>
  </si>
  <si>
    <t>$370.00</t>
  </si>
  <si>
    <t>$468.12</t>
  </si>
  <si>
    <t>1255041</t>
  </si>
  <si>
    <t>$863,965.19</t>
  </si>
  <si>
    <t>$3,002.28</t>
  </si>
  <si>
    <t>1255348</t>
  </si>
  <si>
    <t>FAYE</t>
  </si>
  <si>
    <t>$279,929.75</t>
  </si>
  <si>
    <t>$1,322.67</t>
  </si>
  <si>
    <t>1255637</t>
  </si>
  <si>
    <t>$77,422.01</t>
  </si>
  <si>
    <t>$340.66</t>
  </si>
  <si>
    <t>1255660</t>
  </si>
  <si>
    <t>$33,312.80</t>
  </si>
  <si>
    <t>$146.58</t>
  </si>
  <si>
    <t>1256049</t>
  </si>
  <si>
    <t>MARTINUK</t>
  </si>
  <si>
    <t>$15,252.98</t>
  </si>
  <si>
    <t>$70.29</t>
  </si>
  <si>
    <t>1256338</t>
  </si>
  <si>
    <t>IVY</t>
  </si>
  <si>
    <t>MASICH</t>
  </si>
  <si>
    <t>09-APR-1943</t>
  </si>
  <si>
    <t>$462,025.77</t>
  </si>
  <si>
    <t>$2,448.74</t>
  </si>
  <si>
    <t>1256411</t>
  </si>
  <si>
    <t>MASNIUK</t>
  </si>
  <si>
    <t>$310,559.95</t>
  </si>
  <si>
    <t>$1,431.16</t>
  </si>
  <si>
    <t>1256452</t>
  </si>
  <si>
    <t>BRADLY</t>
  </si>
  <si>
    <t>MASON</t>
  </si>
  <si>
    <t>03-OCT-1949</t>
  </si>
  <si>
    <t>$32,952.75</t>
  </si>
  <si>
    <t>$148.29</t>
  </si>
  <si>
    <t>1256643</t>
  </si>
  <si>
    <t>MARIAN</t>
  </si>
  <si>
    <t>MASSEL</t>
  </si>
  <si>
    <t>$362,538.64</t>
  </si>
  <si>
    <t>$1,595.17</t>
  </si>
  <si>
    <t>1256775</t>
  </si>
  <si>
    <t>MASSON</t>
  </si>
  <si>
    <t>$33,989.37</t>
  </si>
  <si>
    <t>$174.76</t>
  </si>
  <si>
    <t>1256783</t>
  </si>
  <si>
    <t>IBRAHIM</t>
  </si>
  <si>
    <t>MASSOUD</t>
  </si>
  <si>
    <t>$51,980.09</t>
  </si>
  <si>
    <t>$267.26</t>
  </si>
  <si>
    <t>1257468</t>
  </si>
  <si>
    <t>MATHIESON</t>
  </si>
  <si>
    <t>$295,364.41</t>
  </si>
  <si>
    <t>$1,026.39</t>
  </si>
  <si>
    <t>1257559</t>
  </si>
  <si>
    <t>BRIJESH</t>
  </si>
  <si>
    <t>MATHUR</t>
  </si>
  <si>
    <t>$1,013,429.61</t>
  </si>
  <si>
    <t>$4,788.46</t>
  </si>
  <si>
    <t>1257617</t>
  </si>
  <si>
    <t>EVELYN</t>
  </si>
  <si>
    <t>MATICK</t>
  </si>
  <si>
    <t>$15,282.72</t>
  </si>
  <si>
    <t>$70.43</t>
  </si>
  <si>
    <t>1257831</t>
  </si>
  <si>
    <t>$145,167.12</t>
  </si>
  <si>
    <t>$668.98</t>
  </si>
  <si>
    <t>1258094</t>
  </si>
  <si>
    <t xml:space="preserve">D. </t>
  </si>
  <si>
    <t>MATTHIES</t>
  </si>
  <si>
    <t>$215,112.64</t>
  </si>
  <si>
    <t>$1,071.98</t>
  </si>
  <si>
    <t>1259316</t>
  </si>
  <si>
    <t>MAYNARD</t>
  </si>
  <si>
    <t>$134,134.86</t>
  </si>
  <si>
    <t>$689.68</t>
  </si>
  <si>
    <t>1260306</t>
  </si>
  <si>
    <t>MCAVOY</t>
  </si>
  <si>
    <t>20-OCT-1945</t>
  </si>
  <si>
    <t>$20,247.02</t>
  </si>
  <si>
    <t>$89.09</t>
  </si>
  <si>
    <t>1261825</t>
  </si>
  <si>
    <t>MCCONNELL</t>
  </si>
  <si>
    <t>13-DEC-1950</t>
  </si>
  <si>
    <t>$34,313.69</t>
  </si>
  <si>
    <t>$150.98</t>
  </si>
  <si>
    <t>1262336</t>
  </si>
  <si>
    <t>MCCRUM</t>
  </si>
  <si>
    <t>$1,149,214.69</t>
  </si>
  <si>
    <t>$5,056.55</t>
  </si>
  <si>
    <t>1262609</t>
  </si>
  <si>
    <t>MCCULLOUGH</t>
  </si>
  <si>
    <t>$50,915.91</t>
  </si>
  <si>
    <t>$184.57</t>
  </si>
  <si>
    <t>1263342</t>
  </si>
  <si>
    <t>MCDONALD</t>
  </si>
  <si>
    <t>$685,045.27</t>
  </si>
  <si>
    <t>$3,082.70</t>
  </si>
  <si>
    <t>1263375</t>
  </si>
  <si>
    <t>MCDONALD BULGER</t>
  </si>
  <si>
    <t>$30,735.64</t>
  </si>
  <si>
    <t>$138.31</t>
  </si>
  <si>
    <t>1263433</t>
  </si>
  <si>
    <t>INGRID</t>
  </si>
  <si>
    <t>MCDOUGALD</t>
  </si>
  <si>
    <t>$202,268.80</t>
  </si>
  <si>
    <t>$932.12</t>
  </si>
  <si>
    <t>1264431</t>
  </si>
  <si>
    <t>MCGILP</t>
  </si>
  <si>
    <t>$492,345.64</t>
  </si>
  <si>
    <t>$2,268.89</t>
  </si>
  <si>
    <t>1264779</t>
  </si>
  <si>
    <t>ALEX</t>
  </si>
  <si>
    <t>MCGREGOR</t>
  </si>
  <si>
    <t>$1,620,505.01</t>
  </si>
  <si>
    <t>$6,752.10</t>
  </si>
  <si>
    <t>1264829</t>
  </si>
  <si>
    <t>$206,530.61</t>
  </si>
  <si>
    <t>$1,061.91</t>
  </si>
  <si>
    <t>1264985</t>
  </si>
  <si>
    <t>MCGUIRE</t>
  </si>
  <si>
    <t>04-DEC-1950</t>
  </si>
  <si>
    <t>$275,167.68</t>
  </si>
  <si>
    <t>$1,210.74</t>
  </si>
  <si>
    <t>1265040</t>
  </si>
  <si>
    <t>CAROLYNNE</t>
  </si>
  <si>
    <t>MCHARG</t>
  </si>
  <si>
    <t>$133,639.13</t>
  </si>
  <si>
    <t>$601.38</t>
  </si>
  <si>
    <t>1265271</t>
  </si>
  <si>
    <t>MCINTOSH</t>
  </si>
  <si>
    <t>$287,487.60</t>
  </si>
  <si>
    <t>$1,324.84</t>
  </si>
  <si>
    <t>1265388</t>
  </si>
  <si>
    <t>MCINTOSH BROBERG</t>
  </si>
  <si>
    <t>$518,925.31</t>
  </si>
  <si>
    <t>$2,162.19</t>
  </si>
  <si>
    <t>1266337</t>
  </si>
  <si>
    <t>MCKAY</t>
  </si>
  <si>
    <t>26-APR-1948</t>
  </si>
  <si>
    <t>$62,133.20</t>
  </si>
  <si>
    <t>$286.33</t>
  </si>
  <si>
    <t>1266600</t>
  </si>
  <si>
    <t>JEANETTE</t>
  </si>
  <si>
    <t>MCKEE</t>
  </si>
  <si>
    <t>$460,650.55</t>
  </si>
  <si>
    <t>$3,825.00</t>
  </si>
  <si>
    <t>$1,827.25</t>
  </si>
  <si>
    <t>1266733</t>
  </si>
  <si>
    <t>N</t>
  </si>
  <si>
    <t>MCKENDRY</t>
  </si>
  <si>
    <t>$1,055,906.57</t>
  </si>
  <si>
    <t>$4,751.58</t>
  </si>
  <si>
    <t>1266741</t>
  </si>
  <si>
    <t>$1,201,192.96</t>
  </si>
  <si>
    <t>$5,405.37</t>
  </si>
  <si>
    <t>1267145</t>
  </si>
  <si>
    <t>25-SEP-1945</t>
  </si>
  <si>
    <t>$212,285.66</t>
  </si>
  <si>
    <t>$1,057.89</t>
  </si>
  <si>
    <t>1267343</t>
  </si>
  <si>
    <t>MCKENZIE</t>
  </si>
  <si>
    <t>$233,303.92</t>
  </si>
  <si>
    <t>$1,026.54</t>
  </si>
  <si>
    <t>1267772</t>
  </si>
  <si>
    <t>MCLACHLAN</t>
  </si>
  <si>
    <t>$418,416.34</t>
  </si>
  <si>
    <t>$1,882.87</t>
  </si>
  <si>
    <t>1267806</t>
  </si>
  <si>
    <t>MCLAFFERTY</t>
  </si>
  <si>
    <t>$182,002.76</t>
  </si>
  <si>
    <t>$964.62</t>
  </si>
  <si>
    <t>1267848</t>
  </si>
  <si>
    <t>MCLANE</t>
  </si>
  <si>
    <t>$165,072.31</t>
  </si>
  <si>
    <t>$8,909.52</t>
  </si>
  <si>
    <t>$742.83</t>
  </si>
  <si>
    <t>1268812</t>
  </si>
  <si>
    <t>MCLEOD</t>
  </si>
  <si>
    <t>$479,511.61</t>
  </si>
  <si>
    <t>$2,325.63</t>
  </si>
  <si>
    <t>1268994</t>
  </si>
  <si>
    <t>$227,302.89</t>
  </si>
  <si>
    <t>$1,074.01</t>
  </si>
  <si>
    <t>1269372</t>
  </si>
  <si>
    <t>THOMAS</t>
  </si>
  <si>
    <t>MCMANUS</t>
  </si>
  <si>
    <t>$8,025.86</t>
  </si>
  <si>
    <t>$42.54</t>
  </si>
  <si>
    <t>1270073</t>
  </si>
  <si>
    <t>MCNAUGHTON</t>
  </si>
  <si>
    <t>16-SEP-1947</t>
  </si>
  <si>
    <t>$37,698.41</t>
  </si>
  <si>
    <t>$165.87</t>
  </si>
  <si>
    <t>1270149</t>
  </si>
  <si>
    <t>MCNEIL</t>
  </si>
  <si>
    <t>$201,594.91</t>
  </si>
  <si>
    <t>$646.78</t>
  </si>
  <si>
    <t>1270479</t>
  </si>
  <si>
    <t>MCPHERSON</t>
  </si>
  <si>
    <t>$564,813.50</t>
  </si>
  <si>
    <t>$2,485.18</t>
  </si>
  <si>
    <t>1270909</t>
  </si>
  <si>
    <t>MCRORIE</t>
  </si>
  <si>
    <t>$218,705.33</t>
  </si>
  <si>
    <t>$1,089.88</t>
  </si>
  <si>
    <t>1271204</t>
  </si>
  <si>
    <t>MEACHEM</t>
  </si>
  <si>
    <t>$387,974.55</t>
  </si>
  <si>
    <t>$1,471.07</t>
  </si>
  <si>
    <t>1271782</t>
  </si>
  <si>
    <t>MEEKMA</t>
  </si>
  <si>
    <t>09-JUL-1947</t>
  </si>
  <si>
    <t>$240,872.66</t>
  </si>
  <si>
    <t>$955.46</t>
  </si>
  <si>
    <t>1272764</t>
  </si>
  <si>
    <t>FREDRICK</t>
  </si>
  <si>
    <t>MELNYK</t>
  </si>
  <si>
    <t>$11,645.58</t>
  </si>
  <si>
    <t>$58.03</t>
  </si>
  <si>
    <t>1273879</t>
  </si>
  <si>
    <t>MESSER</t>
  </si>
  <si>
    <t>26-MAY-1941</t>
  </si>
  <si>
    <t>$1,112,300.28</t>
  </si>
  <si>
    <t>$6,321.57</t>
  </si>
  <si>
    <t>1274513</t>
  </si>
  <si>
    <t>MEYERS</t>
  </si>
  <si>
    <t>$342,489.12</t>
  </si>
  <si>
    <t>$1,877.98</t>
  </si>
  <si>
    <t>1274778</t>
  </si>
  <si>
    <t>MICHAUD</t>
  </si>
  <si>
    <t>$265,870.67</t>
  </si>
  <si>
    <t>$1,225.22</t>
  </si>
  <si>
    <t>1275239</t>
  </si>
  <si>
    <t>MIDDLETON</t>
  </si>
  <si>
    <t>23-OCT-1945</t>
  </si>
  <si>
    <t>$56,244.69</t>
  </si>
  <si>
    <t>$280.29</t>
  </si>
  <si>
    <t>1275650</t>
  </si>
  <si>
    <t>MIKULSKY</t>
  </si>
  <si>
    <t>$61,369.81</t>
  </si>
  <si>
    <t>$322.00</t>
  </si>
  <si>
    <t>$325.26</t>
  </si>
  <si>
    <t>1275767</t>
  </si>
  <si>
    <t>MILEN</t>
  </si>
  <si>
    <t>$138,326.03</t>
  </si>
  <si>
    <t>$637.45</t>
  </si>
  <si>
    <t>1275825</t>
  </si>
  <si>
    <t>LEANNE</t>
  </si>
  <si>
    <t>MILES</t>
  </si>
  <si>
    <t>$706,036.36</t>
  </si>
  <si>
    <t>$3,225.00</t>
  </si>
  <si>
    <t>$3,177.16</t>
  </si>
  <si>
    <t>1275841</t>
  </si>
  <si>
    <t>$142,777.99</t>
  </si>
  <si>
    <t>$3,055.00</t>
  </si>
  <si>
    <t>$711.51</t>
  </si>
  <si>
    <t>1276211</t>
  </si>
  <si>
    <t>MILLER</t>
  </si>
  <si>
    <t>$265,680.66</t>
  </si>
  <si>
    <t>$675.00</t>
  </si>
  <si>
    <t>$502.58</t>
  </si>
  <si>
    <t>1276716</t>
  </si>
  <si>
    <t>30-JAN-1945</t>
  </si>
  <si>
    <t>$185,433.58</t>
  </si>
  <si>
    <t>$854.54</t>
  </si>
  <si>
    <t>1276732</t>
  </si>
  <si>
    <t>GLENDA</t>
  </si>
  <si>
    <t>$239,730.94</t>
  </si>
  <si>
    <t>$1,054.82</t>
  </si>
  <si>
    <t>1277458</t>
  </si>
  <si>
    <t>SHERRY</t>
  </si>
  <si>
    <t>$143,228.32</t>
  </si>
  <si>
    <t>$630.21</t>
  </si>
  <si>
    <t>1277771</t>
  </si>
  <si>
    <t>MILLIKEN</t>
  </si>
  <si>
    <t>$20,297.00</t>
  </si>
  <si>
    <t>$80.51</t>
  </si>
  <si>
    <t>1278043</t>
  </si>
  <si>
    <t>MILLWARD</t>
  </si>
  <si>
    <t>$29,379.06</t>
  </si>
  <si>
    <t>$129.27</t>
  </si>
  <si>
    <t>1278068</t>
  </si>
  <si>
    <t>MILNE</t>
  </si>
  <si>
    <t>$604,737.66</t>
  </si>
  <si>
    <t>$2,721.32</t>
  </si>
  <si>
    <t>1278415</t>
  </si>
  <si>
    <t>MINSKI</t>
  </si>
  <si>
    <t>$79,536.42</t>
  </si>
  <si>
    <t>$408.95</t>
  </si>
  <si>
    <t>1278993</t>
  </si>
  <si>
    <t>MITCHELL</t>
  </si>
  <si>
    <t>28-JUN-1947</t>
  </si>
  <si>
    <t>$58,065.67</t>
  </si>
  <si>
    <t>$267.59</t>
  </si>
  <si>
    <t>1279686</t>
  </si>
  <si>
    <t>MIZANSKI</t>
  </si>
  <si>
    <t>$1,220,279.24</t>
  </si>
  <si>
    <t>$4,423.51</t>
  </si>
  <si>
    <t>1279835</t>
  </si>
  <si>
    <t>MOBERLY</t>
  </si>
  <si>
    <t>$66,771.89</t>
  </si>
  <si>
    <t>$850.00</t>
  </si>
  <si>
    <t>$353.89</t>
  </si>
  <si>
    <t>1280304</t>
  </si>
  <si>
    <t>MOFFAT</t>
  </si>
  <si>
    <t>$1,696,293.33</t>
  </si>
  <si>
    <t>$7,463.69</t>
  </si>
  <si>
    <t>1280734</t>
  </si>
  <si>
    <t>ELSIE</t>
  </si>
  <si>
    <t>MOHR</t>
  </si>
  <si>
    <t>$18,431.36</t>
  </si>
  <si>
    <t>$84.94</t>
  </si>
  <si>
    <t>1281096</t>
  </si>
  <si>
    <t>MOLDOWAN</t>
  </si>
  <si>
    <t>$185,407.42</t>
  </si>
  <si>
    <t>$815.79</t>
  </si>
  <si>
    <t>1281179</t>
  </si>
  <si>
    <t>RAMON</t>
  </si>
  <si>
    <t>MOLINA</t>
  </si>
  <si>
    <t>$28,251.98</t>
  </si>
  <si>
    <t>$133.49</t>
  </si>
  <si>
    <t>1281641</t>
  </si>
  <si>
    <t>MONCUR</t>
  </si>
  <si>
    <t>$309,236.77</t>
  </si>
  <si>
    <t>$1,461.14</t>
  </si>
  <si>
    <t>1281658</t>
  </si>
  <si>
    <t>$464,196.58</t>
  </si>
  <si>
    <t>$2,088.89</t>
  </si>
  <si>
    <t>1282433</t>
  </si>
  <si>
    <t>MOONEY</t>
  </si>
  <si>
    <t>$501,718.21</t>
  </si>
  <si>
    <t>$2,500.23</t>
  </si>
  <si>
    <t>1282672</t>
  </si>
  <si>
    <t>DARIEN</t>
  </si>
  <si>
    <t>MOORE</t>
  </si>
  <si>
    <t>$503,261.55</t>
  </si>
  <si>
    <t>$2,893.75</t>
  </si>
  <si>
    <t>$2,377.91</t>
  </si>
  <si>
    <t>1282714</t>
  </si>
  <si>
    <t>$88,362.46</t>
  </si>
  <si>
    <t>$397.63</t>
  </si>
  <si>
    <t>1282730</t>
  </si>
  <si>
    <t>$371,015.23</t>
  </si>
  <si>
    <t>$1,709.76</t>
  </si>
  <si>
    <t>1283233</t>
  </si>
  <si>
    <t>MOORHEAD</t>
  </si>
  <si>
    <t>$359,624.83</t>
  </si>
  <si>
    <t>$1,657.27</t>
  </si>
  <si>
    <t>1283258</t>
  </si>
  <si>
    <t>MOORMAN</t>
  </si>
  <si>
    <t>$235,315.08</t>
  </si>
  <si>
    <t>$1,035.39</t>
  </si>
  <si>
    <t>1283506</t>
  </si>
  <si>
    <t>MORAVEC</t>
  </si>
  <si>
    <t>$238,213.30</t>
  </si>
  <si>
    <t>$1,048.14</t>
  </si>
  <si>
    <t>1283522</t>
  </si>
  <si>
    <t>MORCOM</t>
  </si>
  <si>
    <t>$18,217.31</t>
  </si>
  <si>
    <t>$83.95</t>
  </si>
  <si>
    <t>1283787</t>
  </si>
  <si>
    <t>MORGAN</t>
  </si>
  <si>
    <t>07-OCT-1950</t>
  </si>
  <si>
    <t>$1,261,635.36</t>
  </si>
  <si>
    <t>$3,290.77</t>
  </si>
  <si>
    <t>1283860</t>
  </si>
  <si>
    <t>$141,685.62</t>
  </si>
  <si>
    <t>$590.36</t>
  </si>
  <si>
    <t>1283886</t>
  </si>
  <si>
    <t>$51,163.18</t>
  </si>
  <si>
    <t>$225.12</t>
  </si>
  <si>
    <t>1284447</t>
  </si>
  <si>
    <t>ESTATE OF GILBERT</t>
  </si>
  <si>
    <t>MORIN</t>
  </si>
  <si>
    <t>10-JUN-1948</t>
  </si>
  <si>
    <t>$118,500.10</t>
  </si>
  <si>
    <t>$546.09</t>
  </si>
  <si>
    <t>1284603</t>
  </si>
  <si>
    <t>26-FEB-1940</t>
  </si>
  <si>
    <t>$4,291.79</t>
  </si>
  <si>
    <t>$25.32</t>
  </si>
  <si>
    <t>1285006</t>
  </si>
  <si>
    <t>$223,384.86</t>
  </si>
  <si>
    <t>$982.89</t>
  </si>
  <si>
    <t>1285659</t>
  </si>
  <si>
    <t>MORRISON</t>
  </si>
  <si>
    <t>$97,430.87</t>
  </si>
  <si>
    <t>$560.00</t>
  </si>
  <si>
    <t>$460.36</t>
  </si>
  <si>
    <t>1285915</t>
  </si>
  <si>
    <t>MORRISSETTE</t>
  </si>
  <si>
    <t>$40,222.97</t>
  </si>
  <si>
    <t>$181.00</t>
  </si>
  <si>
    <t>1286681</t>
  </si>
  <si>
    <t>STEPHEN</t>
  </si>
  <si>
    <t>MOSSNY</t>
  </si>
  <si>
    <t>$310,323.26</t>
  </si>
  <si>
    <t>$1,701.61</t>
  </si>
  <si>
    <t>1286871</t>
  </si>
  <si>
    <t>MOWBRAY</t>
  </si>
  <si>
    <t>$811,107.17</t>
  </si>
  <si>
    <t>$2,818.60</t>
  </si>
  <si>
    <t>1286897</t>
  </si>
  <si>
    <t xml:space="preserve">G. </t>
  </si>
  <si>
    <t>MOXLEY</t>
  </si>
  <si>
    <t>$732,921.32</t>
  </si>
  <si>
    <t>$3,224.85</t>
  </si>
  <si>
    <t>1287408</t>
  </si>
  <si>
    <t>MUIR</t>
  </si>
  <si>
    <t>$314,383.64</t>
  </si>
  <si>
    <t>$2,550.00</t>
  </si>
  <si>
    <t>$1,414.73</t>
  </si>
  <si>
    <t>1287614</t>
  </si>
  <si>
    <t>MULHALL</t>
  </si>
  <si>
    <t>$785,048.71</t>
  </si>
  <si>
    <t>$3,454.21</t>
  </si>
  <si>
    <t>1287721</t>
  </si>
  <si>
    <t>MULLEN</t>
  </si>
  <si>
    <t>$41,905.07</t>
  </si>
  <si>
    <t>$91.84</t>
  </si>
  <si>
    <t>1287739</t>
  </si>
  <si>
    <t>MULLIGAN</t>
  </si>
  <si>
    <t>$177,751.46</t>
  </si>
  <si>
    <t>$644.35</t>
  </si>
  <si>
    <t>1288372</t>
  </si>
  <si>
    <t>BETTY</t>
  </si>
  <si>
    <t>SCHMALTZ</t>
  </si>
  <si>
    <t>$388,700.84</t>
  </si>
  <si>
    <t>$1,749.15</t>
  </si>
  <si>
    <t>1288398</t>
  </si>
  <si>
    <t>MUNSHAW</t>
  </si>
  <si>
    <t>$142,591.55</t>
  </si>
  <si>
    <t>$627.40</t>
  </si>
  <si>
    <t>1288497</t>
  </si>
  <si>
    <t>KATHLEEN</t>
  </si>
  <si>
    <t>MURCHISON</t>
  </si>
  <si>
    <t>01-JUL-1946</t>
  </si>
  <si>
    <t>$507,303.68</t>
  </si>
  <si>
    <t>$15,000.00</t>
  </si>
  <si>
    <t>$2,460.42</t>
  </si>
  <si>
    <t>1289453</t>
  </si>
  <si>
    <t>MUSGROVE</t>
  </si>
  <si>
    <t>$406,426.57</t>
  </si>
  <si>
    <t>$1,412.33</t>
  </si>
  <si>
    <t>1289693</t>
  </si>
  <si>
    <t>MUSTATIA</t>
  </si>
  <si>
    <t>$256,466.46</t>
  </si>
  <si>
    <t>$1,557.56</t>
  </si>
  <si>
    <t>$972.44</t>
  </si>
  <si>
    <t>1289719</t>
  </si>
  <si>
    <t>MUTCH</t>
  </si>
  <si>
    <t>$817,984.43</t>
  </si>
  <si>
    <t>$3,769.55</t>
  </si>
  <si>
    <t>1289917</t>
  </si>
  <si>
    <t xml:space="preserve">LEONARD </t>
  </si>
  <si>
    <t>MYERS</t>
  </si>
  <si>
    <t>22-SEP-1949</t>
  </si>
  <si>
    <t>$12,968.13</t>
  </si>
  <si>
    <t>$58.36</t>
  </si>
  <si>
    <t>1290154</t>
  </si>
  <si>
    <t>SONIA</t>
  </si>
  <si>
    <t>MYSAK</t>
  </si>
  <si>
    <t>$188,109.14</t>
  </si>
  <si>
    <t>$888.82</t>
  </si>
  <si>
    <t>1291186</t>
  </si>
  <si>
    <t>VASUDEVAN</t>
  </si>
  <si>
    <t>NAIR</t>
  </si>
  <si>
    <t>$387,227.31</t>
  </si>
  <si>
    <t>$1,929.68</t>
  </si>
  <si>
    <t>1291418</t>
  </si>
  <si>
    <t>KRIS</t>
  </si>
  <si>
    <t>NANAN</t>
  </si>
  <si>
    <t>$1,161,910.66</t>
  </si>
  <si>
    <t>$4,487.00</t>
  </si>
  <si>
    <t>$5,790.19</t>
  </si>
  <si>
    <t>1291426</t>
  </si>
  <si>
    <t>27-NOV-1949</t>
  </si>
  <si>
    <t>$256,100.51</t>
  </si>
  <si>
    <t>$1,152.45</t>
  </si>
  <si>
    <t>1291525</t>
  </si>
  <si>
    <t>DARRYL</t>
  </si>
  <si>
    <t>NARGANG</t>
  </si>
  <si>
    <t>23-OCT-1948</t>
  </si>
  <si>
    <t>$2,151,892.61</t>
  </si>
  <si>
    <t>$7,477.83</t>
  </si>
  <si>
    <t>1292200</t>
  </si>
  <si>
    <t>NEB</t>
  </si>
  <si>
    <t>$303,410.93</t>
  </si>
  <si>
    <t>$1,471.54</t>
  </si>
  <si>
    <t>1292457</t>
  </si>
  <si>
    <t>NINIAN</t>
  </si>
  <si>
    <t>NEGADO</t>
  </si>
  <si>
    <t>$593,500.77</t>
  </si>
  <si>
    <t>$2,804.29</t>
  </si>
  <si>
    <t>1292523</t>
  </si>
  <si>
    <t>SARAH</t>
  </si>
  <si>
    <t>NEHRING</t>
  </si>
  <si>
    <t>$6,036.13</t>
  </si>
  <si>
    <t>$33.10</t>
  </si>
  <si>
    <t>1292549</t>
  </si>
  <si>
    <t>NEIDER</t>
  </si>
  <si>
    <t>16-MAY-1939</t>
  </si>
  <si>
    <t>$369,500.76</t>
  </si>
  <si>
    <t>$2,180.05</t>
  </si>
  <si>
    <t>1292630</t>
  </si>
  <si>
    <t>$31,775.93</t>
  </si>
  <si>
    <t>$150.14</t>
  </si>
  <si>
    <t>1292663</t>
  </si>
  <si>
    <t>DIANE</t>
  </si>
  <si>
    <t>NEILL</t>
  </si>
  <si>
    <t>$34,286.65</t>
  </si>
  <si>
    <t>$166.29</t>
  </si>
  <si>
    <t>1292796</t>
  </si>
  <si>
    <t>VIKTOR</t>
  </si>
  <si>
    <t>NEIMANIS</t>
  </si>
  <si>
    <t>25-MAR-1949</t>
  </si>
  <si>
    <t>$429,301.42</t>
  </si>
  <si>
    <t>$1,377.34</t>
  </si>
  <si>
    <t>1292952</t>
  </si>
  <si>
    <t>NELL</t>
  </si>
  <si>
    <t>$2,545,088.30</t>
  </si>
  <si>
    <t>$11,728.62</t>
  </si>
  <si>
    <t>1293034</t>
  </si>
  <si>
    <t>BLAYNE</t>
  </si>
  <si>
    <t>NELSON</t>
  </si>
  <si>
    <t>12-APR-1948</t>
  </si>
  <si>
    <t>$246,389.35</t>
  </si>
  <si>
    <t>1294693</t>
  </si>
  <si>
    <t>NEUFELD</t>
  </si>
  <si>
    <t>$180,074.57</t>
  </si>
  <si>
    <t>$750.31</t>
  </si>
  <si>
    <t>1294784</t>
  </si>
  <si>
    <t>MELVIN</t>
  </si>
  <si>
    <t>$81,376.82</t>
  </si>
  <si>
    <t>$366.20</t>
  </si>
  <si>
    <t>1295179</t>
  </si>
  <si>
    <t>NEURAUTER</t>
  </si>
  <si>
    <t>$292,980.63</t>
  </si>
  <si>
    <t>$1,606.51</t>
  </si>
  <si>
    <t>1295518</t>
  </si>
  <si>
    <t>ALMA</t>
  </si>
  <si>
    <t>NEWMAN</t>
  </si>
  <si>
    <t>$395,845.93</t>
  </si>
  <si>
    <t>$1,919.85</t>
  </si>
  <si>
    <t>1295526</t>
  </si>
  <si>
    <t>$730,433.28</t>
  </si>
  <si>
    <t>$3,871.30</t>
  </si>
  <si>
    <t>1295682</t>
  </si>
  <si>
    <t>NEWSHAM</t>
  </si>
  <si>
    <t>$55,847.01</t>
  </si>
  <si>
    <t>$317.40</t>
  </si>
  <si>
    <t>1295773</t>
  </si>
  <si>
    <t>MCNULTY</t>
  </si>
  <si>
    <t>$497,582.66</t>
  </si>
  <si>
    <t>$3,350.00</t>
  </si>
  <si>
    <t>$2,351.08</t>
  </si>
  <si>
    <t>1295997</t>
  </si>
  <si>
    <t>CHANSING</t>
  </si>
  <si>
    <t>NGAKHAM</t>
  </si>
  <si>
    <t>$369,740.21</t>
  </si>
  <si>
    <t>$1,703.89</t>
  </si>
  <si>
    <t>1296011</t>
  </si>
  <si>
    <t>MEN</t>
  </si>
  <si>
    <t>NGO</t>
  </si>
  <si>
    <t>$33,359.07</t>
  </si>
  <si>
    <t>$150.12</t>
  </si>
  <si>
    <t>1296417</t>
  </si>
  <si>
    <t>NICHOLLS</t>
  </si>
  <si>
    <t>$280,057.49</t>
  </si>
  <si>
    <t>$1,232.25</t>
  </si>
  <si>
    <t>1296763</t>
  </si>
  <si>
    <t>NICK</t>
  </si>
  <si>
    <t>$909,972.76</t>
  </si>
  <si>
    <t>$4,193.46</t>
  </si>
  <si>
    <t>1297639</t>
  </si>
  <si>
    <t>SATINDAR</t>
  </si>
  <si>
    <t>NIJHAWAN</t>
  </si>
  <si>
    <t>12-OCT-1945</t>
  </si>
  <si>
    <t>$864,948.63</t>
  </si>
  <si>
    <t>$2,775.04</t>
  </si>
  <si>
    <t>1297779</t>
  </si>
  <si>
    <t>ARVID</t>
  </si>
  <si>
    <t>NILLSON</t>
  </si>
  <si>
    <t>23-NOV-1944</t>
  </si>
  <si>
    <t>$307,527.55</t>
  </si>
  <si>
    <t>$1,581.20</t>
  </si>
  <si>
    <t>1297894</t>
  </si>
  <si>
    <t>TIM</t>
  </si>
  <si>
    <t>NILSON</t>
  </si>
  <si>
    <t>14-MAR-1949</t>
  </si>
  <si>
    <t>$1,037,354.13</t>
  </si>
  <si>
    <t>$4,114.84</t>
  </si>
  <si>
    <t>1299148</t>
  </si>
  <si>
    <t>DELL</t>
  </si>
  <si>
    <t>$255,745.57</t>
  </si>
  <si>
    <t>$1,240.37</t>
  </si>
  <si>
    <t>1299205</t>
  </si>
  <si>
    <t>BRENDA</t>
  </si>
  <si>
    <t>08-JAN-1950</t>
  </si>
  <si>
    <t>$257,326.75</t>
  </si>
  <si>
    <t>$1,132.24</t>
  </si>
  <si>
    <t>1299247</t>
  </si>
  <si>
    <t>$479,932.76</t>
  </si>
  <si>
    <t>$2,111.70</t>
  </si>
  <si>
    <t>1299734</t>
  </si>
  <si>
    <t>NOSTERUD</t>
  </si>
  <si>
    <t>$99,727.74</t>
  </si>
  <si>
    <t>$471.21</t>
  </si>
  <si>
    <t>1300359</t>
  </si>
  <si>
    <t>NUPDAL</t>
  </si>
  <si>
    <t>19-MAR-1948</t>
  </si>
  <si>
    <t>$1,342,444.96</t>
  </si>
  <si>
    <t>$6,186.43</t>
  </si>
  <si>
    <t>1300417</t>
  </si>
  <si>
    <t>NURSE</t>
  </si>
  <si>
    <t>$289,247.71</t>
  </si>
  <si>
    <t>$1,366.70</t>
  </si>
  <si>
    <t>1300656</t>
  </si>
  <si>
    <t>NYHUS</t>
  </si>
  <si>
    <t>$796,994.12</t>
  </si>
  <si>
    <t>$3,672.81</t>
  </si>
  <si>
    <t>1300771</t>
  </si>
  <si>
    <t>NYSTROM</t>
  </si>
  <si>
    <t>$25,380.98</t>
  </si>
  <si>
    <t>$119.93</t>
  </si>
  <si>
    <t>1301373</t>
  </si>
  <si>
    <t>O NEIL</t>
  </si>
  <si>
    <t>01-JUN-1947</t>
  </si>
  <si>
    <t>$12,139.70</t>
  </si>
  <si>
    <t>$57.36</t>
  </si>
  <si>
    <t>1301381</t>
  </si>
  <si>
    <t>O'NEIL</t>
  </si>
  <si>
    <t>19-JUL-1946</t>
  </si>
  <si>
    <t>$137,878.81</t>
  </si>
  <si>
    <t>$668.71</t>
  </si>
  <si>
    <t>1301472</t>
  </si>
  <si>
    <t>VIRGINIA</t>
  </si>
  <si>
    <t>O ROURKE</t>
  </si>
  <si>
    <t>31-JAN-1946</t>
  </si>
  <si>
    <t>$19,080.57</t>
  </si>
  <si>
    <t>$92.54</t>
  </si>
  <si>
    <t>1301506</t>
  </si>
  <si>
    <t>O'SHEA</t>
  </si>
  <si>
    <t>$681,330.20</t>
  </si>
  <si>
    <t>$4,200.00</t>
  </si>
  <si>
    <t>$3,872.23</t>
  </si>
  <si>
    <t>1301829</t>
  </si>
  <si>
    <t>OBLEMAN</t>
  </si>
  <si>
    <t>$124,651.60</t>
  </si>
  <si>
    <t>$588.98</t>
  </si>
  <si>
    <t>1302082</t>
  </si>
  <si>
    <t>OCHITWA</t>
  </si>
  <si>
    <t>23-OCT-1950</t>
  </si>
  <si>
    <t>$16,093.95</t>
  </si>
  <si>
    <t>$70.81</t>
  </si>
  <si>
    <t>1302116</t>
  </si>
  <si>
    <t>AMERICA</t>
  </si>
  <si>
    <t>OCHOA</t>
  </si>
  <si>
    <t>$20,775.68</t>
  </si>
  <si>
    <t>$103.53</t>
  </si>
  <si>
    <t>1302280</t>
  </si>
  <si>
    <t>OGDEN</t>
  </si>
  <si>
    <t>22-SEP-1947</t>
  </si>
  <si>
    <t>$129,457.55</t>
  </si>
  <si>
    <t>$611.69</t>
  </si>
  <si>
    <t>1302595</t>
  </si>
  <si>
    <t>FRANKLIN</t>
  </si>
  <si>
    <t>OILER</t>
  </si>
  <si>
    <t>$283,215.13</t>
  </si>
  <si>
    <t>$1,274.47</t>
  </si>
  <si>
    <t>1302736</t>
  </si>
  <si>
    <t>OLAFSON</t>
  </si>
  <si>
    <t>31-JUL-1947</t>
  </si>
  <si>
    <t>$99,050.73</t>
  </si>
  <si>
    <t>$392.90</t>
  </si>
  <si>
    <t>1302835</t>
  </si>
  <si>
    <t>JACK</t>
  </si>
  <si>
    <t>OLDEHEUVEL</t>
  </si>
  <si>
    <t>$111,693.08</t>
  </si>
  <si>
    <t>$514.72</t>
  </si>
  <si>
    <t>1302884</t>
  </si>
  <si>
    <t>OLEKSIN</t>
  </si>
  <si>
    <t>$234,754.85</t>
  </si>
  <si>
    <t>$1,056.40</t>
  </si>
  <si>
    <t>1303122</t>
  </si>
  <si>
    <t>PAULETTE</t>
  </si>
  <si>
    <t>OLEXYN</t>
  </si>
  <si>
    <t>$77,128.72</t>
  </si>
  <si>
    <t>$645.00</t>
  </si>
  <si>
    <t>$364.43</t>
  </si>
  <si>
    <t>1304591</t>
  </si>
  <si>
    <t>OLSSON</t>
  </si>
  <si>
    <t>$84,850.61</t>
  </si>
  <si>
    <t>$411.53</t>
  </si>
  <si>
    <t>1305101</t>
  </si>
  <si>
    <t>MONICA</t>
  </si>
  <si>
    <t>ONUFER</t>
  </si>
  <si>
    <t>$281,995.85</t>
  </si>
  <si>
    <t>$1,240.78</t>
  </si>
  <si>
    <t>1305762</t>
  </si>
  <si>
    <t>ORR</t>
  </si>
  <si>
    <t>$274,373.23</t>
  </si>
  <si>
    <t>$1,207.24</t>
  </si>
  <si>
    <t>1305986</t>
  </si>
  <si>
    <t>ORTON</t>
  </si>
  <si>
    <t>12-FEB-1946</t>
  </si>
  <si>
    <t>$249,295.41</t>
  </si>
  <si>
    <t>$1,209.08</t>
  </si>
  <si>
    <t>1306083</t>
  </si>
  <si>
    <t>JEANNETTE</t>
  </si>
  <si>
    <t>OSBERG</t>
  </si>
  <si>
    <t>$102,695.63</t>
  </si>
  <si>
    <t>$462.13</t>
  </si>
  <si>
    <t>1306414</t>
  </si>
  <si>
    <t>OSITIS SCHMEISER</t>
  </si>
  <si>
    <t>13-MAY-1943</t>
  </si>
  <si>
    <t>$559,987.89</t>
  </si>
  <si>
    <t>$2,967.94</t>
  </si>
  <si>
    <t>1306463</t>
  </si>
  <si>
    <t>$548,051.40</t>
  </si>
  <si>
    <t>$2,658.05</t>
  </si>
  <si>
    <t>1306554</t>
  </si>
  <si>
    <t>VICKY</t>
  </si>
  <si>
    <t>OSTROWERCHA</t>
  </si>
  <si>
    <t>$161,379.52</t>
  </si>
  <si>
    <t>$855.31</t>
  </si>
  <si>
    <t>1306950</t>
  </si>
  <si>
    <t>OTTOSON</t>
  </si>
  <si>
    <t>$136,920.29</t>
  </si>
  <si>
    <t>$602.45</t>
  </si>
  <si>
    <t>1307370</t>
  </si>
  <si>
    <t>OWEN</t>
  </si>
  <si>
    <t>$150,015.44</t>
  </si>
  <si>
    <t>$675.07</t>
  </si>
  <si>
    <t>1307388</t>
  </si>
  <si>
    <t>$970,499.88</t>
  </si>
  <si>
    <t>$3,518.06</t>
  </si>
  <si>
    <t>1307990</t>
  </si>
  <si>
    <t>PAGE</t>
  </si>
  <si>
    <t>$169,910.15</t>
  </si>
  <si>
    <t>$764.60</t>
  </si>
  <si>
    <t>1308139</t>
  </si>
  <si>
    <t xml:space="preserve">LORNE </t>
  </si>
  <si>
    <t>PAIDEL</t>
  </si>
  <si>
    <t>$14,806.74</t>
  </si>
  <si>
    <t>$51.45</t>
  </si>
  <si>
    <t>1308196</t>
  </si>
  <si>
    <t>LUCIEN</t>
  </si>
  <si>
    <t>PAINCHAUD</t>
  </si>
  <si>
    <t>$163,148.68</t>
  </si>
  <si>
    <t>$838.86</t>
  </si>
  <si>
    <t>1308543</t>
  </si>
  <si>
    <t>PALM</t>
  </si>
  <si>
    <t>$324,436.41</t>
  </si>
  <si>
    <t>$1,532.96</t>
  </si>
  <si>
    <t>1308618</t>
  </si>
  <si>
    <t>CATHERINE</t>
  </si>
  <si>
    <t>PALMER</t>
  </si>
  <si>
    <t>$136,295.80</t>
  </si>
  <si>
    <t>$599.70</t>
  </si>
  <si>
    <t>1309046</t>
  </si>
  <si>
    <t xml:space="preserve">NARENDRA </t>
  </si>
  <si>
    <t>PANDYA</t>
  </si>
  <si>
    <t>$87,133.69</t>
  </si>
  <si>
    <t>$461.81</t>
  </si>
  <si>
    <t>1309053</t>
  </si>
  <si>
    <t>RAJULA</t>
  </si>
  <si>
    <t>$244,572.45</t>
  </si>
  <si>
    <t>$1,410.00</t>
  </si>
  <si>
    <t>$1,127.07</t>
  </si>
  <si>
    <t>1309657</t>
  </si>
  <si>
    <t>PARAGG</t>
  </si>
  <si>
    <t>$750,644.96</t>
  </si>
  <si>
    <t>$3,546.80</t>
  </si>
  <si>
    <t>1309681</t>
  </si>
  <si>
    <t>CAROLE</t>
  </si>
  <si>
    <t>PARCHMAN</t>
  </si>
  <si>
    <t>$502,072.21</t>
  </si>
  <si>
    <t>$2,962.23</t>
  </si>
  <si>
    <t>1310119</t>
  </si>
  <si>
    <t>ROLAND</t>
  </si>
  <si>
    <t>PARISEE</t>
  </si>
  <si>
    <t>$133,477.98</t>
  </si>
  <si>
    <t>$615.11</t>
  </si>
  <si>
    <t>1310739</t>
  </si>
  <si>
    <t>PARKER</t>
  </si>
  <si>
    <t>$195,499.00</t>
  </si>
  <si>
    <t>$10,700.00</t>
  </si>
  <si>
    <t>$948.17</t>
  </si>
  <si>
    <t>1310853</t>
  </si>
  <si>
    <t>PARKIN</t>
  </si>
  <si>
    <t>29-JAN-1946</t>
  </si>
  <si>
    <t>$376,986.93</t>
  </si>
  <si>
    <t>$1,658.74</t>
  </si>
  <si>
    <t>1310895</t>
  </si>
  <si>
    <t>CECILIA</t>
  </si>
  <si>
    <t>PARKINSON</t>
  </si>
  <si>
    <t>$9,333.06</t>
  </si>
  <si>
    <t>$49.47</t>
  </si>
  <si>
    <t>1311141</t>
  </si>
  <si>
    <t>PARR</t>
  </si>
  <si>
    <t>$293,505.47</t>
  </si>
  <si>
    <t>$1,222.94</t>
  </si>
  <si>
    <t>1311372</t>
  </si>
  <si>
    <t>PARTRIDGE</t>
  </si>
  <si>
    <t>$249,007.78</t>
  </si>
  <si>
    <t>$1,147.51</t>
  </si>
  <si>
    <t>1311380</t>
  </si>
  <si>
    <t>$691,864.09</t>
  </si>
  <si>
    <t>$2,995.00</t>
  </si>
  <si>
    <t>$3,044.20</t>
  </si>
  <si>
    <t>1311737</t>
  </si>
  <si>
    <t xml:space="preserve">EDWIN </t>
  </si>
  <si>
    <t>PASLOSKI</t>
  </si>
  <si>
    <t>16-AUG-1945</t>
  </si>
  <si>
    <t>$12,583.80</t>
  </si>
  <si>
    <t>$55.37</t>
  </si>
  <si>
    <t>1311992</t>
  </si>
  <si>
    <t>DEVENDRA</t>
  </si>
  <si>
    <t>PATEL</t>
  </si>
  <si>
    <t>$801,584.93</t>
  </si>
  <si>
    <t>$2,325.00</t>
  </si>
  <si>
    <t>$3,039.34</t>
  </si>
  <si>
    <t>1312206</t>
  </si>
  <si>
    <t>PATERSON</t>
  </si>
  <si>
    <t>07-JAN-1944</t>
  </si>
  <si>
    <t>$22,441.85</t>
  </si>
  <si>
    <t>$111.84</t>
  </si>
  <si>
    <t>1312537</t>
  </si>
  <si>
    <t>PERRY</t>
  </si>
  <si>
    <t>PATRYLUK</t>
  </si>
  <si>
    <t>$838,500.28</t>
  </si>
  <si>
    <t>$5,400.00</t>
  </si>
  <si>
    <t>$3,689.40</t>
  </si>
  <si>
    <t>1312552</t>
  </si>
  <si>
    <t>$45,364.21</t>
  </si>
  <si>
    <t>$199.60</t>
  </si>
  <si>
    <t>1312909</t>
  </si>
  <si>
    <t>PATTIMORE</t>
  </si>
  <si>
    <t>11-SEP-1943</t>
  </si>
  <si>
    <t>$305,486.30</t>
  </si>
  <si>
    <t>$1,272.86</t>
  </si>
  <si>
    <t>1312982</t>
  </si>
  <si>
    <t>PAT</t>
  </si>
  <si>
    <t>PATTISON</t>
  </si>
  <si>
    <t>$65,422.81</t>
  </si>
  <si>
    <t>$358.74</t>
  </si>
  <si>
    <t>1313592</t>
  </si>
  <si>
    <t>GAIL</t>
  </si>
  <si>
    <t>PAUL ARMSTRONG</t>
  </si>
  <si>
    <t>14-AUG-1947</t>
  </si>
  <si>
    <t>$595,787.63</t>
  </si>
  <si>
    <t>$2,815.10</t>
  </si>
  <si>
    <t>1313626</t>
  </si>
  <si>
    <t>PAULHUS</t>
  </si>
  <si>
    <t>18-OCT-1949</t>
  </si>
  <si>
    <t>$18,842.09</t>
  </si>
  <si>
    <t>$84.79</t>
  </si>
  <si>
    <t>1313725</t>
  </si>
  <si>
    <t>PAULL</t>
  </si>
  <si>
    <t>$331,118.89</t>
  </si>
  <si>
    <t>$1,702.50</t>
  </si>
  <si>
    <t>1313733</t>
  </si>
  <si>
    <t>MARTHA</t>
  </si>
  <si>
    <t>PAULS</t>
  </si>
  <si>
    <t>$98,337.44</t>
  </si>
  <si>
    <t>$539.22</t>
  </si>
  <si>
    <t>1313964</t>
  </si>
  <si>
    <t>PAWLIW</t>
  </si>
  <si>
    <t>$887,674.58</t>
  </si>
  <si>
    <t>$4,090.70</t>
  </si>
  <si>
    <t>1314749</t>
  </si>
  <si>
    <t>ESTATE OF DOUG</t>
  </si>
  <si>
    <t>PEARSON</t>
  </si>
  <si>
    <t>$33,803.64</t>
  </si>
  <si>
    <t>$148.74</t>
  </si>
  <si>
    <t>1315522</t>
  </si>
  <si>
    <t>PEEK</t>
  </si>
  <si>
    <t>19-DEC-1949</t>
  </si>
  <si>
    <t>$32,206.47</t>
  </si>
  <si>
    <t>$144.93</t>
  </si>
  <si>
    <t>1316470</t>
  </si>
  <si>
    <t>IRIS</t>
  </si>
  <si>
    <t>PENNER</t>
  </si>
  <si>
    <t>$245,824.53</t>
  </si>
  <si>
    <t>$1,082.00</t>
  </si>
  <si>
    <t>$1,081.63</t>
  </si>
  <si>
    <t>1316918</t>
  </si>
  <si>
    <t>DENIS</t>
  </si>
  <si>
    <t>PEPIN</t>
  </si>
  <si>
    <t>$613,661.75</t>
  </si>
  <si>
    <t>$2,899.55</t>
  </si>
  <si>
    <t>1317023</t>
  </si>
  <si>
    <t>PEQUIN</t>
  </si>
  <si>
    <t>$69,201.17</t>
  </si>
  <si>
    <t>$344.85</t>
  </si>
  <si>
    <t>1317130</t>
  </si>
  <si>
    <t xml:space="preserve">FRED </t>
  </si>
  <si>
    <t>PEREPIOLKIN</t>
  </si>
  <si>
    <t>$200,701.61</t>
  </si>
  <si>
    <t>$924.90</t>
  </si>
  <si>
    <t>1318211</t>
  </si>
  <si>
    <t>GAITRI</t>
  </si>
  <si>
    <t>PERSAUD</t>
  </si>
  <si>
    <t>$237,752.44</t>
  </si>
  <si>
    <t>$1,069.89</t>
  </si>
  <si>
    <t>1318286</t>
  </si>
  <si>
    <t>PERSSON</t>
  </si>
  <si>
    <t>$51,783.61</t>
  </si>
  <si>
    <t>$283.95</t>
  </si>
  <si>
    <t>1318542</t>
  </si>
  <si>
    <t>PETERS</t>
  </si>
  <si>
    <t>$15,069.77</t>
  </si>
  <si>
    <t>$73.09</t>
  </si>
  <si>
    <t>1318591</t>
  </si>
  <si>
    <t>$838,946.84</t>
  </si>
  <si>
    <t>$3,495.61</t>
  </si>
  <si>
    <t>1318765</t>
  </si>
  <si>
    <t>$428,105.78</t>
  </si>
  <si>
    <t>$2,022.80</t>
  </si>
  <si>
    <t>1319441</t>
  </si>
  <si>
    <t>PETIT</t>
  </si>
  <si>
    <t>$249,595.11</t>
  </si>
  <si>
    <t>$1,610.00</t>
  </si>
  <si>
    <t>$1,322.85</t>
  </si>
  <si>
    <t>1320548</t>
  </si>
  <si>
    <t>PHILLIP</t>
  </si>
  <si>
    <t>05-FEB-1943</t>
  </si>
  <si>
    <t>$545,005.93</t>
  </si>
  <si>
    <t>$2,888.53</t>
  </si>
  <si>
    <t>1320720</t>
  </si>
  <si>
    <t>GODWIN</t>
  </si>
  <si>
    <t>PHILLIPS</t>
  </si>
  <si>
    <t>$1,122,720.01</t>
  </si>
  <si>
    <t>$5,304.85</t>
  </si>
  <si>
    <t>1320951</t>
  </si>
  <si>
    <t>$155,136.52</t>
  </si>
  <si>
    <t>$752.41</t>
  </si>
  <si>
    <t>1321132</t>
  </si>
  <si>
    <t xml:space="preserve">DONALD </t>
  </si>
  <si>
    <t>PHO</t>
  </si>
  <si>
    <t>$128,056.52</t>
  </si>
  <si>
    <t>$678.70</t>
  </si>
  <si>
    <t>1321405</t>
  </si>
  <si>
    <t>PICHE</t>
  </si>
  <si>
    <t>$415,337.91</t>
  </si>
  <si>
    <t>$1,332.54</t>
  </si>
  <si>
    <t>1321595</t>
  </si>
  <si>
    <t>BEN</t>
  </si>
  <si>
    <t>PICKFORD</t>
  </si>
  <si>
    <t>$696,671.92</t>
  </si>
  <si>
    <t>$3,065.36</t>
  </si>
  <si>
    <t>1322163</t>
  </si>
  <si>
    <t>PIGGOTT</t>
  </si>
  <si>
    <t>$457,719.13</t>
  </si>
  <si>
    <t>$2,013.96</t>
  </si>
  <si>
    <t>1322650</t>
  </si>
  <si>
    <t>MARCELLA</t>
  </si>
  <si>
    <t>PILSNER</t>
  </si>
  <si>
    <t>$112,945.66</t>
  </si>
  <si>
    <t>$533.67</t>
  </si>
  <si>
    <t>1323179</t>
  </si>
  <si>
    <t>PIPER</t>
  </si>
  <si>
    <t>$30,628.70</t>
  </si>
  <si>
    <t>$134.77</t>
  </si>
  <si>
    <t>1323351</t>
  </si>
  <si>
    <t>ANDRZEJ</t>
  </si>
  <si>
    <t>PIROWSKI</t>
  </si>
  <si>
    <t>$144,677.87</t>
  </si>
  <si>
    <t>$636.58</t>
  </si>
  <si>
    <t>1323450</t>
  </si>
  <si>
    <t>PISULA</t>
  </si>
  <si>
    <t>$423,799.80</t>
  </si>
  <si>
    <t>$2,002.45</t>
  </si>
  <si>
    <t>1323724</t>
  </si>
  <si>
    <t>PLAMONDON</t>
  </si>
  <si>
    <t>01-MAR-1941</t>
  </si>
  <si>
    <t>$740.49</t>
  </si>
  <si>
    <t>$4.21</t>
  </si>
  <si>
    <t>1323831</t>
  </si>
  <si>
    <t>JEROME</t>
  </si>
  <si>
    <t>PLASKAN</t>
  </si>
  <si>
    <t>$81,575.45</t>
  </si>
  <si>
    <t>$432.35</t>
  </si>
  <si>
    <t>1324656</t>
  </si>
  <si>
    <t>POHL</t>
  </si>
  <si>
    <t>11-AUG-1938</t>
  </si>
  <si>
    <t>$84,863.31</t>
  </si>
  <si>
    <t>$545.25</t>
  </si>
  <si>
    <t>1324797</t>
  </si>
  <si>
    <t>POIRIER</t>
  </si>
  <si>
    <t>$64,732.68</t>
  </si>
  <si>
    <t>$284.82</t>
  </si>
  <si>
    <t>1325133</t>
  </si>
  <si>
    <t>POLANSKY</t>
  </si>
  <si>
    <t>$263,773.92</t>
  </si>
  <si>
    <t>$1,314.47</t>
  </si>
  <si>
    <t>1325620</t>
  </si>
  <si>
    <t>POLLONAIS</t>
  </si>
  <si>
    <t>05-MAY-1943</t>
  </si>
  <si>
    <t>$32,359.56</t>
  </si>
  <si>
    <t>$171.51</t>
  </si>
  <si>
    <t>1325828</t>
  </si>
  <si>
    <t>POMFRET</t>
  </si>
  <si>
    <t>$891,721.11</t>
  </si>
  <si>
    <t>$4,213.38</t>
  </si>
  <si>
    <t>1325836</t>
  </si>
  <si>
    <t>$953,855.02</t>
  </si>
  <si>
    <t>$4,506.97</t>
  </si>
  <si>
    <t>1325950</t>
  </si>
  <si>
    <t>PONTIKES</t>
  </si>
  <si>
    <t>$1,452,427.42</t>
  </si>
  <si>
    <t>$5,507.12</t>
  </si>
  <si>
    <t>1326438</t>
  </si>
  <si>
    <t>POPOFF</t>
  </si>
  <si>
    <t>10-FEB-1942</t>
  </si>
  <si>
    <t>$606.46</t>
  </si>
  <si>
    <t>$3.33</t>
  </si>
  <si>
    <t>1326602</t>
  </si>
  <si>
    <t>PORTEOUS</t>
  </si>
  <si>
    <t>08-JUN-1946</t>
  </si>
  <si>
    <t>$363,391.86</t>
  </si>
  <si>
    <t>$2,042.25</t>
  </si>
  <si>
    <t>$1,762.45</t>
  </si>
  <si>
    <t>1326909</t>
  </si>
  <si>
    <t>POSTMA</t>
  </si>
  <si>
    <t>$382,223.35</t>
  </si>
  <si>
    <t>$1,761.41</t>
  </si>
  <si>
    <t>1327048</t>
  </si>
  <si>
    <t>POTTER</t>
  </si>
  <si>
    <t>$304,578.64</t>
  </si>
  <si>
    <t>$1,439.13</t>
  </si>
  <si>
    <t>1327071</t>
  </si>
  <si>
    <t>$116,639.59</t>
  </si>
  <si>
    <t>$513.21</t>
  </si>
  <si>
    <t>1327154</t>
  </si>
  <si>
    <t>POTTRUFF</t>
  </si>
  <si>
    <t>$1,973,356.77</t>
  </si>
  <si>
    <t>$8,700.00</t>
  </si>
  <si>
    <t>$8,682.77</t>
  </si>
  <si>
    <t>1327162</t>
  </si>
  <si>
    <t>POTTS</t>
  </si>
  <si>
    <t>$470,997.59</t>
  </si>
  <si>
    <t>$1,962.49</t>
  </si>
  <si>
    <t>1327444</t>
  </si>
  <si>
    <t>POWELL</t>
  </si>
  <si>
    <t>$907,140.84</t>
  </si>
  <si>
    <t>$3,991.42</t>
  </si>
  <si>
    <t>1327477</t>
  </si>
  <si>
    <t>06-JUL-1940</t>
  </si>
  <si>
    <t>$24,854.32</t>
  </si>
  <si>
    <t>$146.64</t>
  </si>
  <si>
    <t>1327485</t>
  </si>
  <si>
    <t>$67,149.95</t>
  </si>
  <si>
    <t>$345.26</t>
  </si>
  <si>
    <t>1327584</t>
  </si>
  <si>
    <t>$114,681.10</t>
  </si>
  <si>
    <t>$504.60</t>
  </si>
  <si>
    <t>1327667</t>
  </si>
  <si>
    <t>POWER</t>
  </si>
  <si>
    <t>$191,638.93</t>
  </si>
  <si>
    <t>$905.49</t>
  </si>
  <si>
    <t>1327675</t>
  </si>
  <si>
    <t>06-AUG-1947</t>
  </si>
  <si>
    <t>$23,745.79</t>
  </si>
  <si>
    <t>$112.20</t>
  </si>
  <si>
    <t>1327741</t>
  </si>
  <si>
    <t>POWERS</t>
  </si>
  <si>
    <t>$327,272.86</t>
  </si>
  <si>
    <t>$1,546.36</t>
  </si>
  <si>
    <t>1327808</t>
  </si>
  <si>
    <t>KARIM</t>
  </si>
  <si>
    <t>PRADHAN</t>
  </si>
  <si>
    <t>$1,110,845.58</t>
  </si>
  <si>
    <t>$4,998.81</t>
  </si>
  <si>
    <t>1328103</t>
  </si>
  <si>
    <t>PREBBLE</t>
  </si>
  <si>
    <t>13-SEP-1950</t>
  </si>
  <si>
    <t>$352,081.42</t>
  </si>
  <si>
    <t>$1,549.16</t>
  </si>
  <si>
    <t>1328293</t>
  </si>
  <si>
    <t>PRENTICE</t>
  </si>
  <si>
    <t>$216,558.15</t>
  </si>
  <si>
    <t>$1,350.00</t>
  </si>
  <si>
    <t>$997.97</t>
  </si>
  <si>
    <t>1328517</t>
  </si>
  <si>
    <t>PRESTON</t>
  </si>
  <si>
    <t>$104,768.00</t>
  </si>
  <si>
    <t>$482.81</t>
  </si>
  <si>
    <t>1328855</t>
  </si>
  <si>
    <t>PRIEBE</t>
  </si>
  <si>
    <t>$938,620.12</t>
  </si>
  <si>
    <t>$4,434.98</t>
  </si>
  <si>
    <t>1329119</t>
  </si>
  <si>
    <t>PRINGLE</t>
  </si>
  <si>
    <t>$901,610.11</t>
  </si>
  <si>
    <t>$6,500.00</t>
  </si>
  <si>
    <t>$2,426.83</t>
  </si>
  <si>
    <t>1330323</t>
  </si>
  <si>
    <t>PRYCE</t>
  </si>
  <si>
    <t>$803,484.83</t>
  </si>
  <si>
    <t>$4,300.00</t>
  </si>
  <si>
    <t>$3,796.47</t>
  </si>
  <si>
    <t>1330380</t>
  </si>
  <si>
    <t>PRYOR</t>
  </si>
  <si>
    <t>$1,114,261.14</t>
  </si>
  <si>
    <t>$4,642.76</t>
  </si>
  <si>
    <t>1330760</t>
  </si>
  <si>
    <t>PUGH</t>
  </si>
  <si>
    <t>$526,132.06</t>
  </si>
  <si>
    <t>$2,314.98</t>
  </si>
  <si>
    <t>1331164</t>
  </si>
  <si>
    <t>PUSCAS</t>
  </si>
  <si>
    <t>$16,582.98</t>
  </si>
  <si>
    <t>$80.43</t>
  </si>
  <si>
    <t>1331362</t>
  </si>
  <si>
    <t>PYLE</t>
  </si>
  <si>
    <t>$269,478.87</t>
  </si>
  <si>
    <t>$1,510.00</t>
  </si>
  <si>
    <t>$1,212.66</t>
  </si>
  <si>
    <t>1331420</t>
  </si>
  <si>
    <t xml:space="preserve">WILF </t>
  </si>
  <si>
    <t>28-JAN-1947</t>
  </si>
  <si>
    <t>$72,135.40</t>
  </si>
  <si>
    <t>$324.61</t>
  </si>
  <si>
    <t>1331586</t>
  </si>
  <si>
    <t>QUAM</t>
  </si>
  <si>
    <t>$54,226.73</t>
  </si>
  <si>
    <t>$256.22</t>
  </si>
  <si>
    <t>1331842</t>
  </si>
  <si>
    <t>BENJAMIN</t>
  </si>
  <si>
    <t>QUIGLEY</t>
  </si>
  <si>
    <t>$659,992.93</t>
  </si>
  <si>
    <t>$3,118.47</t>
  </si>
  <si>
    <t>1331966</t>
  </si>
  <si>
    <t>SEAN</t>
  </si>
  <si>
    <t>QUINLAN</t>
  </si>
  <si>
    <t>$307,485.80</t>
  </si>
  <si>
    <t>$1,452.87</t>
  </si>
  <si>
    <t>1332253</t>
  </si>
  <si>
    <t>QUIRING</t>
  </si>
  <si>
    <t>$73,476.25</t>
  </si>
  <si>
    <t>$323.30</t>
  </si>
  <si>
    <t>1332634</t>
  </si>
  <si>
    <t>RACZYNSKI</t>
  </si>
  <si>
    <t>$142,874.55</t>
  </si>
  <si>
    <t>$658.41</t>
  </si>
  <si>
    <t>1333723</t>
  </si>
  <si>
    <t>$299,325.51</t>
  </si>
  <si>
    <t>$1,641.30</t>
  </si>
  <si>
    <t>1334028</t>
  </si>
  <si>
    <t>RANS</t>
  </si>
  <si>
    <t>$112,435.67</t>
  </si>
  <si>
    <t>$505.96</t>
  </si>
  <si>
    <t>1335157</t>
  </si>
  <si>
    <t>NABIL</t>
  </si>
  <si>
    <t>RAZKALLA</t>
  </si>
  <si>
    <t>03-JUL-1950</t>
  </si>
  <si>
    <t>$106,696.88</t>
  </si>
  <si>
    <t>$469.47</t>
  </si>
  <si>
    <t>1336239</t>
  </si>
  <si>
    <t>REDSHAW</t>
  </si>
  <si>
    <t>$326,993.75</t>
  </si>
  <si>
    <t>$1,506.90</t>
  </si>
  <si>
    <t>1336411</t>
  </si>
  <si>
    <t>REED</t>
  </si>
  <si>
    <t>$196,480.93</t>
  </si>
  <si>
    <t>$884.16</t>
  </si>
  <si>
    <t>1336783</t>
  </si>
  <si>
    <t>REEVE</t>
  </si>
  <si>
    <t>$29,014.68</t>
  </si>
  <si>
    <t>$130.57</t>
  </si>
  <si>
    <t>1336825</t>
  </si>
  <si>
    <t>$45,210.48</t>
  </si>
  <si>
    <t>$198.93</t>
  </si>
  <si>
    <t>1336833</t>
  </si>
  <si>
    <t>$41,238.91</t>
  </si>
  <si>
    <t>$190.04</t>
  </si>
  <si>
    <t>1337112</t>
  </si>
  <si>
    <t>NORMA</t>
  </si>
  <si>
    <t>REGNIER</t>
  </si>
  <si>
    <t>12-DEC-1948</t>
  </si>
  <si>
    <t>$133,695.31</t>
  </si>
  <si>
    <t>$506.93</t>
  </si>
  <si>
    <t>1337187</t>
  </si>
  <si>
    <t xml:space="preserve">DANIEL </t>
  </si>
  <si>
    <t>REICH</t>
  </si>
  <si>
    <t>$26,355.10</t>
  </si>
  <si>
    <t>$144.51</t>
  </si>
  <si>
    <t>1337203</t>
  </si>
  <si>
    <t>REICHEL</t>
  </si>
  <si>
    <t>$9,857.67</t>
  </si>
  <si>
    <t>$47.81</t>
  </si>
  <si>
    <t>1337286</t>
  </si>
  <si>
    <t>REICHERT</t>
  </si>
  <si>
    <t>$198,628.17</t>
  </si>
  <si>
    <t>$989.83</t>
  </si>
  <si>
    <t>1337997</t>
  </si>
  <si>
    <t>EDDY</t>
  </si>
  <si>
    <t>REIMER</t>
  </si>
  <si>
    <t>05-JAN-1947</t>
  </si>
  <si>
    <t>$363,221.96</t>
  </si>
  <si>
    <t>$1,716.22</t>
  </si>
  <si>
    <t>1338250</t>
  </si>
  <si>
    <t>REINE</t>
  </si>
  <si>
    <t>$103,823.16</t>
  </si>
  <si>
    <t>$478.45</t>
  </si>
  <si>
    <t>1338615</t>
  </si>
  <si>
    <t>EVA</t>
  </si>
  <si>
    <t>REMARCHUK</t>
  </si>
  <si>
    <t>$6,466.43</t>
  </si>
  <si>
    <t>$30.55</t>
  </si>
  <si>
    <t>1338755</t>
  </si>
  <si>
    <t>DELMAR</t>
  </si>
  <si>
    <t>REMPEL</t>
  </si>
  <si>
    <t>$79,855.72</t>
  </si>
  <si>
    <t>$377.32</t>
  </si>
  <si>
    <t>1338854</t>
  </si>
  <si>
    <t>$27,758.47</t>
  </si>
  <si>
    <t>$131.16</t>
  </si>
  <si>
    <t>1338888</t>
  </si>
  <si>
    <t>$41,052.11</t>
  </si>
  <si>
    <t>$225.10</t>
  </si>
  <si>
    <t>1339670</t>
  </si>
  <si>
    <t>REVET</t>
  </si>
  <si>
    <t>$914,930.73</t>
  </si>
  <si>
    <t>$2,850.00</t>
  </si>
  <si>
    <t>$4,025.70</t>
  </si>
  <si>
    <t>1340587</t>
  </si>
  <si>
    <t>RICHARDS</t>
  </si>
  <si>
    <t>$263,365.56</t>
  </si>
  <si>
    <t>$15,234.00</t>
  </si>
  <si>
    <t>$1,354.14</t>
  </si>
  <si>
    <t>1340777</t>
  </si>
  <si>
    <t>RICHARDSON</t>
  </si>
  <si>
    <t>$358,500.82</t>
  </si>
  <si>
    <t>$24,000.00</t>
  </si>
  <si>
    <t>$1,577.40</t>
  </si>
  <si>
    <t>1341106</t>
  </si>
  <si>
    <t>RICHTER</t>
  </si>
  <si>
    <t>$1,043,080.04</t>
  </si>
  <si>
    <t>$4,137.55</t>
  </si>
  <si>
    <t>1341114</t>
  </si>
  <si>
    <t>$152,140.91</t>
  </si>
  <si>
    <t>$834.24</t>
  </si>
  <si>
    <t>1341122</t>
  </si>
  <si>
    <t>DARYL</t>
  </si>
  <si>
    <t>$1,023,023.49</t>
  </si>
  <si>
    <t>$4,714.43</t>
  </si>
  <si>
    <t>1341213</t>
  </si>
  <si>
    <t>RICKARDS</t>
  </si>
  <si>
    <t>$11,515.65</t>
  </si>
  <si>
    <t>$55.85</t>
  </si>
  <si>
    <t>1341544</t>
  </si>
  <si>
    <t>ANITA</t>
  </si>
  <si>
    <t>RIEGER</t>
  </si>
  <si>
    <t>$17,654.48</t>
  </si>
  <si>
    <t>$108.58</t>
  </si>
  <si>
    <t>1341700</t>
  </si>
  <si>
    <t>GREG</t>
  </si>
  <si>
    <t>RIEMER</t>
  </si>
  <si>
    <t>$735,297.85</t>
  </si>
  <si>
    <t>$2,113.98</t>
  </si>
  <si>
    <t>1342799</t>
  </si>
  <si>
    <t>BEATRICE</t>
  </si>
  <si>
    <t>RITTALER</t>
  </si>
  <si>
    <t>$355,324.36</t>
  </si>
  <si>
    <t>$1,563.43</t>
  </si>
  <si>
    <t>1342955</t>
  </si>
  <si>
    <t>RIVET</t>
  </si>
  <si>
    <t>$230,206.52</t>
  </si>
  <si>
    <t>$1,060.87</t>
  </si>
  <si>
    <t>1343110</t>
  </si>
  <si>
    <t>ROBB</t>
  </si>
  <si>
    <t>$364,064.35</t>
  </si>
  <si>
    <t>$16,000.00</t>
  </si>
  <si>
    <t>$1,601.88</t>
  </si>
  <si>
    <t>1343326</t>
  </si>
  <si>
    <t>ROBERTS</t>
  </si>
  <si>
    <t>$121,842.27</t>
  </si>
  <si>
    <t>$607.18</t>
  </si>
  <si>
    <t>1343748</t>
  </si>
  <si>
    <t>COLLETTE</t>
  </si>
  <si>
    <t>ROBERTSON</t>
  </si>
  <si>
    <t>$286,209.81</t>
  </si>
  <si>
    <t>$1,471.60</t>
  </si>
  <si>
    <t>1343896</t>
  </si>
  <si>
    <t>$254,701.44</t>
  </si>
  <si>
    <t>$1,120.69</t>
  </si>
  <si>
    <t>1344159</t>
  </si>
  <si>
    <t>ROBINS</t>
  </si>
  <si>
    <t>$130,927.02</t>
  </si>
  <si>
    <t>$589.17</t>
  </si>
  <si>
    <t>1344449</t>
  </si>
  <si>
    <t>ROBINSON</t>
  </si>
  <si>
    <t>$296,836.16</t>
  </si>
  <si>
    <t>$1,439.66</t>
  </si>
  <si>
    <t>1344928</t>
  </si>
  <si>
    <t>ROBSTAD</t>
  </si>
  <si>
    <t>$48,700.96</t>
  </si>
  <si>
    <t>$258.12</t>
  </si>
  <si>
    <t>1345354</t>
  </si>
  <si>
    <t>RODYCH</t>
  </si>
  <si>
    <t>$16,036.05</t>
  </si>
  <si>
    <t>$72.16</t>
  </si>
  <si>
    <t>1345446</t>
  </si>
  <si>
    <t>JOE</t>
  </si>
  <si>
    <t>ROETTGER</t>
  </si>
  <si>
    <t>$1,425,216.22</t>
  </si>
  <si>
    <t>$5,653.36</t>
  </si>
  <si>
    <t>1345495</t>
  </si>
  <si>
    <t>CHARLOTTE</t>
  </si>
  <si>
    <t>ROGAL</t>
  </si>
  <si>
    <t>$97,230.90</t>
  </si>
  <si>
    <t>$427.82</t>
  </si>
  <si>
    <t>1345636</t>
  </si>
  <si>
    <t>ESTATE OF BRYON</t>
  </si>
  <si>
    <t>ROGERS</t>
  </si>
  <si>
    <t>13-DEC-1945</t>
  </si>
  <si>
    <t>$67,482.85</t>
  </si>
  <si>
    <t>$336.29</t>
  </si>
  <si>
    <t>1345776</t>
  </si>
  <si>
    <t>$56,519.61</t>
  </si>
  <si>
    <t>$281.66</t>
  </si>
  <si>
    <t>1346246</t>
  </si>
  <si>
    <t>ROLLESTON</t>
  </si>
  <si>
    <t>$121,293.84</t>
  </si>
  <si>
    <t>$375.00</t>
  </si>
  <si>
    <t>$533.69</t>
  </si>
  <si>
    <t>1346295</t>
  </si>
  <si>
    <t>ROLLWAGEN</t>
  </si>
  <si>
    <t>22-JUL-1946</t>
  </si>
  <si>
    <t>$456,172.32</t>
  </si>
  <si>
    <t>$2,102.19</t>
  </si>
  <si>
    <t>1346477</t>
  </si>
  <si>
    <t>ROMANOW</t>
  </si>
  <si>
    <t>$35,571.23</t>
  </si>
  <si>
    <t>$160.07</t>
  </si>
  <si>
    <t>1346717</t>
  </si>
  <si>
    <t>RONDEAU</t>
  </si>
  <si>
    <t>$112,230.85</t>
  </si>
  <si>
    <t>$322.66</t>
  </si>
  <si>
    <t>1346758</t>
  </si>
  <si>
    <t>RONEY</t>
  </si>
  <si>
    <t>$30,094.74</t>
  </si>
  <si>
    <t>$138.69</t>
  </si>
  <si>
    <t>1347301</t>
  </si>
  <si>
    <t>ROSENAU</t>
  </si>
  <si>
    <t>$105,761.22</t>
  </si>
  <si>
    <t>$440.67</t>
  </si>
  <si>
    <t>1347335</t>
  </si>
  <si>
    <t>ROSENBLUTH</t>
  </si>
  <si>
    <t>$1,093,676.78</t>
  </si>
  <si>
    <t>$4,812.18</t>
  </si>
  <si>
    <t>1347343</t>
  </si>
  <si>
    <t>ROSENFELD</t>
  </si>
  <si>
    <t>$783,706.84</t>
  </si>
  <si>
    <t>$3,800.98</t>
  </si>
  <si>
    <t>1347590</t>
  </si>
  <si>
    <t>ROSS</t>
  </si>
  <si>
    <t>$365,749.07</t>
  </si>
  <si>
    <t>$1,051.53</t>
  </si>
  <si>
    <t>1347897</t>
  </si>
  <si>
    <t>$10,735.91</t>
  </si>
  <si>
    <t>$53.50</t>
  </si>
  <si>
    <t>1348002</t>
  </si>
  <si>
    <t>14-JAN-1950</t>
  </si>
  <si>
    <t>$703,980.82</t>
  </si>
  <si>
    <t>$2,551.93</t>
  </si>
  <si>
    <t>1348382</t>
  </si>
  <si>
    <t>$166,137.14</t>
  </si>
  <si>
    <t>$731.00</t>
  </si>
  <si>
    <t>1348515</t>
  </si>
  <si>
    <t>ROSSEKER</t>
  </si>
  <si>
    <t>$213,223.52</t>
  </si>
  <si>
    <t>$1,034.13</t>
  </si>
  <si>
    <t>1349984</t>
  </si>
  <si>
    <t>RUBLETZ</t>
  </si>
  <si>
    <t>$38,187.14</t>
  </si>
  <si>
    <t>$175.98</t>
  </si>
  <si>
    <t>1350263</t>
  </si>
  <si>
    <t>RUDY</t>
  </si>
  <si>
    <t>$183,508.92</t>
  </si>
  <si>
    <t>$825.79</t>
  </si>
  <si>
    <t>1350511</t>
  </si>
  <si>
    <t>RUGG</t>
  </si>
  <si>
    <t>$487,609.32</t>
  </si>
  <si>
    <t>$2,194.24</t>
  </si>
  <si>
    <t>1350560</t>
  </si>
  <si>
    <t>RULE</t>
  </si>
  <si>
    <t>$78,433.81</t>
  </si>
  <si>
    <t>$352.95</t>
  </si>
  <si>
    <t>1351212</t>
  </si>
  <si>
    <t>$153,207.31</t>
  </si>
  <si>
    <t>$763.48</t>
  </si>
  <si>
    <t>1351386</t>
  </si>
  <si>
    <t>RUSSELL DOAN</t>
  </si>
  <si>
    <t>$1,081,070.38</t>
  </si>
  <si>
    <t>$4,756.71</t>
  </si>
  <si>
    <t>1351493</t>
  </si>
  <si>
    <t>A</t>
  </si>
  <si>
    <t>RUTHERFORD</t>
  </si>
  <si>
    <t>$111,961.92</t>
  </si>
  <si>
    <t>$492.63</t>
  </si>
  <si>
    <t>1351642</t>
  </si>
  <si>
    <t>RUTLEY</t>
  </si>
  <si>
    <t>$376,577.01</t>
  </si>
  <si>
    <t>$1,656.94</t>
  </si>
  <si>
    <t>1351667</t>
  </si>
  <si>
    <t>RUTTEN</t>
  </si>
  <si>
    <t>25-JUN-1944</t>
  </si>
  <si>
    <t>$140,322.66</t>
  </si>
  <si>
    <t>$721.49</t>
  </si>
  <si>
    <t>1351923</t>
  </si>
  <si>
    <t>INGE</t>
  </si>
  <si>
    <t>RYAN</t>
  </si>
  <si>
    <t>$108,018.04</t>
  </si>
  <si>
    <t>$523.89</t>
  </si>
  <si>
    <t>1351964</t>
  </si>
  <si>
    <t>$252,036.69</t>
  </si>
  <si>
    <t>$1,161.47</t>
  </si>
  <si>
    <t>1352160</t>
  </si>
  <si>
    <t>RYBCHINSKI</t>
  </si>
  <si>
    <t>$655,546.30</t>
  </si>
  <si>
    <t>$2,884.40</t>
  </si>
  <si>
    <t>1352319</t>
  </si>
  <si>
    <t>RYGUS</t>
  </si>
  <si>
    <t>28-JUL-1948</t>
  </si>
  <si>
    <t>$358,285.11</t>
  </si>
  <si>
    <t>$1,651.10</t>
  </si>
  <si>
    <t>1352459</t>
  </si>
  <si>
    <t>RYSTROM</t>
  </si>
  <si>
    <t>$199,117.65</t>
  </si>
  <si>
    <t>$876.12</t>
  </si>
  <si>
    <t>1353127</t>
  </si>
  <si>
    <t>SAGAL</t>
  </si>
  <si>
    <t>$243,791.16</t>
  </si>
  <si>
    <t>$1,123.47</t>
  </si>
  <si>
    <t>1353176</t>
  </si>
  <si>
    <t>SAGAN</t>
  </si>
  <si>
    <t>$484,676.25</t>
  </si>
  <si>
    <t>$2,132.58</t>
  </si>
  <si>
    <t>1353234</t>
  </si>
  <si>
    <t>SAGIN</t>
  </si>
  <si>
    <t>08-NOV-1940</t>
  </si>
  <si>
    <t>$267,570.61</t>
  </si>
  <si>
    <t>$1,578.67</t>
  </si>
  <si>
    <t>1354299</t>
  </si>
  <si>
    <t>CATHY</t>
  </si>
  <si>
    <t>SAMOLESKI</t>
  </si>
  <si>
    <t>$424,194.45</t>
  </si>
  <si>
    <t>$2,248.23</t>
  </si>
  <si>
    <t>1354349</t>
  </si>
  <si>
    <t>SAMPSON</t>
  </si>
  <si>
    <t>$718,732.03</t>
  </si>
  <si>
    <t>$3,162.42</t>
  </si>
  <si>
    <t>1354505</t>
  </si>
  <si>
    <t>SAMWAYS</t>
  </si>
  <si>
    <t>$300,937.31</t>
  </si>
  <si>
    <t>$1,421.93</t>
  </si>
  <si>
    <t>1354596</t>
  </si>
  <si>
    <t>SAND</t>
  </si>
  <si>
    <t>$855,877.61</t>
  </si>
  <si>
    <t>$4,335.00</t>
  </si>
  <si>
    <t>$4,044.02</t>
  </si>
  <si>
    <t>1355023</t>
  </si>
  <si>
    <t>SANDERSON</t>
  </si>
  <si>
    <t>$272,460.50</t>
  </si>
  <si>
    <t>$1,135.25</t>
  </si>
  <si>
    <t>1355072</t>
  </si>
  <si>
    <t>MALCOLM</t>
  </si>
  <si>
    <t>26-FEB-1942</t>
  </si>
  <si>
    <t>$138.37</t>
  </si>
  <si>
    <t>$0.76</t>
  </si>
  <si>
    <t>1355536</t>
  </si>
  <si>
    <t>SANJENKO</t>
  </si>
  <si>
    <t>02-MAY-1947</t>
  </si>
  <si>
    <t>$311,880.91</t>
  </si>
  <si>
    <t>$1,473.64</t>
  </si>
  <si>
    <t>1355643</t>
  </si>
  <si>
    <t>OLGA</t>
  </si>
  <si>
    <t>SANTANDER</t>
  </si>
  <si>
    <t>$559,370.63</t>
  </si>
  <si>
    <t>$2,517.17</t>
  </si>
  <si>
    <t>1356211</t>
  </si>
  <si>
    <t>SASS</t>
  </si>
  <si>
    <t>11-SEP-1948</t>
  </si>
  <si>
    <t>$1,024,126.41</t>
  </si>
  <si>
    <t>$4,267.19</t>
  </si>
  <si>
    <t>1356872</t>
  </si>
  <si>
    <t>SAVAGE</t>
  </si>
  <si>
    <t>07-AUG-1946</t>
  </si>
  <si>
    <t>$25,830.32</t>
  </si>
  <si>
    <t>$125.28</t>
  </si>
  <si>
    <t>1356898</t>
  </si>
  <si>
    <t>$57,996.49</t>
  </si>
  <si>
    <t>$281.28</t>
  </si>
  <si>
    <t>1357094</t>
  </si>
  <si>
    <t>SAWATSKY</t>
  </si>
  <si>
    <t>$192,471.58</t>
  </si>
  <si>
    <t>$886.97</t>
  </si>
  <si>
    <t>1357524</t>
  </si>
  <si>
    <t>LOUISE</t>
  </si>
  <si>
    <t>SAWYER</t>
  </si>
  <si>
    <t>$850,565.37</t>
  </si>
  <si>
    <t>$4,900.00</t>
  </si>
  <si>
    <t>$4,125.24</t>
  </si>
  <si>
    <t>1357953</t>
  </si>
  <si>
    <t>SCARLETT</t>
  </si>
  <si>
    <t>$27,584.51</t>
  </si>
  <si>
    <t>$151.26</t>
  </si>
  <si>
    <t>1357979</t>
  </si>
  <si>
    <t>MARLIES</t>
  </si>
  <si>
    <t>SCARROW</t>
  </si>
  <si>
    <t>$458,337.92</t>
  </si>
  <si>
    <t>$2,062.52</t>
  </si>
  <si>
    <t>1358159</t>
  </si>
  <si>
    <t>SCHACHTEL</t>
  </si>
  <si>
    <t>$1,300,856.02</t>
  </si>
  <si>
    <t>$6,146.55</t>
  </si>
  <si>
    <t>1358266</t>
  </si>
  <si>
    <t>SCHAEFER</t>
  </si>
  <si>
    <t>$225,178.23</t>
  </si>
  <si>
    <t>$893.21</t>
  </si>
  <si>
    <t>1359090</t>
  </si>
  <si>
    <t>ARNOLD</t>
  </si>
  <si>
    <t>SCHELLENBERG</t>
  </si>
  <si>
    <t>$1,122,528.42</t>
  </si>
  <si>
    <t>$5,172.99</t>
  </si>
  <si>
    <t>1359710</t>
  </si>
  <si>
    <t>SCHICK</t>
  </si>
  <si>
    <t>19-SEP-1946</t>
  </si>
  <si>
    <t>$29,556.67</t>
  </si>
  <si>
    <t>$143.35</t>
  </si>
  <si>
    <t>1359785</t>
  </si>
  <si>
    <t>$461,541.03</t>
  </si>
  <si>
    <t>$2,238.47</t>
  </si>
  <si>
    <t>1359801</t>
  </si>
  <si>
    <t>SCHIEFNER</t>
  </si>
  <si>
    <t>$25,098.28</t>
  </si>
  <si>
    <t>$240.00</t>
  </si>
  <si>
    <t>$125.07</t>
  </si>
  <si>
    <t>1360163</t>
  </si>
  <si>
    <t>LANGILLE</t>
  </si>
  <si>
    <t>$29,850.28</t>
  </si>
  <si>
    <t>$131.34</t>
  </si>
  <si>
    <t>1360189</t>
  </si>
  <si>
    <t>SCHINDEL</t>
  </si>
  <si>
    <t>$202,889.55</t>
  </si>
  <si>
    <t>$913.00</t>
  </si>
  <si>
    <t>1360296</t>
  </si>
  <si>
    <t xml:space="preserve">RODNEY </t>
  </si>
  <si>
    <t>SCHINDLER</t>
  </si>
  <si>
    <t>$38,973.52</t>
  </si>
  <si>
    <t>$171.48</t>
  </si>
  <si>
    <t>1360379</t>
  </si>
  <si>
    <t>SCHISLER</t>
  </si>
  <si>
    <t>$140,668.48</t>
  </si>
  <si>
    <t>$701.00</t>
  </si>
  <si>
    <t>1360387</t>
  </si>
  <si>
    <t>$287,268.28</t>
  </si>
  <si>
    <t>$1,089.23</t>
  </si>
  <si>
    <t>1360551</t>
  </si>
  <si>
    <t>PAMELA</t>
  </si>
  <si>
    <t>SCHLEGEL COLLINS</t>
  </si>
  <si>
    <t>17-FEB-1949</t>
  </si>
  <si>
    <t>$332,131.76</t>
  </si>
  <si>
    <t>$1,494.59</t>
  </si>
  <si>
    <t>1360940</t>
  </si>
  <si>
    <t>SCHMEICHEL</t>
  </si>
  <si>
    <t>$708,688.92</t>
  </si>
  <si>
    <t>$3,189.10</t>
  </si>
  <si>
    <t>1361047</t>
  </si>
  <si>
    <t>SCHMIDT</t>
  </si>
  <si>
    <t>$748,764.93</t>
  </si>
  <si>
    <t>$3,525.00</t>
  </si>
  <si>
    <t>$2,714.27</t>
  </si>
  <si>
    <t>1361401</t>
  </si>
  <si>
    <t>$1,271,753.26</t>
  </si>
  <si>
    <t>$5,860.66</t>
  </si>
  <si>
    <t>1362078</t>
  </si>
  <si>
    <t>SCHNEIDER</t>
  </si>
  <si>
    <t>$78,300.37</t>
  </si>
  <si>
    <t>$344.52</t>
  </si>
  <si>
    <t>1362409</t>
  </si>
  <si>
    <t>$77,549.64</t>
  </si>
  <si>
    <t>$341.22</t>
  </si>
  <si>
    <t>1363738</t>
  </si>
  <si>
    <t>SCHULTZ</t>
  </si>
  <si>
    <t>$237,981.48</t>
  </si>
  <si>
    <t>$1,070.92</t>
  </si>
  <si>
    <t>1363936</t>
  </si>
  <si>
    <t>MARVIN</t>
  </si>
  <si>
    <t>$58,044.10</t>
  </si>
  <si>
    <t>$210.41</t>
  </si>
  <si>
    <t>1364298</t>
  </si>
  <si>
    <t>HOLLEY</t>
  </si>
  <si>
    <t>SCHUMAN</t>
  </si>
  <si>
    <t>$61,913.92</t>
  </si>
  <si>
    <t>$300.28</t>
  </si>
  <si>
    <t>1364645</t>
  </si>
  <si>
    <t>SCHWAB</t>
  </si>
  <si>
    <t>$328,179.01</t>
  </si>
  <si>
    <t>$1,367.41</t>
  </si>
  <si>
    <t>1365311</t>
  </si>
  <si>
    <t>SCIBAN</t>
  </si>
  <si>
    <t>$41,563.61</t>
  </si>
  <si>
    <t>$187.04</t>
  </si>
  <si>
    <t>1365428</t>
  </si>
  <si>
    <t>SCOTT</t>
  </si>
  <si>
    <t>$49,758.27</t>
  </si>
  <si>
    <t>$330.00</t>
  </si>
  <si>
    <t>$235.11</t>
  </si>
  <si>
    <t>1365600</t>
  </si>
  <si>
    <t>FLORENTIA</t>
  </si>
  <si>
    <t>$74,372.82</t>
  </si>
  <si>
    <t>$342.74</t>
  </si>
  <si>
    <t>1365998</t>
  </si>
  <si>
    <t>$1,586,525.33</t>
  </si>
  <si>
    <t>$7,311.24</t>
  </si>
  <si>
    <t>1366095</t>
  </si>
  <si>
    <t>SCOULAR</t>
  </si>
  <si>
    <t>20-MAY-1950</t>
  </si>
  <si>
    <t>$37,383.81</t>
  </si>
  <si>
    <t>$164.49</t>
  </si>
  <si>
    <t>1366988</t>
  </si>
  <si>
    <t>SEEFRIED</t>
  </si>
  <si>
    <t>$100,733.16</t>
  </si>
  <si>
    <t>$510.00</t>
  </si>
  <si>
    <t>$443.23</t>
  </si>
  <si>
    <t>1367499</t>
  </si>
  <si>
    <t>SEIFERLING</t>
  </si>
  <si>
    <t>$1,560,783.21</t>
  </si>
  <si>
    <t>$7,100.00</t>
  </si>
  <si>
    <t>$7,192.61</t>
  </si>
  <si>
    <t>1367523</t>
  </si>
  <si>
    <t>$630,865.82</t>
  </si>
  <si>
    <t>$2,838.90</t>
  </si>
  <si>
    <t>1367622</t>
  </si>
  <si>
    <t>SEIME</t>
  </si>
  <si>
    <t>$615,400.64</t>
  </si>
  <si>
    <t>$2,769.30</t>
  </si>
  <si>
    <t>1367648</t>
  </si>
  <si>
    <t>SEIPP</t>
  </si>
  <si>
    <t>$121,754.52</t>
  </si>
  <si>
    <t>$575.29</t>
  </si>
  <si>
    <t>1367754</t>
  </si>
  <si>
    <t>DWAYNE</t>
  </si>
  <si>
    <t>SEKUNDIAK</t>
  </si>
  <si>
    <t>$821,683.47</t>
  </si>
  <si>
    <t>$4,224.82</t>
  </si>
  <si>
    <t>1367887</t>
  </si>
  <si>
    <t>SELINGER</t>
  </si>
  <si>
    <t>$233,540.99</t>
  </si>
  <si>
    <t>$1,076.24</t>
  </si>
  <si>
    <t>1368000</t>
  </si>
  <si>
    <t>$428,149.54</t>
  </si>
  <si>
    <t>$1,883.86</t>
  </si>
  <si>
    <t>1368422</t>
  </si>
  <si>
    <t>SEMMLER</t>
  </si>
  <si>
    <t>$62,851.80</t>
  </si>
  <si>
    <t>$150.00</t>
  </si>
  <si>
    <t>$282.83</t>
  </si>
  <si>
    <t>1368802</t>
  </si>
  <si>
    <t>SENKO</t>
  </si>
  <si>
    <t>$231,823.70</t>
  </si>
  <si>
    <t>$1,043.21</t>
  </si>
  <si>
    <t>1368836</t>
  </si>
  <si>
    <t>$312,236.89</t>
  </si>
  <si>
    <t>$1,514.35</t>
  </si>
  <si>
    <t>1369370</t>
  </si>
  <si>
    <t>FELIX</t>
  </si>
  <si>
    <t>SERRANO</t>
  </si>
  <si>
    <t>$303,602.02</t>
  </si>
  <si>
    <t>$1,335.85</t>
  </si>
  <si>
    <t>1369420</t>
  </si>
  <si>
    <t>LEOTA</t>
  </si>
  <si>
    <t>SERVETNYK</t>
  </si>
  <si>
    <t>$28,532.46</t>
  </si>
  <si>
    <t>$131.49</t>
  </si>
  <si>
    <t>1369990</t>
  </si>
  <si>
    <t>NOLA</t>
  </si>
  <si>
    <t>SEYMOAR</t>
  </si>
  <si>
    <t>$464,946.22</t>
  </si>
  <si>
    <t>$2,390.60</t>
  </si>
  <si>
    <t>1370105</t>
  </si>
  <si>
    <t>RAJ</t>
  </si>
  <si>
    <t>SHAH</t>
  </si>
  <si>
    <t>$13,811.24</t>
  </si>
  <si>
    <t>$66.98</t>
  </si>
  <si>
    <t>1370154</t>
  </si>
  <si>
    <t>SHANTA</t>
  </si>
  <si>
    <t>SHAKYA</t>
  </si>
  <si>
    <t>$200,475.98</t>
  </si>
  <si>
    <t>$760.14</t>
  </si>
  <si>
    <t>1370360</t>
  </si>
  <si>
    <t>MARG</t>
  </si>
  <si>
    <t>SHANKS</t>
  </si>
  <si>
    <t>$52,532.80</t>
  </si>
  <si>
    <t>$278.42</t>
  </si>
  <si>
    <t>1370576</t>
  </si>
  <si>
    <t>USHA</t>
  </si>
  <si>
    <t>SHARMA</t>
  </si>
  <si>
    <t>01-JAN-1942</t>
  </si>
  <si>
    <t>$96,521.70</t>
  </si>
  <si>
    <t>$548.57</t>
  </si>
  <si>
    <t>1371137</t>
  </si>
  <si>
    <t>SHAW</t>
  </si>
  <si>
    <t>$206,620.47</t>
  </si>
  <si>
    <t>$1,029.66</t>
  </si>
  <si>
    <t>1371327</t>
  </si>
  <si>
    <t>SHEARER</t>
  </si>
  <si>
    <t>$183,976.05</t>
  </si>
  <si>
    <t>$847.82</t>
  </si>
  <si>
    <t>1371400</t>
  </si>
  <si>
    <t>SHECHTMAN</t>
  </si>
  <si>
    <t>02-JUN-1949</t>
  </si>
  <si>
    <t>$1,033,844.55</t>
  </si>
  <si>
    <t>$4,652.30</t>
  </si>
  <si>
    <t>1371558</t>
  </si>
  <si>
    <t>SHEPARD</t>
  </si>
  <si>
    <t>$414,196.64</t>
  </si>
  <si>
    <t>$1,822.47</t>
  </si>
  <si>
    <t>1371970</t>
  </si>
  <si>
    <t>SHERIDAN</t>
  </si>
  <si>
    <t>$582,059.43</t>
  </si>
  <si>
    <t>$2,822.99</t>
  </si>
  <si>
    <t>1372358</t>
  </si>
  <si>
    <t>SHIELS</t>
  </si>
  <si>
    <t>$186,974.20</t>
  </si>
  <si>
    <t>$1,025.24</t>
  </si>
  <si>
    <t>1372416</t>
  </si>
  <si>
    <t>$424,559.30</t>
  </si>
  <si>
    <t>$2,006.04</t>
  </si>
  <si>
    <t>1372697</t>
  </si>
  <si>
    <t>SHIRE</t>
  </si>
  <si>
    <t>$51,705.99</t>
  </si>
  <si>
    <t>$305.07</t>
  </si>
  <si>
    <t>1373075</t>
  </si>
  <si>
    <t>SHORE</t>
  </si>
  <si>
    <t>$105,817.19</t>
  </si>
  <si>
    <t>$476.18</t>
  </si>
  <si>
    <t>1373265</t>
  </si>
  <si>
    <t>SUKH</t>
  </si>
  <si>
    <t>SHRIDHAR</t>
  </si>
  <si>
    <t>$814,654.28</t>
  </si>
  <si>
    <t>$3,951.07</t>
  </si>
  <si>
    <t>1373406</t>
  </si>
  <si>
    <t>SHULL</t>
  </si>
  <si>
    <t>$96,912.13</t>
  </si>
  <si>
    <t>$1,004.27</t>
  </si>
  <si>
    <t>$498.29</t>
  </si>
  <si>
    <t>1373463</t>
  </si>
  <si>
    <t>SIMON</t>
  </si>
  <si>
    <t>SHUM</t>
  </si>
  <si>
    <t>$349,470.40</t>
  </si>
  <si>
    <t>$1,610.48</t>
  </si>
  <si>
    <t>1373612</t>
  </si>
  <si>
    <t>SHUPE</t>
  </si>
  <si>
    <t>22-JAN-1949</t>
  </si>
  <si>
    <t>$6,705.36</t>
  </si>
  <si>
    <t>$30.17</t>
  </si>
  <si>
    <t>1373935</t>
  </si>
  <si>
    <t>SICOLI</t>
  </si>
  <si>
    <t>31-OCT-1946</t>
  </si>
  <si>
    <t>$166,087.09</t>
  </si>
  <si>
    <t>$805.52</t>
  </si>
  <si>
    <t>1375146</t>
  </si>
  <si>
    <t>NORMAND</t>
  </si>
  <si>
    <t>SIMARD</t>
  </si>
  <si>
    <t>$694,185.24</t>
  </si>
  <si>
    <t>$3,194.00</t>
  </si>
  <si>
    <t>$2,632.12</t>
  </si>
  <si>
    <t>1375500</t>
  </si>
  <si>
    <t>SIMONS</t>
  </si>
  <si>
    <t>$668,476.18</t>
  </si>
  <si>
    <t>$2,322.96</t>
  </si>
  <si>
    <t>1376045</t>
  </si>
  <si>
    <t>ESTATE OF DAVID</t>
  </si>
  <si>
    <t>SIMS</t>
  </si>
  <si>
    <t>09-APR-1940</t>
  </si>
  <si>
    <t>$333.08</t>
  </si>
  <si>
    <t>$1.97</t>
  </si>
  <si>
    <t>1376177</t>
  </si>
  <si>
    <t>SINCLAIR</t>
  </si>
  <si>
    <t>$689,404.93</t>
  </si>
  <si>
    <t>$3,033.38</t>
  </si>
  <si>
    <t>1376573</t>
  </si>
  <si>
    <t>SING CHIN</t>
  </si>
  <si>
    <t>$65,732.85</t>
  </si>
  <si>
    <t>$310.59</t>
  </si>
  <si>
    <t>1377084</t>
  </si>
  <si>
    <t>SITTER</t>
  </si>
  <si>
    <t>$36,988.02</t>
  </si>
  <si>
    <t>$166.45</t>
  </si>
  <si>
    <t>1377159</t>
  </si>
  <si>
    <t>SIU</t>
  </si>
  <si>
    <t>16-JAN-1948</t>
  </si>
  <si>
    <t>$2,347,899.24</t>
  </si>
  <si>
    <t>$10,819.90</t>
  </si>
  <si>
    <t>1377167</t>
  </si>
  <si>
    <t>$109,530.37</t>
  </si>
  <si>
    <t>$504.75</t>
  </si>
  <si>
    <t>1377779</t>
  </si>
  <si>
    <t>SKILNICK</t>
  </si>
  <si>
    <t>$40,502.34</t>
  </si>
  <si>
    <t>$146.82</t>
  </si>
  <si>
    <t>1377803</t>
  </si>
  <si>
    <t>SKINGLE</t>
  </si>
  <si>
    <t>$468,482.25</t>
  </si>
  <si>
    <t>$2,061.32</t>
  </si>
  <si>
    <t>1378033</t>
  </si>
  <si>
    <t>MERVIN</t>
  </si>
  <si>
    <t>SKOMOROWSKI</t>
  </si>
  <si>
    <t>$894,578.99</t>
  </si>
  <si>
    <t>$3,727.41</t>
  </si>
  <si>
    <t>1378207</t>
  </si>
  <si>
    <t>SKRZESZEWSKI</t>
  </si>
  <si>
    <t>$124,810.21</t>
  </si>
  <si>
    <t>$589.73</t>
  </si>
  <si>
    <t>1378462</t>
  </si>
  <si>
    <t>SLATER</t>
  </si>
  <si>
    <t>$254,730.51</t>
  </si>
  <si>
    <t>$2,620.29</t>
  </si>
  <si>
    <t>$1,396.77</t>
  </si>
  <si>
    <t>1379163</t>
  </si>
  <si>
    <t>LYDIA</t>
  </si>
  <si>
    <t>SLYKHUIS</t>
  </si>
  <si>
    <t>08-FEB-1946</t>
  </si>
  <si>
    <t>$60,497.63</t>
  </si>
  <si>
    <t>$293.41</t>
  </si>
  <si>
    <t>1379874</t>
  </si>
  <si>
    <t>CARMAN</t>
  </si>
  <si>
    <t>SMITH</t>
  </si>
  <si>
    <t>$42,102.66</t>
  </si>
  <si>
    <t>$185.25</t>
  </si>
  <si>
    <t>1380757</t>
  </si>
  <si>
    <t>$104,616.83</t>
  </si>
  <si>
    <t>$460.31</t>
  </si>
  <si>
    <t>1381094</t>
  </si>
  <si>
    <t>20-JUN-1950</t>
  </si>
  <si>
    <t>$39,759.97</t>
  </si>
  <si>
    <t>$174.94</t>
  </si>
  <si>
    <t>1381177</t>
  </si>
  <si>
    <t>$161,744.40</t>
  </si>
  <si>
    <t>$711.68</t>
  </si>
  <si>
    <t>1381201</t>
  </si>
  <si>
    <t>LESTER</t>
  </si>
  <si>
    <t>$1,469,149.09</t>
  </si>
  <si>
    <t>$6,464.26</t>
  </si>
  <si>
    <t>1381250</t>
  </si>
  <si>
    <t>$390,621.48</t>
  </si>
  <si>
    <t>$2,220.03</t>
  </si>
  <si>
    <t>1381268</t>
  </si>
  <si>
    <t>$28,771.13</t>
  </si>
  <si>
    <t>$126.59</t>
  </si>
  <si>
    <t>1381375</t>
  </si>
  <si>
    <t>$436,270.11</t>
  </si>
  <si>
    <t>$1,919.59</t>
  </si>
  <si>
    <t>1381565</t>
  </si>
  <si>
    <t>01-DEC-1944</t>
  </si>
  <si>
    <t>$777,435.81</t>
  </si>
  <si>
    <t>$3,997.32</t>
  </si>
  <si>
    <t>1383140</t>
  </si>
  <si>
    <t>SOCKETT</t>
  </si>
  <si>
    <t>$116,430.92</t>
  </si>
  <si>
    <t>$550.14</t>
  </si>
  <si>
    <t>1383363</t>
  </si>
  <si>
    <t>SOLIE</t>
  </si>
  <si>
    <t>$344,022.70</t>
  </si>
  <si>
    <t>$1,668.51</t>
  </si>
  <si>
    <t>1383439</t>
  </si>
  <si>
    <t>$1,128,935.42</t>
  </si>
  <si>
    <t>$5,625.86</t>
  </si>
  <si>
    <t>1383561</t>
  </si>
  <si>
    <t>$900,418.57</t>
  </si>
  <si>
    <t>$3,961.84</t>
  </si>
  <si>
    <t>1385632</t>
  </si>
  <si>
    <t>JAY</t>
  </si>
  <si>
    <t>SPETALNICK</t>
  </si>
  <si>
    <t>03-DEC-1948</t>
  </si>
  <si>
    <t>$353,577.57</t>
  </si>
  <si>
    <t>$1,555.74</t>
  </si>
  <si>
    <t>1385988</t>
  </si>
  <si>
    <t>SPRAGUE</t>
  </si>
  <si>
    <t>$105,044.85</t>
  </si>
  <si>
    <t>$462.20</t>
  </si>
  <si>
    <t>1386077</t>
  </si>
  <si>
    <t>SPRIGGS</t>
  </si>
  <si>
    <t>$19,798.63</t>
  </si>
  <si>
    <t>$87.11</t>
  </si>
  <si>
    <t>1386259</t>
  </si>
  <si>
    <t>SPROULE</t>
  </si>
  <si>
    <t>$40,684.26</t>
  </si>
  <si>
    <t>$187.49</t>
  </si>
  <si>
    <t>1386994</t>
  </si>
  <si>
    <t>STACYSZYN</t>
  </si>
  <si>
    <t>$443,472.71</t>
  </si>
  <si>
    <t>$1,681.50</t>
  </si>
  <si>
    <t>1387182</t>
  </si>
  <si>
    <t>STADNYK</t>
  </si>
  <si>
    <t>$1,162,070.82</t>
  </si>
  <si>
    <t>$5,229.32</t>
  </si>
  <si>
    <t>1387273</t>
  </si>
  <si>
    <t>MIRRIAM</t>
  </si>
  <si>
    <t>STAFFEN</t>
  </si>
  <si>
    <t>$314,450.74</t>
  </si>
  <si>
    <t>$1,525.09</t>
  </si>
  <si>
    <t>1387430</t>
  </si>
  <si>
    <t>STALWICK</t>
  </si>
  <si>
    <t>$269,645.26</t>
  </si>
  <si>
    <t>$1,274.07</t>
  </si>
  <si>
    <t>1387828</t>
  </si>
  <si>
    <t>STANKEWICH</t>
  </si>
  <si>
    <t>$404,282.26</t>
  </si>
  <si>
    <t>$2,560.00</t>
  </si>
  <si>
    <t>$1,819.27</t>
  </si>
  <si>
    <t>1387885</t>
  </si>
  <si>
    <t>$613,905.15</t>
  </si>
  <si>
    <t>$4,750.00</t>
  </si>
  <si>
    <t>$2,435.16</t>
  </si>
  <si>
    <t>1388933</t>
  </si>
  <si>
    <t>JENNIFER</t>
  </si>
  <si>
    <t>STEELE</t>
  </si>
  <si>
    <t>$218,314.65</t>
  </si>
  <si>
    <t>$1,006.07</t>
  </si>
  <si>
    <t>1389808</t>
  </si>
  <si>
    <t>STEK</t>
  </si>
  <si>
    <t>$197,669.81</t>
  </si>
  <si>
    <t>$910.93</t>
  </si>
  <si>
    <t>1390079</t>
  </si>
  <si>
    <t>STENZIL</t>
  </si>
  <si>
    <t>$311,295.96</t>
  </si>
  <si>
    <t>$1,509.79</t>
  </si>
  <si>
    <t>1390095</t>
  </si>
  <si>
    <t>STEPANIUK</t>
  </si>
  <si>
    <t>$789,549.21</t>
  </si>
  <si>
    <t>$3,131.88</t>
  </si>
  <si>
    <t>1390533</t>
  </si>
  <si>
    <t>MARIANGELA</t>
  </si>
  <si>
    <t>STEVENS</t>
  </si>
  <si>
    <t>$328,937.42</t>
  </si>
  <si>
    <t>$1,480.22</t>
  </si>
  <si>
    <t>1390798</t>
  </si>
  <si>
    <t>STEVENSON</t>
  </si>
  <si>
    <t>$1,213,556.87</t>
  </si>
  <si>
    <t>$4,045.19</t>
  </si>
  <si>
    <t>1390988</t>
  </si>
  <si>
    <t>$340,364.76</t>
  </si>
  <si>
    <t>$1,866.33</t>
  </si>
  <si>
    <t>1391291</t>
  </si>
  <si>
    <t>STEWART</t>
  </si>
  <si>
    <t>$110,983.76</t>
  </si>
  <si>
    <t>$488.33</t>
  </si>
  <si>
    <t>1391374</t>
  </si>
  <si>
    <t>$123,796.63</t>
  </si>
  <si>
    <t>$584.94</t>
  </si>
  <si>
    <t>1391606</t>
  </si>
  <si>
    <t>$961,628.15</t>
  </si>
  <si>
    <t>$4,231.16</t>
  </si>
  <si>
    <t>1391689</t>
  </si>
  <si>
    <t>10-FEB-1948</t>
  </si>
  <si>
    <t>$96,616.34</t>
  </si>
  <si>
    <t>1392117</t>
  </si>
  <si>
    <t>STIRRETT</t>
  </si>
  <si>
    <t>$291,781.95</t>
  </si>
  <si>
    <t>$1,313.02</t>
  </si>
  <si>
    <t>1392497</t>
  </si>
  <si>
    <t>STOCKS</t>
  </si>
  <si>
    <t>$507,185.97</t>
  </si>
  <si>
    <t>$2,337.28</t>
  </si>
  <si>
    <t>1392596</t>
  </si>
  <si>
    <t>STOKES</t>
  </si>
  <si>
    <t>$326,802.73</t>
  </si>
  <si>
    <t>$3,550.00</t>
  </si>
  <si>
    <t>$1,584.99</t>
  </si>
  <si>
    <t>1392711</t>
  </si>
  <si>
    <t>HORST</t>
  </si>
  <si>
    <t>STOLZ</t>
  </si>
  <si>
    <t>$125,543.59</t>
  </si>
  <si>
    <t>$497.99</t>
  </si>
  <si>
    <t>1392943</t>
  </si>
  <si>
    <t>LILY</t>
  </si>
  <si>
    <t>STONEHOUSE</t>
  </si>
  <si>
    <t>$1,380,406.08</t>
  </si>
  <si>
    <t>$6,073.79</t>
  </si>
  <si>
    <t>1393172</t>
  </si>
  <si>
    <t>STORM</t>
  </si>
  <si>
    <t>$245,121.73</t>
  </si>
  <si>
    <t>$1,103.05</t>
  </si>
  <si>
    <t>1393388</t>
  </si>
  <si>
    <t>STOVIN</t>
  </si>
  <si>
    <t>$71,922.76</t>
  </si>
  <si>
    <t>$408.76</t>
  </si>
  <si>
    <t>1394360</t>
  </si>
  <si>
    <t>STROH</t>
  </si>
  <si>
    <t>$163,247.67</t>
  </si>
  <si>
    <t>$771.35</t>
  </si>
  <si>
    <t>1394550</t>
  </si>
  <si>
    <t>STRUBLE</t>
  </si>
  <si>
    <t>$230,324.97</t>
  </si>
  <si>
    <t>$1,036.46</t>
  </si>
  <si>
    <t>1394733</t>
  </si>
  <si>
    <t>STRUTT</t>
  </si>
  <si>
    <t>$507,683.14</t>
  </si>
  <si>
    <t>$3,096.00</t>
  </si>
  <si>
    <t>$2,398.80</t>
  </si>
  <si>
    <t>1394782</t>
  </si>
  <si>
    <t>STRYKER</t>
  </si>
  <si>
    <t>$35,871.41</t>
  </si>
  <si>
    <t>$220.61</t>
  </si>
  <si>
    <t>1395268</t>
  </si>
  <si>
    <t>STUSEK</t>
  </si>
  <si>
    <t>$37,551.08</t>
  </si>
  <si>
    <t>$205.91</t>
  </si>
  <si>
    <t>1395607</t>
  </si>
  <si>
    <t>QUON</t>
  </si>
  <si>
    <t>SUIT</t>
  </si>
  <si>
    <t>$8,693.52</t>
  </si>
  <si>
    <t>$41.08</t>
  </si>
  <si>
    <t>1395847</t>
  </si>
  <si>
    <t>SULLY</t>
  </si>
  <si>
    <t>$201,250.55</t>
  </si>
  <si>
    <t>$885.50</t>
  </si>
  <si>
    <t>1396167</t>
  </si>
  <si>
    <t>SURES</t>
  </si>
  <si>
    <t>$759,662.33</t>
  </si>
  <si>
    <t>$3,500.78</t>
  </si>
  <si>
    <t>1396183</t>
  </si>
  <si>
    <t>SURMINSKY</t>
  </si>
  <si>
    <t>$417,572.24</t>
  </si>
  <si>
    <t>$2,025.23</t>
  </si>
  <si>
    <t>1396209</t>
  </si>
  <si>
    <t>SURTEES</t>
  </si>
  <si>
    <t>$76,579.46</t>
  </si>
  <si>
    <t>$419.91</t>
  </si>
  <si>
    <t>1396357</t>
  </si>
  <si>
    <t>SUTHERLAND</t>
  </si>
  <si>
    <t>21-JUN-1939</t>
  </si>
  <si>
    <t>$109,532.54</t>
  </si>
  <si>
    <t>$673.63</t>
  </si>
  <si>
    <t>1396399</t>
  </si>
  <si>
    <t>$554,392.34</t>
  </si>
  <si>
    <t>$2,688.80</t>
  </si>
  <si>
    <t>1396498</t>
  </si>
  <si>
    <t>$98,252.97</t>
  </si>
  <si>
    <t>$432.31</t>
  </si>
  <si>
    <t>1396522</t>
  </si>
  <si>
    <t>$443,830.12</t>
  </si>
  <si>
    <t>$1,542.31</t>
  </si>
  <si>
    <t>1396621</t>
  </si>
  <si>
    <t>SUTYLA</t>
  </si>
  <si>
    <t>$909,277.41</t>
  </si>
  <si>
    <t>$4,000.82</t>
  </si>
  <si>
    <t>1396746</t>
  </si>
  <si>
    <t>SVEINSON</t>
  </si>
  <si>
    <t>$56,059.72</t>
  </si>
  <si>
    <t>$172.85</t>
  </si>
  <si>
    <t>1397108</t>
  </si>
  <si>
    <t>SWANN</t>
  </si>
  <si>
    <t>$612,634.59</t>
  </si>
  <si>
    <t>$2,083.33</t>
  </si>
  <si>
    <t>$1,965.54</t>
  </si>
  <si>
    <t>1397165</t>
  </si>
  <si>
    <t>SWANSON</t>
  </si>
  <si>
    <t>$999,392.47</t>
  </si>
  <si>
    <t>$4,605.53</t>
  </si>
  <si>
    <t>1397249</t>
  </si>
  <si>
    <t>$723,130.60</t>
  </si>
  <si>
    <t>$2,151.31</t>
  </si>
  <si>
    <t>1397272</t>
  </si>
  <si>
    <t>MARIA</t>
  </si>
  <si>
    <t>ZAJAC</t>
  </si>
  <si>
    <t>$257,245.23</t>
  </si>
  <si>
    <t>$1,150.00</t>
  </si>
  <si>
    <t>$1,131.88</t>
  </si>
  <si>
    <t>1397959</t>
  </si>
  <si>
    <t>SWYSTUN</t>
  </si>
  <si>
    <t>$364,734.30</t>
  </si>
  <si>
    <t>$1,817.59</t>
  </si>
  <si>
    <t>1398502</t>
  </si>
  <si>
    <t>SYROTA</t>
  </si>
  <si>
    <t>$173,866.31</t>
  </si>
  <si>
    <t>$659.24</t>
  </si>
  <si>
    <t>1399179</t>
  </si>
  <si>
    <t>TAIT</t>
  </si>
  <si>
    <t>$600,190.93</t>
  </si>
  <si>
    <t>$2,275.72</t>
  </si>
  <si>
    <t>1399583</t>
  </si>
  <si>
    <t>TANGJERD</t>
  </si>
  <si>
    <t>$380,704.76</t>
  </si>
  <si>
    <t>$3,040.00</t>
  </si>
  <si>
    <t>$1,798.83</t>
  </si>
  <si>
    <t>1399773</t>
  </si>
  <si>
    <t>JANE</t>
  </si>
  <si>
    <t>TAPHORN</t>
  </si>
  <si>
    <t>02-MAR-1945</t>
  </si>
  <si>
    <t>$67,744.38</t>
  </si>
  <si>
    <t>$337.59</t>
  </si>
  <si>
    <t>1400514</t>
  </si>
  <si>
    <t>TAYLOR</t>
  </si>
  <si>
    <t>$1,191,346.05</t>
  </si>
  <si>
    <t>$4,517.19</t>
  </si>
  <si>
    <t>1400522</t>
  </si>
  <si>
    <t>DEBORAH</t>
  </si>
  <si>
    <t>14-SEP-1950</t>
  </si>
  <si>
    <t>$75,612.29</t>
  </si>
  <si>
    <t>$315.05</t>
  </si>
  <si>
    <t>1400936</t>
  </si>
  <si>
    <t>M.</t>
  </si>
  <si>
    <t xml:space="preserve">COLLOPY </t>
  </si>
  <si>
    <t>$124,756.67</t>
  </si>
  <si>
    <t>$548.93</t>
  </si>
  <si>
    <t>1401090</t>
  </si>
  <si>
    <t>LESSARD</t>
  </si>
  <si>
    <t>$17,983.89</t>
  </si>
  <si>
    <t>$80.93</t>
  </si>
  <si>
    <t>1401108</t>
  </si>
  <si>
    <t>24-OCT-1950</t>
  </si>
  <si>
    <t>$32,558.08</t>
  </si>
  <si>
    <t>$143.26</t>
  </si>
  <si>
    <t>1402544</t>
  </si>
  <si>
    <t>THACKERAY</t>
  </si>
  <si>
    <t>$474,050.61</t>
  </si>
  <si>
    <t>$1,797.44</t>
  </si>
  <si>
    <t>1402585</t>
  </si>
  <si>
    <t>THACYK</t>
  </si>
  <si>
    <t>$334,984.47</t>
  </si>
  <si>
    <t>$1,507.43</t>
  </si>
  <si>
    <t>1403278</t>
  </si>
  <si>
    <t>REILLY</t>
  </si>
  <si>
    <t>$44,871.90</t>
  </si>
  <si>
    <t>$201.92</t>
  </si>
  <si>
    <t>1404367</t>
  </si>
  <si>
    <t>BIRDIE</t>
  </si>
  <si>
    <t>THOMPSON</t>
  </si>
  <si>
    <t>$581,983.97</t>
  </si>
  <si>
    <t>$2,560.73</t>
  </si>
  <si>
    <t>1404458</t>
  </si>
  <si>
    <t>19-NOV-1948</t>
  </si>
  <si>
    <t>$552,434.32</t>
  </si>
  <si>
    <t>$2,545.80</t>
  </si>
  <si>
    <t>1404557</t>
  </si>
  <si>
    <t>22-OCT-1938</t>
  </si>
  <si>
    <t>$207,370.49</t>
  </si>
  <si>
    <t>$27,000.00</t>
  </si>
  <si>
    <t>$1,332.36</t>
  </si>
  <si>
    <t>1404706</t>
  </si>
  <si>
    <t>13-JUL-1941</t>
  </si>
  <si>
    <t>$118.81</t>
  </si>
  <si>
    <t>$0.68</t>
  </si>
  <si>
    <t>1404862</t>
  </si>
  <si>
    <t>KARSTEIN</t>
  </si>
  <si>
    <t>$542,254.62</t>
  </si>
  <si>
    <t>$2,973.36</t>
  </si>
  <si>
    <t>1404920</t>
  </si>
  <si>
    <t>10-JUL-1946</t>
  </si>
  <si>
    <t>$32,563.28</t>
  </si>
  <si>
    <t>$157.93</t>
  </si>
  <si>
    <t>1405208</t>
  </si>
  <si>
    <t>STEPHANIE</t>
  </si>
  <si>
    <t>$401,573.81</t>
  </si>
  <si>
    <t>$1,850.59</t>
  </si>
  <si>
    <t>1405810</t>
  </si>
  <si>
    <t>THORESEN</t>
  </si>
  <si>
    <t>$83,135.63</t>
  </si>
  <si>
    <t>$427.46</t>
  </si>
  <si>
    <t>1406560</t>
  </si>
  <si>
    <t>THEOPHILUS</t>
  </si>
  <si>
    <t>TIBO</t>
  </si>
  <si>
    <t>25-FEB-1943</t>
  </si>
  <si>
    <t>$7,008.18</t>
  </si>
  <si>
    <t>$37.14</t>
  </si>
  <si>
    <t>1406818</t>
  </si>
  <si>
    <t>TILLIE</t>
  </si>
  <si>
    <t>$32,850.63</t>
  </si>
  <si>
    <t>$155.22</t>
  </si>
  <si>
    <t>1406883</t>
  </si>
  <si>
    <t>TIMM</t>
  </si>
  <si>
    <t>$159,855.74</t>
  </si>
  <si>
    <t>$703.37</t>
  </si>
  <si>
    <t>1407899</t>
  </si>
  <si>
    <t>TOEWS</t>
  </si>
  <si>
    <t>$143,569.73</t>
  </si>
  <si>
    <t>$631.71</t>
  </si>
  <si>
    <t>1409200</t>
  </si>
  <si>
    <t>TORGERSON</t>
  </si>
  <si>
    <t>$975,392.54</t>
  </si>
  <si>
    <t>$4,860.00</t>
  </si>
  <si>
    <t>$4,860.71</t>
  </si>
  <si>
    <t>1409556</t>
  </si>
  <si>
    <t>TOTH</t>
  </si>
  <si>
    <t>$1,404,283.07</t>
  </si>
  <si>
    <t>$6,178.85</t>
  </si>
  <si>
    <t>1409580</t>
  </si>
  <si>
    <t>$206,201.16</t>
  </si>
  <si>
    <t>$927.91</t>
  </si>
  <si>
    <t>1409614</t>
  </si>
  <si>
    <t>06-JUL-1947</t>
  </si>
  <si>
    <t>$743,119.87</t>
  </si>
  <si>
    <t>$3,511.24</t>
  </si>
  <si>
    <t>1410398</t>
  </si>
  <si>
    <t>NADIA</t>
  </si>
  <si>
    <t>TRAFANANKO</t>
  </si>
  <si>
    <t>$697,176.44</t>
  </si>
  <si>
    <t>$3,381.31</t>
  </si>
  <si>
    <t>1410844</t>
  </si>
  <si>
    <t>TREIMANS</t>
  </si>
  <si>
    <t>$161,592.78</t>
  </si>
  <si>
    <t>$673.30</t>
  </si>
  <si>
    <t>1411230</t>
  </si>
  <si>
    <t>TREW</t>
  </si>
  <si>
    <t>$699,808.07</t>
  </si>
  <si>
    <t>$2,245.22</t>
  </si>
  <si>
    <t>1412071</t>
  </si>
  <si>
    <t>TRUEMAN</t>
  </si>
  <si>
    <t>$41,347.85</t>
  </si>
  <si>
    <t>$195.37</t>
  </si>
  <si>
    <t>1412139</t>
  </si>
  <si>
    <t>TRUMAN</t>
  </si>
  <si>
    <t>$670,337.31</t>
  </si>
  <si>
    <t>$2,949.48</t>
  </si>
  <si>
    <t>1412196</t>
  </si>
  <si>
    <t>CAO</t>
  </si>
  <si>
    <t>TRUONG</t>
  </si>
  <si>
    <t>$424,516.82</t>
  </si>
  <si>
    <t>$1,910.33</t>
  </si>
  <si>
    <t>1412303</t>
  </si>
  <si>
    <t>TRZASKOWSKI</t>
  </si>
  <si>
    <t>$70,754.62</t>
  </si>
  <si>
    <t>$334.32</t>
  </si>
  <si>
    <t>1413103</t>
  </si>
  <si>
    <t>TURANSKI</t>
  </si>
  <si>
    <t>21-JUN-1941</t>
  </si>
  <si>
    <t>$163,119.69</t>
  </si>
  <si>
    <t>$8,746.69</t>
  </si>
  <si>
    <t>$927.06</t>
  </si>
  <si>
    <t>1413129</t>
  </si>
  <si>
    <t>TURCHENEK</t>
  </si>
  <si>
    <t>25-SEP-1947</t>
  </si>
  <si>
    <t>$312,783.19</t>
  </si>
  <si>
    <t>$1,477.90</t>
  </si>
  <si>
    <t>1413350</t>
  </si>
  <si>
    <t>TURKHEIM</t>
  </si>
  <si>
    <t>$1,107,076.02</t>
  </si>
  <si>
    <t>$3,551.87</t>
  </si>
  <si>
    <t>1413442</t>
  </si>
  <si>
    <t>TURNBULL</t>
  </si>
  <si>
    <t>$30,641.67</t>
  </si>
  <si>
    <t>$137.89</t>
  </si>
  <si>
    <t>1413889</t>
  </si>
  <si>
    <t>TUSA</t>
  </si>
  <si>
    <t>$934,713.66</t>
  </si>
  <si>
    <t>$5,514.81</t>
  </si>
  <si>
    <t>1413897</t>
  </si>
  <si>
    <t>VERNA</t>
  </si>
  <si>
    <t>TUSHKEWICH</t>
  </si>
  <si>
    <t>$476,765.94</t>
  </si>
  <si>
    <t>$2,252.72</t>
  </si>
  <si>
    <t>1413921</t>
  </si>
  <si>
    <t>MARGO</t>
  </si>
  <si>
    <t>TUTT</t>
  </si>
  <si>
    <t>$121,794.18</t>
  </si>
  <si>
    <t>$575.48</t>
  </si>
  <si>
    <t>1414044</t>
  </si>
  <si>
    <t>TWEIDT</t>
  </si>
  <si>
    <t>$138,379.39</t>
  </si>
  <si>
    <t>$480.87</t>
  </si>
  <si>
    <t>1414150</t>
  </si>
  <si>
    <t>TYCHOLIZ</t>
  </si>
  <si>
    <t>$59,587.29</t>
  </si>
  <si>
    <t>$315.81</t>
  </si>
  <si>
    <t>1414796</t>
  </si>
  <si>
    <t>ULLMAN</t>
  </si>
  <si>
    <t>$216,611.91</t>
  </si>
  <si>
    <t>$974.75</t>
  </si>
  <si>
    <t>1415009</t>
  </si>
  <si>
    <t>ULRICH</t>
  </si>
  <si>
    <t>$98,345.31</t>
  </si>
  <si>
    <t>$521.23</t>
  </si>
  <si>
    <t>1415181</t>
  </si>
  <si>
    <t>UNCLES</t>
  </si>
  <si>
    <t>$521,019.69</t>
  </si>
  <si>
    <t>$2,344.59</t>
  </si>
  <si>
    <t>1415199</t>
  </si>
  <si>
    <t>$467,892.46</t>
  </si>
  <si>
    <t>$2,105.52</t>
  </si>
  <si>
    <t>1415280</t>
  </si>
  <si>
    <t>UNDERWOOD</t>
  </si>
  <si>
    <t>$648,304.89</t>
  </si>
  <si>
    <t>$2,987.61</t>
  </si>
  <si>
    <t>1415637</t>
  </si>
  <si>
    <t xml:space="preserve">STANLEY </t>
  </si>
  <si>
    <t>URBANOSKI</t>
  </si>
  <si>
    <t>$33,673.71</t>
  </si>
  <si>
    <t>$148.16</t>
  </si>
  <si>
    <t>1415702</t>
  </si>
  <si>
    <t>URQUHART</t>
  </si>
  <si>
    <t>$548,142.48</t>
  </si>
  <si>
    <t>$1,987.02</t>
  </si>
  <si>
    <t>1416569</t>
  </si>
  <si>
    <t>JOHANNES</t>
  </si>
  <si>
    <t>VAN DEN HOOVEN</t>
  </si>
  <si>
    <t>$517,739.48</t>
  </si>
  <si>
    <t>$2,157.25</t>
  </si>
  <si>
    <t>1416726</t>
  </si>
  <si>
    <t>VAN HAVERE</t>
  </si>
  <si>
    <t>$217,363.10</t>
  </si>
  <si>
    <t>$1,027.04</t>
  </si>
  <si>
    <t>1416981</t>
  </si>
  <si>
    <t>VAN SICKLE</t>
  </si>
  <si>
    <t>$849,796.50</t>
  </si>
  <si>
    <t>$3,540.82</t>
  </si>
  <si>
    <t>1417377</t>
  </si>
  <si>
    <t>VANDEN HAM</t>
  </si>
  <si>
    <t>$78,609.65</t>
  </si>
  <si>
    <t>$371.43</t>
  </si>
  <si>
    <t>1417427</t>
  </si>
  <si>
    <t>GUS</t>
  </si>
  <si>
    <t>VANDEPOLDER</t>
  </si>
  <si>
    <t>$430,466.25</t>
  </si>
  <si>
    <t>$1,983.73</t>
  </si>
  <si>
    <t>1417773</t>
  </si>
  <si>
    <t>VANNEVEL</t>
  </si>
  <si>
    <t>27-MAR-1944</t>
  </si>
  <si>
    <t>$108,363.42</t>
  </si>
  <si>
    <t>1417781</t>
  </si>
  <si>
    <t>$307,109.05</t>
  </si>
  <si>
    <t>$1,627.68</t>
  </si>
  <si>
    <t>1418078</t>
  </si>
  <si>
    <t>ROSIE</t>
  </si>
  <si>
    <t>FINCH</t>
  </si>
  <si>
    <t>$106,525.68</t>
  </si>
  <si>
    <t>$584.12</t>
  </si>
  <si>
    <t>1418243</t>
  </si>
  <si>
    <t>VATAMANIUCK</t>
  </si>
  <si>
    <t>$435,274.91</t>
  </si>
  <si>
    <t>$1,342.10</t>
  </si>
  <si>
    <t>1418441</t>
  </si>
  <si>
    <t>VEILLARD</t>
  </si>
  <si>
    <t>$240,356.77</t>
  </si>
  <si>
    <t>$1,057.57</t>
  </si>
  <si>
    <t>1419407</t>
  </si>
  <si>
    <t>VICZKO</t>
  </si>
  <si>
    <t>$79,854.86</t>
  </si>
  <si>
    <t>$387.30</t>
  </si>
  <si>
    <t>1419746</t>
  </si>
  <si>
    <t>VINCK</t>
  </si>
  <si>
    <t>$16,202.53</t>
  </si>
  <si>
    <t>$72.91</t>
  </si>
  <si>
    <t>1420561</t>
  </si>
  <si>
    <t>ETIENNE</t>
  </si>
  <si>
    <t>VON ENGELHARDT</t>
  </si>
  <si>
    <t>$323,954.07</t>
  </si>
  <si>
    <t>$1,614.37</t>
  </si>
  <si>
    <t>1420603</t>
  </si>
  <si>
    <t>VON LEDEBUR</t>
  </si>
  <si>
    <t>21-DEC-1950</t>
  </si>
  <si>
    <t>$59,588.53</t>
  </si>
  <si>
    <t>$262.19</t>
  </si>
  <si>
    <t>1421403</t>
  </si>
  <si>
    <t>WAGMAN</t>
  </si>
  <si>
    <t>$618,507.81</t>
  </si>
  <si>
    <t>$3,875.00</t>
  </si>
  <si>
    <t>$2,783.29</t>
  </si>
  <si>
    <t>1421601</t>
  </si>
  <si>
    <t>WAGNER</t>
  </si>
  <si>
    <t>$41,266.31</t>
  </si>
  <si>
    <t>$181.57</t>
  </si>
  <si>
    <t>1422484</t>
  </si>
  <si>
    <t>WALBAUM</t>
  </si>
  <si>
    <t>$413,983.91</t>
  </si>
  <si>
    <t>$1,821.53</t>
  </si>
  <si>
    <t>1422518</t>
  </si>
  <si>
    <t>WALBY</t>
  </si>
  <si>
    <t>$20,696.07</t>
  </si>
  <si>
    <t>$93.13</t>
  </si>
  <si>
    <t>1422716</t>
  </si>
  <si>
    <t>VERNE</t>
  </si>
  <si>
    <t>WALDE</t>
  </si>
  <si>
    <t>$770,025.30</t>
  </si>
  <si>
    <t>$4,735.66</t>
  </si>
  <si>
    <t>1423029</t>
  </si>
  <si>
    <t>WALKER</t>
  </si>
  <si>
    <t>$636,820.41</t>
  </si>
  <si>
    <t>$2,865.69</t>
  </si>
  <si>
    <t>1423334</t>
  </si>
  <si>
    <t>$504,888.05</t>
  </si>
  <si>
    <t>$1,914.37</t>
  </si>
  <si>
    <t>1424167</t>
  </si>
  <si>
    <t>WALLACE</t>
  </si>
  <si>
    <t>$351,901.10</t>
  </si>
  <si>
    <t>$1,548.37</t>
  </si>
  <si>
    <t>1424647</t>
  </si>
  <si>
    <t>WALLS</t>
  </si>
  <si>
    <t>$447,756.26</t>
  </si>
  <si>
    <t>$1,670.00</t>
  </si>
  <si>
    <t>$1,623.12</t>
  </si>
  <si>
    <t>1424886</t>
  </si>
  <si>
    <t>WALSH</t>
  </si>
  <si>
    <t>$588,869.58</t>
  </si>
  <si>
    <t>$2,782.41</t>
  </si>
  <si>
    <t>1425321</t>
  </si>
  <si>
    <t>WALTON</t>
  </si>
  <si>
    <t>$82,823.19</t>
  </si>
  <si>
    <t>$450.00</t>
  </si>
  <si>
    <t>$391.34</t>
  </si>
  <si>
    <t>1425594</t>
  </si>
  <si>
    <t>WANDLER</t>
  </si>
  <si>
    <t>14-NOV-1947</t>
  </si>
  <si>
    <t>$314,446.57</t>
  </si>
  <si>
    <t>$1,485.76</t>
  </si>
  <si>
    <t>1425982</t>
  </si>
  <si>
    <t>WARBECK</t>
  </si>
  <si>
    <t>$533,072.89</t>
  </si>
  <si>
    <t>$2,456.58</t>
  </si>
  <si>
    <t>1426162</t>
  </si>
  <si>
    <t>WARD</t>
  </si>
  <si>
    <t>$99,406.78</t>
  </si>
  <si>
    <t>$495.38</t>
  </si>
  <si>
    <t>1426477</t>
  </si>
  <si>
    <t>WARICK</t>
  </si>
  <si>
    <t>$409,648.41</t>
  </si>
  <si>
    <t>$1,887.80</t>
  </si>
  <si>
    <t>1426683</t>
  </si>
  <si>
    <t xml:space="preserve">EDNA </t>
  </si>
  <si>
    <t>WARNER</t>
  </si>
  <si>
    <t>22-AUG-1943</t>
  </si>
  <si>
    <t>$65,454.70</t>
  </si>
  <si>
    <t>$336.55</t>
  </si>
  <si>
    <t>1426881</t>
  </si>
  <si>
    <t>$196,194.18</t>
  </si>
  <si>
    <t>$863.25</t>
  </si>
  <si>
    <t>1427061</t>
  </si>
  <si>
    <t>WARRINER</t>
  </si>
  <si>
    <t>$1,202,033.29</t>
  </si>
  <si>
    <t>$5,288.95</t>
  </si>
  <si>
    <t>1427160</t>
  </si>
  <si>
    <t>WASCHUK</t>
  </si>
  <si>
    <t>$423.21</t>
  </si>
  <si>
    <t>$1.90</t>
  </si>
  <si>
    <t>1427186</t>
  </si>
  <si>
    <t>05-AUG-1947</t>
  </si>
  <si>
    <t>$227,164.50</t>
  </si>
  <si>
    <t>$1,073.35</t>
  </si>
  <si>
    <t>1427418</t>
  </si>
  <si>
    <t>WAFIK</t>
  </si>
  <si>
    <t>WASSEF</t>
  </si>
  <si>
    <t>$184,553.61</t>
  </si>
  <si>
    <t>$1,011.97</t>
  </si>
  <si>
    <t>1427665</t>
  </si>
  <si>
    <t>WASYLYK</t>
  </si>
  <si>
    <t>24-NOV-1949</t>
  </si>
  <si>
    <t>$136,809.62</t>
  </si>
  <si>
    <t>$615.64</t>
  </si>
  <si>
    <t>1427749</t>
  </si>
  <si>
    <t>THERESA</t>
  </si>
  <si>
    <t>WASYLYNKA</t>
  </si>
  <si>
    <t>$244,393.26</t>
  </si>
  <si>
    <t>$1,126.25</t>
  </si>
  <si>
    <t>1427830</t>
  </si>
  <si>
    <t>WATERFIELD</t>
  </si>
  <si>
    <t>$283,996.58</t>
  </si>
  <si>
    <t>$1,277.99</t>
  </si>
  <si>
    <t>1427988</t>
  </si>
  <si>
    <t>FRAN</t>
  </si>
  <si>
    <t>WATKINS</t>
  </si>
  <si>
    <t>$21,490.16</t>
  </si>
  <si>
    <t>$101.54</t>
  </si>
  <si>
    <t>1429414</t>
  </si>
  <si>
    <t>LORNA</t>
  </si>
  <si>
    <t>WEBER</t>
  </si>
  <si>
    <t>$564,909.31</t>
  </si>
  <si>
    <t>$3,097.59</t>
  </si>
  <si>
    <t>1429620</t>
  </si>
  <si>
    <t>WEBSTER</t>
  </si>
  <si>
    <t>$224,551.84</t>
  </si>
  <si>
    <t>$1,135.00</t>
  </si>
  <si>
    <t>$604.42</t>
  </si>
  <si>
    <t>1429711</t>
  </si>
  <si>
    <t>$696,202.64</t>
  </si>
  <si>
    <t>$3,063.29</t>
  </si>
  <si>
    <t>1429729</t>
  </si>
  <si>
    <t xml:space="preserve">VELMA </t>
  </si>
  <si>
    <t>13-OCT-1940</t>
  </si>
  <si>
    <t>$3,262.61</t>
  </si>
  <si>
    <t>$19.25</t>
  </si>
  <si>
    <t>1429810</t>
  </si>
  <si>
    <t>WEDGE</t>
  </si>
  <si>
    <t>$502,403.47</t>
  </si>
  <si>
    <t>$2,503.64</t>
  </si>
  <si>
    <t>1430099</t>
  </si>
  <si>
    <t>WEHAGE</t>
  </si>
  <si>
    <t>$28,794.46</t>
  </si>
  <si>
    <t>$136.05</t>
  </si>
  <si>
    <t>1430438</t>
  </si>
  <si>
    <t>WEIMER</t>
  </si>
  <si>
    <t>$45,541.14</t>
  </si>
  <si>
    <t>$200.38</t>
  </si>
  <si>
    <t>1430693</t>
  </si>
  <si>
    <t>WEINTZ</t>
  </si>
  <si>
    <t>$254,338.22</t>
  </si>
  <si>
    <t>$1,172.08</t>
  </si>
  <si>
    <t>1431741</t>
  </si>
  <si>
    <t>WELLS</t>
  </si>
  <si>
    <t>$430,828.46</t>
  </si>
  <si>
    <t>$1,895.65</t>
  </si>
  <si>
    <t>1431832</t>
  </si>
  <si>
    <t>WILLIE</t>
  </si>
  <si>
    <t>WELMS</t>
  </si>
  <si>
    <t>$1,195,021.50</t>
  </si>
  <si>
    <t>$3,983.41</t>
  </si>
  <si>
    <t>1431857</t>
  </si>
  <si>
    <t>WELSH</t>
  </si>
  <si>
    <t>$214,003.72</t>
  </si>
  <si>
    <t>$1,011.17</t>
  </si>
  <si>
    <t>1432087</t>
  </si>
  <si>
    <t>WENDEL</t>
  </si>
  <si>
    <t>$1,892,359.78</t>
  </si>
  <si>
    <t>$9,265.92</t>
  </si>
  <si>
    <t>$9,729.88</t>
  </si>
  <si>
    <t>1432640</t>
  </si>
  <si>
    <t>RANDAL</t>
  </si>
  <si>
    <t>WERNER</t>
  </si>
  <si>
    <t>$103,950.27</t>
  </si>
  <si>
    <t>$467.78</t>
  </si>
  <si>
    <t>1432905</t>
  </si>
  <si>
    <t>WESOLOWSKI</t>
  </si>
  <si>
    <t>23-JAN-1946</t>
  </si>
  <si>
    <t>$797,018.21</t>
  </si>
  <si>
    <t>$3,865.54</t>
  </si>
  <si>
    <t>1433119</t>
  </si>
  <si>
    <t>WEST</t>
  </si>
  <si>
    <t>$134,352.60</t>
  </si>
  <si>
    <t>$604.59</t>
  </si>
  <si>
    <t>1433127</t>
  </si>
  <si>
    <t>19-FEB-1950</t>
  </si>
  <si>
    <t>$33,234.47</t>
  </si>
  <si>
    <t>$146.23</t>
  </si>
  <si>
    <t>1433507</t>
  </si>
  <si>
    <t>WHALEN</t>
  </si>
  <si>
    <t>$279,719.07</t>
  </si>
  <si>
    <t>$1,321.67</t>
  </si>
  <si>
    <t>1433630</t>
  </si>
  <si>
    <t>WHEATLEY</t>
  </si>
  <si>
    <t>$26,231.81</t>
  </si>
  <si>
    <t>$139.03</t>
  </si>
  <si>
    <t>1434000</t>
  </si>
  <si>
    <t xml:space="preserve">IAN </t>
  </si>
  <si>
    <t>WHITE</t>
  </si>
  <si>
    <t>$2,981.42</t>
  </si>
  <si>
    <t>$14.09</t>
  </si>
  <si>
    <t>1434265</t>
  </si>
  <si>
    <t>TERRY</t>
  </si>
  <si>
    <t>$435,738.87</t>
  </si>
  <si>
    <t>$1,398.00</t>
  </si>
  <si>
    <t>1434851</t>
  </si>
  <si>
    <t>WHITTEKER</t>
  </si>
  <si>
    <t>$97,789.08</t>
  </si>
  <si>
    <t>$450.65</t>
  </si>
  <si>
    <t>1436203</t>
  </si>
  <si>
    <t>WIENS</t>
  </si>
  <si>
    <t>$252,773.58</t>
  </si>
  <si>
    <t>$1,194.36</t>
  </si>
  <si>
    <t>1436419</t>
  </si>
  <si>
    <t>WIGHT</t>
  </si>
  <si>
    <t>$482,805.77</t>
  </si>
  <si>
    <t>$3,250.00</t>
  </si>
  <si>
    <t>$2,224.93</t>
  </si>
  <si>
    <t>1437672</t>
  </si>
  <si>
    <t>WILKINSON</t>
  </si>
  <si>
    <t>$285,696.55</t>
  </si>
  <si>
    <t>$1,285.63</t>
  </si>
  <si>
    <t>1438258</t>
  </si>
  <si>
    <t>WILLIAMS</t>
  </si>
  <si>
    <t>30-OCT-1938</t>
  </si>
  <si>
    <t>$515,130.31</t>
  </si>
  <si>
    <t>$2,648.63</t>
  </si>
  <si>
    <t>1439157</t>
  </si>
  <si>
    <t>WILLISON</t>
  </si>
  <si>
    <t>$67,652.65</t>
  </si>
  <si>
    <t>$304.44</t>
  </si>
  <si>
    <t>1439504</t>
  </si>
  <si>
    <t>WILSON</t>
  </si>
  <si>
    <t>$71,592.78</t>
  </si>
  <si>
    <t>$347.23</t>
  </si>
  <si>
    <t>1439603</t>
  </si>
  <si>
    <t>18-AUG-1948</t>
  </si>
  <si>
    <t>$325,411.81</t>
  </si>
  <si>
    <t>$1,499.61</t>
  </si>
  <si>
    <t>1439884</t>
  </si>
  <si>
    <t>$211,617.00</t>
  </si>
  <si>
    <t>$952.28</t>
  </si>
  <si>
    <t>1440049</t>
  </si>
  <si>
    <t>$1,356,615.96</t>
  </si>
  <si>
    <t>$5,127.63</t>
  </si>
  <si>
    <t>$5,381.24</t>
  </si>
  <si>
    <t>1440080</t>
  </si>
  <si>
    <t>$368,422.63</t>
  </si>
  <si>
    <t>$1,950.00</t>
  </si>
  <si>
    <t>$1,697.81</t>
  </si>
  <si>
    <t>1440262</t>
  </si>
  <si>
    <t>REBIA</t>
  </si>
  <si>
    <t>$301,656.39</t>
  </si>
  <si>
    <t>$1,463.03</t>
  </si>
  <si>
    <t>1440627</t>
  </si>
  <si>
    <t xml:space="preserve">EARL </t>
  </si>
  <si>
    <t>WILTSE</t>
  </si>
  <si>
    <t>$31,352.46</t>
  </si>
  <si>
    <t>$100.59</t>
  </si>
  <si>
    <t>1440866</t>
  </si>
  <si>
    <t>WINDSOR</t>
  </si>
  <si>
    <t>$218,280.65</t>
  </si>
  <si>
    <t>$982.26</t>
  </si>
  <si>
    <t>1441138</t>
  </si>
  <si>
    <t>WINSOR GEATROS</t>
  </si>
  <si>
    <t>$372,905.43</t>
  </si>
  <si>
    <t>$1,858.31</t>
  </si>
  <si>
    <t>1441591</t>
  </si>
  <si>
    <t>WIRTH</t>
  </si>
  <si>
    <t>$567,777.07</t>
  </si>
  <si>
    <t>$2,152.82</t>
  </si>
  <si>
    <t>1441609</t>
  </si>
  <si>
    <t>$1,345,765.01</t>
  </si>
  <si>
    <t>$6,358.74</t>
  </si>
  <si>
    <t>1442243</t>
  </si>
  <si>
    <t>WOJCICHOWSKY</t>
  </si>
  <si>
    <t>$47,196.14</t>
  </si>
  <si>
    <t>$228.90</t>
  </si>
  <si>
    <t>1442789</t>
  </si>
  <si>
    <t>WOLFE</t>
  </si>
  <si>
    <t>$322,095.77</t>
  </si>
  <si>
    <t>$1,277.65</t>
  </si>
  <si>
    <t>1442870</t>
  </si>
  <si>
    <t>WOLFF</t>
  </si>
  <si>
    <t>$151,307.22</t>
  </si>
  <si>
    <t>$697.27</t>
  </si>
  <si>
    <t>1443191</t>
  </si>
  <si>
    <t>CLARENCE</t>
  </si>
  <si>
    <t>WOLOSHYN</t>
  </si>
  <si>
    <t>$1,246,494.27</t>
  </si>
  <si>
    <t>$4,944.43</t>
  </si>
  <si>
    <t>1443209</t>
  </si>
  <si>
    <t>$686,201.59</t>
  </si>
  <si>
    <t>$3,019.29</t>
  </si>
  <si>
    <t>1443407</t>
  </si>
  <si>
    <t>DENISE</t>
  </si>
  <si>
    <t>WONG</t>
  </si>
  <si>
    <t>$369,646.08</t>
  </si>
  <si>
    <t>$1,626.44</t>
  </si>
  <si>
    <t>1443464</t>
  </si>
  <si>
    <t>19-OCT-1946</t>
  </si>
  <si>
    <t>$1,119,648.79</t>
  </si>
  <si>
    <t>$4,926.46</t>
  </si>
  <si>
    <t>1443514</t>
  </si>
  <si>
    <t>KENNY</t>
  </si>
  <si>
    <t>06-DEC-1949</t>
  </si>
  <si>
    <t>$120,885.41</t>
  </si>
  <si>
    <t>$531.90</t>
  </si>
  <si>
    <t>1443548</t>
  </si>
  <si>
    <t>MARCELLINUS</t>
  </si>
  <si>
    <t>$894,919.82</t>
  </si>
  <si>
    <t>$4,027.14</t>
  </si>
  <si>
    <t>1443597</t>
  </si>
  <si>
    <t>$409,555.40</t>
  </si>
  <si>
    <t>$1,843.00</t>
  </si>
  <si>
    <t>1443613</t>
  </si>
  <si>
    <t>$570,578.93</t>
  </si>
  <si>
    <t>$2,567.61</t>
  </si>
  <si>
    <t>1443910</t>
  </si>
  <si>
    <t>GLENYS</t>
  </si>
  <si>
    <t>WOOD</t>
  </si>
  <si>
    <t>$1,209,658.53</t>
  </si>
  <si>
    <t>$5,715.64</t>
  </si>
  <si>
    <t>1444157</t>
  </si>
  <si>
    <t>10-OCT-1950</t>
  </si>
  <si>
    <t>$392,152.44</t>
  </si>
  <si>
    <t>$1,725.47</t>
  </si>
  <si>
    <t>1444231</t>
  </si>
  <si>
    <t>WOODCOCK</t>
  </si>
  <si>
    <t>$60,811.99</t>
  </si>
  <si>
    <t>$230.58</t>
  </si>
  <si>
    <t>1444322</t>
  </si>
  <si>
    <t>WOODROW</t>
  </si>
  <si>
    <t>$63,935.04</t>
  </si>
  <si>
    <t>$310.09</t>
  </si>
  <si>
    <t>1444926</t>
  </si>
  <si>
    <t>WORMSBECKER</t>
  </si>
  <si>
    <t>17-APR-1948</t>
  </si>
  <si>
    <t>$844,541.80</t>
  </si>
  <si>
    <t>$3,891.93</t>
  </si>
  <si>
    <t>1445303</t>
  </si>
  <si>
    <t>WOUTERS</t>
  </si>
  <si>
    <t>$624,905.76</t>
  </si>
  <si>
    <t>$3,740.00</t>
  </si>
  <si>
    <t>$3,213.06</t>
  </si>
  <si>
    <t>1445428</t>
  </si>
  <si>
    <t>SYLVESTER</t>
  </si>
  <si>
    <t>WOYTAS</t>
  </si>
  <si>
    <t>$138,690.83</t>
  </si>
  <si>
    <t>$639.13</t>
  </si>
  <si>
    <t>1446525</t>
  </si>
  <si>
    <t>WYATT</t>
  </si>
  <si>
    <t>12-FEB-1947</t>
  </si>
  <si>
    <t>$25,616.35</t>
  </si>
  <si>
    <t>$121.04</t>
  </si>
  <si>
    <t>1446764</t>
  </si>
  <si>
    <t xml:space="preserve">BONNIE </t>
  </si>
  <si>
    <t>WYMAN</t>
  </si>
  <si>
    <t>$283,952.26</t>
  </si>
  <si>
    <t>$1,277.79</t>
  </si>
  <si>
    <t>1446814</t>
  </si>
  <si>
    <t xml:space="preserve">ROBERT </t>
  </si>
  <si>
    <t>$437,039.51</t>
  </si>
  <si>
    <t>$1,966.68</t>
  </si>
  <si>
    <t>1447127</t>
  </si>
  <si>
    <t>LAVINA</t>
  </si>
  <si>
    <t>YACIW</t>
  </si>
  <si>
    <t>$114,671.66</t>
  </si>
  <si>
    <t>$556.16</t>
  </si>
  <si>
    <t>1447598</t>
  </si>
  <si>
    <t>YANICK</t>
  </si>
  <si>
    <t>$130,876.57</t>
  </si>
  <si>
    <t>$575.86</t>
  </si>
  <si>
    <t>1448240</t>
  </si>
  <si>
    <t>YAWORSKI</t>
  </si>
  <si>
    <t>$49,622.13</t>
  </si>
  <si>
    <t>$272.10</t>
  </si>
  <si>
    <t>1448265</t>
  </si>
  <si>
    <t>$587,971.20</t>
  </si>
  <si>
    <t>$2,645.00</t>
  </si>
  <si>
    <t>$2,645.87</t>
  </si>
  <si>
    <t>1449032</t>
  </si>
  <si>
    <t>CHOON</t>
  </si>
  <si>
    <t>YONG</t>
  </si>
  <si>
    <t>$1,261,837.67</t>
  </si>
  <si>
    <t>$6,119.91</t>
  </si>
  <si>
    <t>1449057</t>
  </si>
  <si>
    <t>KAREL</t>
  </si>
  <si>
    <t>$286,050.85</t>
  </si>
  <si>
    <t>$1,258.62</t>
  </si>
  <si>
    <t>1449065</t>
  </si>
  <si>
    <t>YEN</t>
  </si>
  <si>
    <t>05-JAN-1946</t>
  </si>
  <si>
    <t>$256,985.99</t>
  </si>
  <si>
    <t>$1,246.38</t>
  </si>
  <si>
    <t>1449230</t>
  </si>
  <si>
    <t>ALFREDO</t>
  </si>
  <si>
    <t>YOUNG</t>
  </si>
  <si>
    <t>$78,041.60</t>
  </si>
  <si>
    <t>$351.19</t>
  </si>
  <si>
    <t>1449412</t>
  </si>
  <si>
    <t>$17,021.48</t>
  </si>
  <si>
    <t>$74.89</t>
  </si>
  <si>
    <t>1449495</t>
  </si>
  <si>
    <t>$347,115.77</t>
  </si>
  <si>
    <t>$1,562.02</t>
  </si>
  <si>
    <t>1449909</t>
  </si>
  <si>
    <t>$352,409.14</t>
  </si>
  <si>
    <t>$1,624.02</t>
  </si>
  <si>
    <t>1450006</t>
  </si>
  <si>
    <t>$960,392.26</t>
  </si>
  <si>
    <t>$4,293.00</t>
  </si>
  <si>
    <t>$4,225.73</t>
  </si>
  <si>
    <t>1450147</t>
  </si>
  <si>
    <t>TERRENCE</t>
  </si>
  <si>
    <t>YOUNGMAN</t>
  </si>
  <si>
    <t>$1,204,587.92</t>
  </si>
  <si>
    <t>$5,551.14</t>
  </si>
  <si>
    <t>1450246</t>
  </si>
  <si>
    <t>YU</t>
  </si>
  <si>
    <t>$730,594.48</t>
  </si>
  <si>
    <t>$4,006.09</t>
  </si>
  <si>
    <t>1450451</t>
  </si>
  <si>
    <t>YUNG</t>
  </si>
  <si>
    <t>$1,007,131.41</t>
  </si>
  <si>
    <t>$4,758.70</t>
  </si>
  <si>
    <t>1451004</t>
  </si>
  <si>
    <t>ZACKRISSON</t>
  </si>
  <si>
    <t>$670,616.20</t>
  </si>
  <si>
    <t>$4,025.00</t>
  </si>
  <si>
    <t>$3,017.77</t>
  </si>
  <si>
    <t>1451038</t>
  </si>
  <si>
    <t>ROSSLYN</t>
  </si>
  <si>
    <t>ZADOROZNY</t>
  </si>
  <si>
    <t>$803,669.66</t>
  </si>
  <si>
    <t>$4,406.79</t>
  </si>
  <si>
    <t>1451947</t>
  </si>
  <si>
    <t xml:space="preserve">DIANNE </t>
  </si>
  <si>
    <t>ZBOROWSKI</t>
  </si>
  <si>
    <t>$25,581.68</t>
  </si>
  <si>
    <t>$106.59</t>
  </si>
  <si>
    <t>1452655</t>
  </si>
  <si>
    <t>ZESS</t>
  </si>
  <si>
    <t>$25,457.50</t>
  </si>
  <si>
    <t>$150.20</t>
  </si>
  <si>
    <t>1453661</t>
  </si>
  <si>
    <t>ZIMMERMAN</t>
  </si>
  <si>
    <t>$22,602.58</t>
  </si>
  <si>
    <t>$101.71</t>
  </si>
  <si>
    <t>1454149</t>
  </si>
  <si>
    <t>ZRYMIAK</t>
  </si>
  <si>
    <t>$813,152.98</t>
  </si>
  <si>
    <t>$3,699.42</t>
  </si>
  <si>
    <t>$5,475.23</t>
  </si>
  <si>
    <t>1454347</t>
  </si>
  <si>
    <t>ZUK</t>
  </si>
  <si>
    <t>$44,148.46</t>
  </si>
  <si>
    <t>$203.45</t>
  </si>
  <si>
    <t>1454362</t>
  </si>
  <si>
    <t>ZUKOWSKY</t>
  </si>
  <si>
    <t>$647,333.68</t>
  </si>
  <si>
    <t>$2,567.76</t>
  </si>
  <si>
    <t>1454610</t>
  </si>
  <si>
    <t>ANGIE</t>
  </si>
  <si>
    <t>ZWIRSKY</t>
  </si>
  <si>
    <t>$30,855.59</t>
  </si>
  <si>
    <t>$149.65</t>
  </si>
  <si>
    <t>1454693</t>
  </si>
  <si>
    <t>$76,253.88</t>
  </si>
  <si>
    <t>$335.52</t>
  </si>
  <si>
    <t>1456185</t>
  </si>
  <si>
    <t>GLENISE</t>
  </si>
  <si>
    <t>$64,218.30</t>
  </si>
  <si>
    <t>$303.43</t>
  </si>
  <si>
    <t>1457373</t>
  </si>
  <si>
    <t>HARRY</t>
  </si>
  <si>
    <t>PEERY</t>
  </si>
  <si>
    <t>23-JUN-1941</t>
  </si>
  <si>
    <t>$1,000.07</t>
  </si>
  <si>
    <t>$5.68</t>
  </si>
  <si>
    <t>1458355</t>
  </si>
  <si>
    <t>BERNSTEIN</t>
  </si>
  <si>
    <t>$167,239.70</t>
  </si>
  <si>
    <t>$663.38</t>
  </si>
  <si>
    <t>1458850</t>
  </si>
  <si>
    <t>SHELLEY</t>
  </si>
  <si>
    <t>MONSON</t>
  </si>
  <si>
    <t>$922,103.85</t>
  </si>
  <si>
    <t>$4,149.47</t>
  </si>
  <si>
    <t>1460146</t>
  </si>
  <si>
    <t xml:space="preserve">TERRY </t>
  </si>
  <si>
    <t>$108,615.02</t>
  </si>
  <si>
    <t>$348.47</t>
  </si>
  <si>
    <t>1462951</t>
  </si>
  <si>
    <t>DIANNA</t>
  </si>
  <si>
    <t>$100,431.14</t>
  </si>
  <si>
    <t>$441.90</t>
  </si>
  <si>
    <t>1463397</t>
  </si>
  <si>
    <t>EARL</t>
  </si>
  <si>
    <t>22-DEC-1950</t>
  </si>
  <si>
    <t>$81,179.15</t>
  </si>
  <si>
    <t>$357.19</t>
  </si>
  <si>
    <t>1464643</t>
  </si>
  <si>
    <t xml:space="preserve">SHIRLEY </t>
  </si>
  <si>
    <t>KERR</t>
  </si>
  <si>
    <t>$118,996.11</t>
  </si>
  <si>
    <t>$577.13</t>
  </si>
  <si>
    <t>1464791</t>
  </si>
  <si>
    <t>C ALLAN</t>
  </si>
  <si>
    <t>MACARTHUR</t>
  </si>
  <si>
    <t>$235,088.20</t>
  </si>
  <si>
    <t>$1,083.37</t>
  </si>
  <si>
    <t>1466366</t>
  </si>
  <si>
    <t>WIEBE</t>
  </si>
  <si>
    <t>$34,112.48</t>
  </si>
  <si>
    <t>$142.14</t>
  </si>
  <si>
    <t>1467240</t>
  </si>
  <si>
    <t>KEVIN</t>
  </si>
  <si>
    <t>DECORBY</t>
  </si>
  <si>
    <t>$67,784.69</t>
  </si>
  <si>
    <t>$328.76</t>
  </si>
  <si>
    <t>1467927</t>
  </si>
  <si>
    <t>RANDY</t>
  </si>
  <si>
    <t>LABELLE</t>
  </si>
  <si>
    <t>$127,264.28</t>
  </si>
  <si>
    <t>$559.96</t>
  </si>
  <si>
    <t>1468321</t>
  </si>
  <si>
    <t>HOWES</t>
  </si>
  <si>
    <t>$63,595.79</t>
  </si>
  <si>
    <t>$300.49</t>
  </si>
  <si>
    <t>1469592</t>
  </si>
  <si>
    <t>$353,445.68</t>
  </si>
  <si>
    <t>$2,166.66</t>
  </si>
  <si>
    <t>$1,761.34</t>
  </si>
  <si>
    <t>1478999</t>
  </si>
  <si>
    <t>$119,728.39</t>
  </si>
  <si>
    <t>$580.68</t>
  </si>
  <si>
    <t>1485473</t>
  </si>
  <si>
    <t>14-DEC-1950</t>
  </si>
  <si>
    <t>$108,960.28</t>
  </si>
  <si>
    <t>$479.43</t>
  </si>
  <si>
    <t>1491349</t>
  </si>
  <si>
    <t>GOVE</t>
  </si>
  <si>
    <t>11-APR-1949</t>
  </si>
  <si>
    <t>$261,775.92</t>
  </si>
  <si>
    <t>$704.61</t>
  </si>
  <si>
    <t>1491711</t>
  </si>
  <si>
    <t>HILSEN</t>
  </si>
  <si>
    <t>$674,538.75</t>
  </si>
  <si>
    <t>$3,108.50</t>
  </si>
  <si>
    <t>1492453</t>
  </si>
  <si>
    <t>KAWALESKI</t>
  </si>
  <si>
    <t>01-FEB-1945</t>
  </si>
  <si>
    <t>$35,129.85</t>
  </si>
  <si>
    <t>$175.06</t>
  </si>
  <si>
    <t>1493162</t>
  </si>
  <si>
    <t>$520,303.18</t>
  </si>
  <si>
    <t>$2,289.33</t>
  </si>
  <si>
    <t>1493410</t>
  </si>
  <si>
    <t>SCHULZ</t>
  </si>
  <si>
    <t>$58,109.12</t>
  </si>
  <si>
    <t>$298.78</t>
  </si>
  <si>
    <t>1494426</t>
  </si>
  <si>
    <t>$69,351.36</t>
  </si>
  <si>
    <t>$319.59</t>
  </si>
  <si>
    <t>1494608</t>
  </si>
  <si>
    <t>SWAIN</t>
  </si>
  <si>
    <t>$100,983.05</t>
  </si>
  <si>
    <t>$444.33</t>
  </si>
  <si>
    <t>1495035</t>
  </si>
  <si>
    <t>SILVER</t>
  </si>
  <si>
    <t>CHERRY</t>
  </si>
  <si>
    <t>$101,080.91</t>
  </si>
  <si>
    <t>$454.86</t>
  </si>
  <si>
    <t>1495530</t>
  </si>
  <si>
    <t>HAUGLUM</t>
  </si>
  <si>
    <t>$74,695.03</t>
  </si>
  <si>
    <t>$344.22</t>
  </si>
  <si>
    <t>1498559</t>
  </si>
  <si>
    <t>$227,029.78</t>
  </si>
  <si>
    <t>$998.93</t>
  </si>
  <si>
    <t>1502988</t>
  </si>
  <si>
    <t>RAMAGE</t>
  </si>
  <si>
    <t>$46,799.82</t>
  </si>
  <si>
    <t>$210.60</t>
  </si>
  <si>
    <t>1503051</t>
  </si>
  <si>
    <t>MCCAIG</t>
  </si>
  <si>
    <t>31-DEC-1947</t>
  </si>
  <si>
    <t>$12,400.64</t>
  </si>
  <si>
    <t>$58.59</t>
  </si>
  <si>
    <t>1503150</t>
  </si>
  <si>
    <t>$177,389.84</t>
  </si>
  <si>
    <t>$817.47</t>
  </si>
  <si>
    <t>1503515</t>
  </si>
  <si>
    <t>$17,649.11</t>
  </si>
  <si>
    <t>$81.33</t>
  </si>
  <si>
    <t>1504463</t>
  </si>
  <si>
    <t>BLAZ</t>
  </si>
  <si>
    <t>10-JAN-1945</t>
  </si>
  <si>
    <t>$11,380.74</t>
  </si>
  <si>
    <t>$1,050.00</t>
  </si>
  <si>
    <t>$55.20</t>
  </si>
  <si>
    <t>1508993</t>
  </si>
  <si>
    <t>ESTATE OF HAROLD</t>
  </si>
  <si>
    <t>BALITSKI</t>
  </si>
  <si>
    <t>$280,664.08</t>
  </si>
  <si>
    <t>$1,326.14</t>
  </si>
  <si>
    <t>1509041</t>
  </si>
  <si>
    <t>LABAR</t>
  </si>
  <si>
    <t>$89,476.49</t>
  </si>
  <si>
    <t>$412.34</t>
  </si>
  <si>
    <t>1511369</t>
  </si>
  <si>
    <t>$463,189.90</t>
  </si>
  <si>
    <t>$2,539.83</t>
  </si>
  <si>
    <t>1515840</t>
  </si>
  <si>
    <t>DAWES</t>
  </si>
  <si>
    <t>12-JAN-1950</t>
  </si>
  <si>
    <t>$188,218.57</t>
  </si>
  <si>
    <t>1516392</t>
  </si>
  <si>
    <t>DAVIDSON</t>
  </si>
  <si>
    <t>$76,537.86</t>
  </si>
  <si>
    <t>1518661</t>
  </si>
  <si>
    <t>$57,139.29</t>
  </si>
  <si>
    <t>$257.13</t>
  </si>
  <si>
    <t>1519149</t>
  </si>
  <si>
    <t>BECKMAN</t>
  </si>
  <si>
    <t>$82,893.83</t>
  </si>
  <si>
    <t>$413.09</t>
  </si>
  <si>
    <t>1519222</t>
  </si>
  <si>
    <t>MILLIE</t>
  </si>
  <si>
    <t>PUETZ</t>
  </si>
  <si>
    <t>09-JUL-1941</t>
  </si>
  <si>
    <t>$299.17</t>
  </si>
  <si>
    <t>$1.70</t>
  </si>
  <si>
    <t>1520394</t>
  </si>
  <si>
    <t>STUCKEY MAHER</t>
  </si>
  <si>
    <t>$92,338.59</t>
  </si>
  <si>
    <t>$415.52</t>
  </si>
  <si>
    <t>1523315</t>
  </si>
  <si>
    <t>DARWIN</t>
  </si>
  <si>
    <t>MICKLEBOROUGH</t>
  </si>
  <si>
    <t>$38,659.10</t>
  </si>
  <si>
    <t>$104.06</t>
  </si>
  <si>
    <t>1524305</t>
  </si>
  <si>
    <t>MAKSYMIUK</t>
  </si>
  <si>
    <t>$121,524.07</t>
  </si>
  <si>
    <t>$605.60</t>
  </si>
  <si>
    <t>1525013</t>
  </si>
  <si>
    <t>RUZNISKY</t>
  </si>
  <si>
    <t>$104,211.80</t>
  </si>
  <si>
    <t>$492.40</t>
  </si>
  <si>
    <t>1525567</t>
  </si>
  <si>
    <t>DILTS</t>
  </si>
  <si>
    <t>27-FEB-1948</t>
  </si>
  <si>
    <t>$891.41</t>
  </si>
  <si>
    <t>$4.01</t>
  </si>
  <si>
    <t>1526219</t>
  </si>
  <si>
    <t>NESLAND</t>
  </si>
  <si>
    <t>$116,833.59</t>
  </si>
  <si>
    <t>$514.07</t>
  </si>
  <si>
    <t>1527084</t>
  </si>
  <si>
    <t>A.V.</t>
  </si>
  <si>
    <t>SOMMERFELD</t>
  </si>
  <si>
    <t>$21,232.67</t>
  </si>
  <si>
    <t>$100.32</t>
  </si>
  <si>
    <t>1528629</t>
  </si>
  <si>
    <t>HOLFELD</t>
  </si>
  <si>
    <t>$602,825.45</t>
  </si>
  <si>
    <t>$1,622.61</t>
  </si>
  <si>
    <t>1528801</t>
  </si>
  <si>
    <t>TRUDY</t>
  </si>
  <si>
    <t>$50,014.81</t>
  </si>
  <si>
    <t>$225.07</t>
  </si>
  <si>
    <t>1529403</t>
  </si>
  <si>
    <t>ABEL</t>
  </si>
  <si>
    <t>$44,089.79</t>
  </si>
  <si>
    <t>$183.71</t>
  </si>
  <si>
    <t>1529833</t>
  </si>
  <si>
    <t>$44,266.22</t>
  </si>
  <si>
    <t>$203.99</t>
  </si>
  <si>
    <t>1530690</t>
  </si>
  <si>
    <t>GOLTZ</t>
  </si>
  <si>
    <t>$95,720.89</t>
  </si>
  <si>
    <t>$430.74</t>
  </si>
  <si>
    <t>1531169</t>
  </si>
  <si>
    <t>$2,194.02</t>
  </si>
  <si>
    <t>$10.37</t>
  </si>
  <si>
    <t>1531722</t>
  </si>
  <si>
    <t>BRIGDEN</t>
  </si>
  <si>
    <t>$98,947.94</t>
  </si>
  <si>
    <t>$329.83</t>
  </si>
  <si>
    <t>1532845</t>
  </si>
  <si>
    <t>AUDREY MARIE</t>
  </si>
  <si>
    <t>CALLBECK</t>
  </si>
  <si>
    <t>$471,174.35</t>
  </si>
  <si>
    <t>$2,120.28</t>
  </si>
  <si>
    <t>1533264</t>
  </si>
  <si>
    <t>DUNLOP</t>
  </si>
  <si>
    <t>$27,895.17</t>
  </si>
  <si>
    <t>$125.53</t>
  </si>
  <si>
    <t>1533355</t>
  </si>
  <si>
    <t>BLACK</t>
  </si>
  <si>
    <t>31-MAY-1949</t>
  </si>
  <si>
    <t>$7,012.89</t>
  </si>
  <si>
    <t>$31.56</t>
  </si>
  <si>
    <t>1534023</t>
  </si>
  <si>
    <t>DEDMAN</t>
  </si>
  <si>
    <t>$306,274.43</t>
  </si>
  <si>
    <t>$1,526.27</t>
  </si>
  <si>
    <t>1535608</t>
  </si>
  <si>
    <t>DOEPKER</t>
  </si>
  <si>
    <t>$32,560.45</t>
  </si>
  <si>
    <t>$143.27</t>
  </si>
  <si>
    <t>1536937</t>
  </si>
  <si>
    <t>$720,969.34</t>
  </si>
  <si>
    <t>$3,172.27</t>
  </si>
  <si>
    <t>1538263</t>
  </si>
  <si>
    <t>HUNTINGTON</t>
  </si>
  <si>
    <t>$454,194.85</t>
  </si>
  <si>
    <t>$1,998.46</t>
  </si>
  <si>
    <t>1542703</t>
  </si>
  <si>
    <t>JACOBSON</t>
  </si>
  <si>
    <t>$22,299.57</t>
  </si>
  <si>
    <t>$131.57</t>
  </si>
  <si>
    <t>1542877</t>
  </si>
  <si>
    <t>LOVE</t>
  </si>
  <si>
    <t>$44,970.80</t>
  </si>
  <si>
    <t>$197.87</t>
  </si>
  <si>
    <t>1543461</t>
  </si>
  <si>
    <t>FERRIS</t>
  </si>
  <si>
    <t>20-MAY-1949</t>
  </si>
  <si>
    <t>$203,195.15</t>
  </si>
  <si>
    <t>$806.01</t>
  </si>
  <si>
    <t>1544683</t>
  </si>
  <si>
    <t>$60,068.42</t>
  </si>
  <si>
    <t>$270.31</t>
  </si>
  <si>
    <t>1549856</t>
  </si>
  <si>
    <t>$78,176.82</t>
  </si>
  <si>
    <t>$310.10</t>
  </si>
  <si>
    <t>1560283</t>
  </si>
  <si>
    <t>S</t>
  </si>
  <si>
    <t>KHANNA</t>
  </si>
  <si>
    <t>10-MAY-1941</t>
  </si>
  <si>
    <t>$51,643.76</t>
  </si>
  <si>
    <t>$237.99</t>
  </si>
  <si>
    <t>1566272</t>
  </si>
  <si>
    <t>$34,138.13</t>
  </si>
  <si>
    <t>$150.21</t>
  </si>
  <si>
    <t>1567320</t>
  </si>
  <si>
    <t>SKIBINSKY</t>
  </si>
  <si>
    <t>$32,463.72</t>
  </si>
  <si>
    <t>$142.84</t>
  </si>
  <si>
    <t>1567445</t>
  </si>
  <si>
    <t>LUTHI</t>
  </si>
  <si>
    <t>$38,469.60</t>
  </si>
  <si>
    <t>$177.28</t>
  </si>
  <si>
    <t>1568062</t>
  </si>
  <si>
    <t>DAUK</t>
  </si>
  <si>
    <t>$22,624.90</t>
  </si>
  <si>
    <t>$85.79</t>
  </si>
  <si>
    <t>1568385</t>
  </si>
  <si>
    <t>SUZANNE</t>
  </si>
  <si>
    <t>SMART</t>
  </si>
  <si>
    <t>$23,187.21</t>
  </si>
  <si>
    <t>$112.46</t>
  </si>
  <si>
    <t>1569425</t>
  </si>
  <si>
    <t>$128,307.93</t>
  </si>
  <si>
    <t>$564.56</t>
  </si>
  <si>
    <t>1578673</t>
  </si>
  <si>
    <t>03-SEP-1945</t>
  </si>
  <si>
    <t>$30,881.25</t>
  </si>
  <si>
    <t>$153.89</t>
  </si>
  <si>
    <t>1580562</t>
  </si>
  <si>
    <t>HEARD</t>
  </si>
  <si>
    <t>14-OCT-1948</t>
  </si>
  <si>
    <t>$5,648.84</t>
  </si>
  <si>
    <t>$26.03</t>
  </si>
  <si>
    <t>1583392</t>
  </si>
  <si>
    <t>ADELINE</t>
  </si>
  <si>
    <t>LESON</t>
  </si>
  <si>
    <t>18-NOV-1950</t>
  </si>
  <si>
    <t>$13,590.18</t>
  </si>
  <si>
    <t>$59.80</t>
  </si>
  <si>
    <t>1588078</t>
  </si>
  <si>
    <t>PETERSON</t>
  </si>
  <si>
    <t>$92,522.24</t>
  </si>
  <si>
    <t>$437.17</t>
  </si>
  <si>
    <t>1592948</t>
  </si>
  <si>
    <t>$55,910.27</t>
  </si>
  <si>
    <t>$271.17</t>
  </si>
  <si>
    <t>1593243</t>
  </si>
  <si>
    <t>LINGENFELTER</t>
  </si>
  <si>
    <t>$76,170.07</t>
  </si>
  <si>
    <t>$342.77</t>
  </si>
  <si>
    <t>1595560</t>
  </si>
  <si>
    <t>DALRYMPLE</t>
  </si>
  <si>
    <t>$75,249.98</t>
  </si>
  <si>
    <t>$346.78</t>
  </si>
  <si>
    <t>1599661</t>
  </si>
  <si>
    <t>VALARIE</t>
  </si>
  <si>
    <t>$16,006.56</t>
  </si>
  <si>
    <t>$72.03</t>
  </si>
  <si>
    <t>1600675</t>
  </si>
  <si>
    <t>$17,610.49</t>
  </si>
  <si>
    <t>$79.25</t>
  </si>
  <si>
    <t>1600766</t>
  </si>
  <si>
    <t>LANG</t>
  </si>
  <si>
    <t>$122,170.53</t>
  </si>
  <si>
    <t>$537.55</t>
  </si>
  <si>
    <t>1600832</t>
  </si>
  <si>
    <t>ESTATE OF NEIL</t>
  </si>
  <si>
    <t>11-JAN-1950</t>
  </si>
  <si>
    <t>$52,860.04</t>
  </si>
  <si>
    <t>$225.00</t>
  </si>
  <si>
    <t>$232.58</t>
  </si>
  <si>
    <t>1601624</t>
  </si>
  <si>
    <t>HYND</t>
  </si>
  <si>
    <t>$4,591.14</t>
  </si>
  <si>
    <t>$352.28</t>
  </si>
  <si>
    <t>$21.16</t>
  </si>
  <si>
    <t>1605864</t>
  </si>
  <si>
    <t>BERTRAM</t>
  </si>
  <si>
    <t>08-SEP-1950</t>
  </si>
  <si>
    <t>$82,060.65</t>
  </si>
  <si>
    <t>$361.07</t>
  </si>
  <si>
    <t>1607522</t>
  </si>
  <si>
    <t>FLOTRE</t>
  </si>
  <si>
    <t>$130,449.99</t>
  </si>
  <si>
    <t>$616.38</t>
  </si>
  <si>
    <t>1611920</t>
  </si>
  <si>
    <t>WOLLBAUM</t>
  </si>
  <si>
    <t>$71,697.46</t>
  </si>
  <si>
    <t>$322.64</t>
  </si>
  <si>
    <t>1615210</t>
  </si>
  <si>
    <t>CHULY</t>
  </si>
  <si>
    <t>$792,261.52</t>
  </si>
  <si>
    <t>$3,485.95</t>
  </si>
  <si>
    <t>1616168</t>
  </si>
  <si>
    <t>MCKINLAY</t>
  </si>
  <si>
    <t>$86,340.29</t>
  </si>
  <si>
    <t>$473.43</t>
  </si>
  <si>
    <t>1616291</t>
  </si>
  <si>
    <t>RIVARD</t>
  </si>
  <si>
    <t>$245,633.44</t>
  </si>
  <si>
    <t>$1,160.62</t>
  </si>
  <si>
    <t>1620053</t>
  </si>
  <si>
    <t>LOU</t>
  </si>
  <si>
    <t>BELTRAMINI</t>
  </si>
  <si>
    <t>$128,768.25</t>
  </si>
  <si>
    <t>$682.47</t>
  </si>
  <si>
    <t>1626019</t>
  </si>
  <si>
    <t>STUBBINGS</t>
  </si>
  <si>
    <t>$81,190.79</t>
  </si>
  <si>
    <t>$374.15</t>
  </si>
  <si>
    <t>1641836</t>
  </si>
  <si>
    <t>DORIS</t>
  </si>
  <si>
    <t>$130,878.20</t>
  </si>
  <si>
    <t>$743.82</t>
  </si>
  <si>
    <t>1642669</t>
  </si>
  <si>
    <t>COUPAL</t>
  </si>
  <si>
    <t>$17,763.65</t>
  </si>
  <si>
    <t>$78.16</t>
  </si>
  <si>
    <t>1645423</t>
  </si>
  <si>
    <t>TERI</t>
  </si>
  <si>
    <t>$104,067.73</t>
  </si>
  <si>
    <t>$625.00</t>
  </si>
  <si>
    <t>$457.90</t>
  </si>
  <si>
    <t>1651736</t>
  </si>
  <si>
    <t>REGINALD</t>
  </si>
  <si>
    <t>EALEY</t>
  </si>
  <si>
    <t>$13,548.92</t>
  </si>
  <si>
    <t>$71.81</t>
  </si>
  <si>
    <t>1651967</t>
  </si>
  <si>
    <t>COX</t>
  </si>
  <si>
    <t>21-AUG-1950</t>
  </si>
  <si>
    <t>$240,121.87</t>
  </si>
  <si>
    <t>$952.48</t>
  </si>
  <si>
    <t>1652312</t>
  </si>
  <si>
    <t>MARK</t>
  </si>
  <si>
    <t>LINDBLAD</t>
  </si>
  <si>
    <t>$11,099.02</t>
  </si>
  <si>
    <t>$52.44</t>
  </si>
  <si>
    <t>1653195</t>
  </si>
  <si>
    <t>EINSIEDLER</t>
  </si>
  <si>
    <t>$134,621.04</t>
  </si>
  <si>
    <t>$400.50</t>
  </si>
  <si>
    <t>1654078</t>
  </si>
  <si>
    <t>$49,960.57</t>
  </si>
  <si>
    <t>$236.06</t>
  </si>
  <si>
    <t>1654094</t>
  </si>
  <si>
    <t>BAZOWSKI</t>
  </si>
  <si>
    <t>$86,522.09</t>
  </si>
  <si>
    <t>$398.72</t>
  </si>
  <si>
    <t>1661099</t>
  </si>
  <si>
    <t>DOYLE</t>
  </si>
  <si>
    <t>05-OCT-1950</t>
  </si>
  <si>
    <t>$27,281.83</t>
  </si>
  <si>
    <t>$120.04</t>
  </si>
  <si>
    <t>1661149</t>
  </si>
  <si>
    <t>FARAGO</t>
  </si>
  <si>
    <t>$90,418.38</t>
  </si>
  <si>
    <t>$450.59</t>
  </si>
  <si>
    <t>1668375</t>
  </si>
  <si>
    <t>$20,535.41</t>
  </si>
  <si>
    <t>$68.45</t>
  </si>
  <si>
    <t>1672401</t>
  </si>
  <si>
    <t>HEXTALL</t>
  </si>
  <si>
    <t>$32,312.35</t>
  </si>
  <si>
    <t>$145.41</t>
  </si>
  <si>
    <t>1676956</t>
  </si>
  <si>
    <t>$84,371.28</t>
  </si>
  <si>
    <t>$379.67</t>
  </si>
  <si>
    <t>1680917</t>
  </si>
  <si>
    <t>IRMA</t>
  </si>
  <si>
    <t>BYBLOW</t>
  </si>
  <si>
    <t>$28,622.36</t>
  </si>
  <si>
    <t>$125.94</t>
  </si>
  <si>
    <t>1683861</t>
  </si>
  <si>
    <t>$5,420.58</t>
  </si>
  <si>
    <t>$23.85</t>
  </si>
  <si>
    <t>1696103</t>
  </si>
  <si>
    <t>LAKKAVALLY</t>
  </si>
  <si>
    <t>CHANDRAMOHAN</t>
  </si>
  <si>
    <t>$620,106.22</t>
  </si>
  <si>
    <t>$2,459.76</t>
  </si>
  <si>
    <t>1698752</t>
  </si>
  <si>
    <t>DOBROWOLSKY</t>
  </si>
  <si>
    <t>29-SEP-1949</t>
  </si>
  <si>
    <t>$280,946.85</t>
  </si>
  <si>
    <t>$1,264.26</t>
  </si>
  <si>
    <t>1707033</t>
  </si>
  <si>
    <t>SHERYL</t>
  </si>
  <si>
    <t>$155,946.60</t>
  </si>
  <si>
    <t>$756.34</t>
  </si>
  <si>
    <t>1708726</t>
  </si>
  <si>
    <t>$57,132.59</t>
  </si>
  <si>
    <t>$251.38</t>
  </si>
  <si>
    <t>1711589</t>
  </si>
  <si>
    <t>PETERSEN</t>
  </si>
  <si>
    <t>$318.23</t>
  </si>
  <si>
    <t>$1.06</t>
  </si>
  <si>
    <t>1716448</t>
  </si>
  <si>
    <t>STEPHENSON</t>
  </si>
  <si>
    <t>$109,836.60</t>
  </si>
  <si>
    <t>$338.66</t>
  </si>
  <si>
    <t>1717297</t>
  </si>
  <si>
    <t>$697,900.81</t>
  </si>
  <si>
    <t>$3,070.76</t>
  </si>
  <si>
    <t>1717461</t>
  </si>
  <si>
    <t>HARIVE</t>
  </si>
  <si>
    <t>$221,237.11</t>
  </si>
  <si>
    <t>$1,137.53</t>
  </si>
  <si>
    <t>1721042</t>
  </si>
  <si>
    <t>VICKI</t>
  </si>
  <si>
    <t>BRUNSKILL</t>
  </si>
  <si>
    <t>$439,112.52</t>
  </si>
  <si>
    <t>$2,129.70</t>
  </si>
  <si>
    <t>1723956</t>
  </si>
  <si>
    <t>DWIGHT</t>
  </si>
  <si>
    <t>$121,035.70</t>
  </si>
  <si>
    <t>$532.56</t>
  </si>
  <si>
    <t>1726835</t>
  </si>
  <si>
    <t>LUHNING</t>
  </si>
  <si>
    <t>$130,317.12</t>
  </si>
  <si>
    <t>$586.43</t>
  </si>
  <si>
    <t>1726926</t>
  </si>
  <si>
    <t>$415,525.59</t>
  </si>
  <si>
    <t>$1,869.87</t>
  </si>
  <si>
    <t>1726934</t>
  </si>
  <si>
    <t>$36,947.45</t>
  </si>
  <si>
    <t>$170.27</t>
  </si>
  <si>
    <t>1726942</t>
  </si>
  <si>
    <t>$26,115.46</t>
  </si>
  <si>
    <t>$108.81</t>
  </si>
  <si>
    <t>1727544</t>
  </si>
  <si>
    <t>WYANT</t>
  </si>
  <si>
    <t>$1,320,625.87</t>
  </si>
  <si>
    <t>$6,405.04</t>
  </si>
  <si>
    <t>1731017</t>
  </si>
  <si>
    <t>EMIL</t>
  </si>
  <si>
    <t>DISIEWICH</t>
  </si>
  <si>
    <t>$163,865.19</t>
  </si>
  <si>
    <t>$755.15</t>
  </si>
  <si>
    <t>1744093</t>
  </si>
  <si>
    <t>$70,717.47</t>
  </si>
  <si>
    <t>$374.80</t>
  </si>
  <si>
    <t>1753979</t>
  </si>
  <si>
    <t>ADELA</t>
  </si>
  <si>
    <t>DESSOUKI</t>
  </si>
  <si>
    <t>16-DEC-1945</t>
  </si>
  <si>
    <t>$79,131.93</t>
  </si>
  <si>
    <t>$394.34</t>
  </si>
  <si>
    <t>1775071</t>
  </si>
  <si>
    <t>EMILE</t>
  </si>
  <si>
    <t>BAILLARGEON</t>
  </si>
  <si>
    <t>03-MAR-1948</t>
  </si>
  <si>
    <t>$253,967.26</t>
  </si>
  <si>
    <t>$683.60</t>
  </si>
  <si>
    <t>1775790</t>
  </si>
  <si>
    <t>REYNOLD</t>
  </si>
  <si>
    <t>BELITSKI</t>
  </si>
  <si>
    <t>$300,515.21</t>
  </si>
  <si>
    <t>$1,322.27</t>
  </si>
  <si>
    <t>1775873</t>
  </si>
  <si>
    <t>BELLAMY</t>
  </si>
  <si>
    <t>$14,706.21</t>
  </si>
  <si>
    <t>$71.33</t>
  </si>
  <si>
    <t>1776731</t>
  </si>
  <si>
    <t>BLUM</t>
  </si>
  <si>
    <t>$308,053.44</t>
  </si>
  <si>
    <t>$1,386.24</t>
  </si>
  <si>
    <t>1776863</t>
  </si>
  <si>
    <t>BODNARYK</t>
  </si>
  <si>
    <t>$98,006.15</t>
  </si>
  <si>
    <t>$451.65</t>
  </si>
  <si>
    <t>1777218</t>
  </si>
  <si>
    <t>$995,699.76</t>
  </si>
  <si>
    <t>$4,704.68</t>
  </si>
  <si>
    <t>1777267</t>
  </si>
  <si>
    <t>BOOTH</t>
  </si>
  <si>
    <t>$105,278.57</t>
  </si>
  <si>
    <t>$485.16</t>
  </si>
  <si>
    <t>1777549</t>
  </si>
  <si>
    <t>BREWSTER</t>
  </si>
  <si>
    <t>$195,122.44</t>
  </si>
  <si>
    <t>$878.05</t>
  </si>
  <si>
    <t>1777754</t>
  </si>
  <si>
    <t>AARON</t>
  </si>
  <si>
    <t>BROCHU</t>
  </si>
  <si>
    <t>$39,691.73</t>
  </si>
  <si>
    <t>$345.16</t>
  </si>
  <si>
    <t>$182.91</t>
  </si>
  <si>
    <t>1778182</t>
  </si>
  <si>
    <t>CRERAR</t>
  </si>
  <si>
    <t>$216,637.03</t>
  </si>
  <si>
    <t>$998.34</t>
  </si>
  <si>
    <t>1778489</t>
  </si>
  <si>
    <t>ROSALIE</t>
  </si>
  <si>
    <t>CROTENKO</t>
  </si>
  <si>
    <t>$237,360.16</t>
  </si>
  <si>
    <t>$1,044.39</t>
  </si>
  <si>
    <t>1778620</t>
  </si>
  <si>
    <t>BOYER</t>
  </si>
  <si>
    <t>$86,196.21</t>
  </si>
  <si>
    <t>$387.88</t>
  </si>
  <si>
    <t>1778695</t>
  </si>
  <si>
    <t>LARS</t>
  </si>
  <si>
    <t>BRACKEN</t>
  </si>
  <si>
    <t>$90,789.20</t>
  </si>
  <si>
    <t>$535.66</t>
  </si>
  <si>
    <t>1779396</t>
  </si>
  <si>
    <t>AXTELL</t>
  </si>
  <si>
    <t>$1,671,501.67</t>
  </si>
  <si>
    <t>$8,858.96</t>
  </si>
  <si>
    <t>1779420</t>
  </si>
  <si>
    <t>BAARS</t>
  </si>
  <si>
    <t>$1,933,442.07</t>
  </si>
  <si>
    <t>$8,909.95</t>
  </si>
  <si>
    <t>1780170</t>
  </si>
  <si>
    <t>$844,004.34</t>
  </si>
  <si>
    <t>$3,347.88</t>
  </si>
  <si>
    <t>1781350</t>
  </si>
  <si>
    <t>DYBVIG</t>
  </si>
  <si>
    <t>$1,922,996.67</t>
  </si>
  <si>
    <t>$7,700.00</t>
  </si>
  <si>
    <t>$8,012.49</t>
  </si>
  <si>
    <t>1781483</t>
  </si>
  <si>
    <t>EARIS</t>
  </si>
  <si>
    <t>$59,124.61</t>
  </si>
  <si>
    <t>$260.15</t>
  </si>
  <si>
    <t>1781665</t>
  </si>
  <si>
    <t>EDMONDSON</t>
  </si>
  <si>
    <t>23-JUL-1947</t>
  </si>
  <si>
    <t>$927,083.54</t>
  </si>
  <si>
    <t>$4,272.31</t>
  </si>
  <si>
    <t>1781830</t>
  </si>
  <si>
    <t>Y</t>
  </si>
  <si>
    <t>CUMMINS</t>
  </si>
  <si>
    <t>$416,285.93</t>
  </si>
  <si>
    <t>$2,206.32</t>
  </si>
  <si>
    <t>1781988</t>
  </si>
  <si>
    <t>CYR</t>
  </si>
  <si>
    <t>$191,251.99</t>
  </si>
  <si>
    <t>$860.63</t>
  </si>
  <si>
    <t>1782150</t>
  </si>
  <si>
    <t>BREEZE</t>
  </si>
  <si>
    <t>ZUBOT</t>
  </si>
  <si>
    <t>$213,003.24</t>
  </si>
  <si>
    <t>$887.51</t>
  </si>
  <si>
    <t>1782291</t>
  </si>
  <si>
    <t>DANYLUK</t>
  </si>
  <si>
    <t>14-MAR-1941</t>
  </si>
  <si>
    <t>$1,003,773.43</t>
  </si>
  <si>
    <t>$5,320.00</t>
  </si>
  <si>
    <t>1782408</t>
  </si>
  <si>
    <t>$271,675.36</t>
  </si>
  <si>
    <t>$1,283.67</t>
  </si>
  <si>
    <t>1782788</t>
  </si>
  <si>
    <t>COCKMAN</t>
  </si>
  <si>
    <t>$879,819.70</t>
  </si>
  <si>
    <t>$4,663.04</t>
  </si>
  <si>
    <t>1782911</t>
  </si>
  <si>
    <t>COLEMAN</t>
  </si>
  <si>
    <t>$274,049.21</t>
  </si>
  <si>
    <t>$3,160.00</t>
  </si>
  <si>
    <t>$1,233.22</t>
  </si>
  <si>
    <t>1783729</t>
  </si>
  <si>
    <t>FORREST</t>
  </si>
  <si>
    <t>$152,796.56</t>
  </si>
  <si>
    <t>$741.06</t>
  </si>
  <si>
    <t>1783836</t>
  </si>
  <si>
    <t>FOWLIE</t>
  </si>
  <si>
    <t>$111,699.94</t>
  </si>
  <si>
    <t>$502.65</t>
  </si>
  <si>
    <t>1783844</t>
  </si>
  <si>
    <t>$670,815.39</t>
  </si>
  <si>
    <t>$2,951.59</t>
  </si>
  <si>
    <t>1784065</t>
  </si>
  <si>
    <t>FRASER</t>
  </si>
  <si>
    <t>$149,569.16</t>
  </si>
  <si>
    <t>$658.10</t>
  </si>
  <si>
    <t>1784206</t>
  </si>
  <si>
    <t>FREJD</t>
  </si>
  <si>
    <t>$1,810,972.91</t>
  </si>
  <si>
    <t>$8,345.57</t>
  </si>
  <si>
    <t>1784263</t>
  </si>
  <si>
    <t>27-JUN-1949</t>
  </si>
  <si>
    <t>$284,164.26</t>
  </si>
  <si>
    <t>$1,184.02</t>
  </si>
  <si>
    <t>1784966</t>
  </si>
  <si>
    <t>GARNER</t>
  </si>
  <si>
    <t>$173,708.46</t>
  </si>
  <si>
    <t>$2,430.00</t>
  </si>
  <si>
    <t>$952.50</t>
  </si>
  <si>
    <t>1785047</t>
  </si>
  <si>
    <t>GATZKE</t>
  </si>
  <si>
    <t>$874,238.41</t>
  </si>
  <si>
    <t>$4,240.06</t>
  </si>
  <si>
    <t>1785831</t>
  </si>
  <si>
    <t>$722,311.00</t>
  </si>
  <si>
    <t>$3,412.92</t>
  </si>
  <si>
    <t>1786011</t>
  </si>
  <si>
    <t>BASSETT</t>
  </si>
  <si>
    <t>$28,710.81</t>
  </si>
  <si>
    <t>$126.33</t>
  </si>
  <si>
    <t>1787134</t>
  </si>
  <si>
    <t>GERDA</t>
  </si>
  <si>
    <t>BLOEMRAAD</t>
  </si>
  <si>
    <t>$1,267,398.71</t>
  </si>
  <si>
    <t>$6,315.87</t>
  </si>
  <si>
    <t>1787233</t>
  </si>
  <si>
    <t>$531,650.82</t>
  </si>
  <si>
    <t>$2,108.88</t>
  </si>
  <si>
    <t>1787605</t>
  </si>
  <si>
    <t>BURCHILL</t>
  </si>
  <si>
    <t>$1,100,095.27</t>
  </si>
  <si>
    <t>$4,840.42</t>
  </si>
  <si>
    <t>1788181</t>
  </si>
  <si>
    <t>FIRBY</t>
  </si>
  <si>
    <t>$536,064.63</t>
  </si>
  <si>
    <t>$2,841.14</t>
  </si>
  <si>
    <t>1788397</t>
  </si>
  <si>
    <t>$110,300.46</t>
  </si>
  <si>
    <t>$557.32</t>
  </si>
  <si>
    <t>$626.87</t>
  </si>
  <si>
    <t>1788504</t>
  </si>
  <si>
    <t>WILHELMUS</t>
  </si>
  <si>
    <t>DEBAKKER</t>
  </si>
  <si>
    <t>$664,755.14</t>
  </si>
  <si>
    <t>$3,417.95</t>
  </si>
  <si>
    <t>1788710</t>
  </si>
  <si>
    <t>DELESOY</t>
  </si>
  <si>
    <t>$81,046.37</t>
  </si>
  <si>
    <t>$692.19</t>
  </si>
  <si>
    <t>$382.94</t>
  </si>
  <si>
    <t>1789346</t>
  </si>
  <si>
    <t>WINSTON</t>
  </si>
  <si>
    <t>$357,675.34</t>
  </si>
  <si>
    <t>$1,609.54</t>
  </si>
  <si>
    <t>1789510</t>
  </si>
  <si>
    <t>MAVIS</t>
  </si>
  <si>
    <t>DUNSMORE</t>
  </si>
  <si>
    <t>$15,978.96</t>
  </si>
  <si>
    <t>$79.63</t>
  </si>
  <si>
    <t>1789759</t>
  </si>
  <si>
    <t>DICKSON</t>
  </si>
  <si>
    <t>$158,220.50</t>
  </si>
  <si>
    <t>$729.13</t>
  </si>
  <si>
    <t>1789874</t>
  </si>
  <si>
    <t>DILL</t>
  </si>
  <si>
    <t>$1,103,670.38</t>
  </si>
  <si>
    <t>$4,856.15</t>
  </si>
  <si>
    <t>1790492</t>
  </si>
  <si>
    <t>BETSY</t>
  </si>
  <si>
    <t>FLAMAN</t>
  </si>
  <si>
    <t>$147,791.26</t>
  </si>
  <si>
    <t>$716.79</t>
  </si>
  <si>
    <t>1791359</t>
  </si>
  <si>
    <t>$245,927.77</t>
  </si>
  <si>
    <t>$2,225.00</t>
  </si>
  <si>
    <t>$1,303.42</t>
  </si>
  <si>
    <t>1791789</t>
  </si>
  <si>
    <t>MORRIS</t>
  </si>
  <si>
    <t>$357,885.23</t>
  </si>
  <si>
    <t>$1,649.25</t>
  </si>
  <si>
    <t>1792605</t>
  </si>
  <si>
    <t>KURT</t>
  </si>
  <si>
    <t>CHESLEY</t>
  </si>
  <si>
    <t>$14,511.63</t>
  </si>
  <si>
    <t>$63.85</t>
  </si>
  <si>
    <t>1792738</t>
  </si>
  <si>
    <t>CHING</t>
  </si>
  <si>
    <t>$1,755,651.37</t>
  </si>
  <si>
    <t>$7,050.00</t>
  </si>
  <si>
    <t>$8,295.45</t>
  </si>
  <si>
    <t>1792761</t>
  </si>
  <si>
    <t>CHORLTON</t>
  </si>
  <si>
    <t>$1,151,069.90</t>
  </si>
  <si>
    <t>$5,064.71</t>
  </si>
  <si>
    <t>1793108</t>
  </si>
  <si>
    <t>$515,025.29</t>
  </si>
  <si>
    <t>$2,729.63</t>
  </si>
  <si>
    <t>1793850</t>
  </si>
  <si>
    <t>DRYDEN</t>
  </si>
  <si>
    <t>$68,022.61</t>
  </si>
  <si>
    <t>$321.41</t>
  </si>
  <si>
    <t>1793884</t>
  </si>
  <si>
    <t>ROSE</t>
  </si>
  <si>
    <t>DUBE</t>
  </si>
  <si>
    <t>$458,144.93</t>
  </si>
  <si>
    <t>$2,061.65</t>
  </si>
  <si>
    <t>1794668</t>
  </si>
  <si>
    <t>CHALUPIAK</t>
  </si>
  <si>
    <t>$1,619,292.08</t>
  </si>
  <si>
    <t>$7,286.81</t>
  </si>
  <si>
    <t>1794700</t>
  </si>
  <si>
    <t>CHAMBERLAIN</t>
  </si>
  <si>
    <t>$1,469,004.42</t>
  </si>
  <si>
    <t>$6,463.62</t>
  </si>
  <si>
    <t>1794874</t>
  </si>
  <si>
    <t>BILEWITCH</t>
  </si>
  <si>
    <t>$10,494.45</t>
  </si>
  <si>
    <t>$49.59</t>
  </si>
  <si>
    <t>1795202</t>
  </si>
  <si>
    <t>EARLEEN</t>
  </si>
  <si>
    <t>BITNEY</t>
  </si>
  <si>
    <t>$496,782.78</t>
  </si>
  <si>
    <t>$2,185.84</t>
  </si>
  <si>
    <t>1795301</t>
  </si>
  <si>
    <t>$253,303.89</t>
  </si>
  <si>
    <t>$1,139.87</t>
  </si>
  <si>
    <t>1795897</t>
  </si>
  <si>
    <t>SHERRIL</t>
  </si>
  <si>
    <t>$77,975.10</t>
  </si>
  <si>
    <t>$368.43</t>
  </si>
  <si>
    <t>1796242</t>
  </si>
  <si>
    <t>KAROL</t>
  </si>
  <si>
    <t>BEUG</t>
  </si>
  <si>
    <t>23-DEC-1950</t>
  </si>
  <si>
    <t>$201,217.72</t>
  </si>
  <si>
    <t>$885.36</t>
  </si>
  <si>
    <t>1796291</t>
  </si>
  <si>
    <t>BIDDLE</t>
  </si>
  <si>
    <t>$174,229.03</t>
  </si>
  <si>
    <t>$990.20</t>
  </si>
  <si>
    <t>1796564</t>
  </si>
  <si>
    <t>EICHINGER</t>
  </si>
  <si>
    <t>$642,808.08</t>
  </si>
  <si>
    <t>$2,892.64</t>
  </si>
  <si>
    <t>1796986</t>
  </si>
  <si>
    <t>ESAU</t>
  </si>
  <si>
    <t>$61,439.89</t>
  </si>
  <si>
    <t>$445.35</t>
  </si>
  <si>
    <t>$325.63</t>
  </si>
  <si>
    <t>1797042</t>
  </si>
  <si>
    <t>ETHIER</t>
  </si>
  <si>
    <t>$54,684.72</t>
  </si>
  <si>
    <t>$246.08</t>
  </si>
  <si>
    <t>1797661</t>
  </si>
  <si>
    <t>FEHR</t>
  </si>
  <si>
    <t>$209,065.97</t>
  </si>
  <si>
    <t>$963.45</t>
  </si>
  <si>
    <t>1797968</t>
  </si>
  <si>
    <t>GRIMEAU</t>
  </si>
  <si>
    <t>$151,049.41</t>
  </si>
  <si>
    <t>$629.37</t>
  </si>
  <si>
    <t>1798107</t>
  </si>
  <si>
    <t>ORIN</t>
  </si>
  <si>
    <t>GROVUM</t>
  </si>
  <si>
    <t>16-JUN-1941</t>
  </si>
  <si>
    <t>$133,416.56</t>
  </si>
  <si>
    <t>$664.86</t>
  </si>
  <si>
    <t>1798131</t>
  </si>
  <si>
    <t>BERND</t>
  </si>
  <si>
    <t>GRUETZNER</t>
  </si>
  <si>
    <t>$1,127,600.12</t>
  </si>
  <si>
    <t>$4,961.44</t>
  </si>
  <si>
    <t>1798610</t>
  </si>
  <si>
    <t>GELOWICZ</t>
  </si>
  <si>
    <t>$673,237.09</t>
  </si>
  <si>
    <t>$2,339.50</t>
  </si>
  <si>
    <t>1799592</t>
  </si>
  <si>
    <t>GOODING</t>
  </si>
  <si>
    <t>$916,672.86</t>
  </si>
  <si>
    <t>$3,636.14</t>
  </si>
  <si>
    <t>1799600</t>
  </si>
  <si>
    <t>GISELA</t>
  </si>
  <si>
    <t>GOODMAN</t>
  </si>
  <si>
    <t>$335,956.98</t>
  </si>
  <si>
    <t>$2,080.00</t>
  </si>
  <si>
    <t>$1,511.81</t>
  </si>
  <si>
    <t>1800226</t>
  </si>
  <si>
    <t>THORLIEF</t>
  </si>
  <si>
    <t>LIE</t>
  </si>
  <si>
    <t>$56,248.29</t>
  </si>
  <si>
    <t>$280.30</t>
  </si>
  <si>
    <t>1800556</t>
  </si>
  <si>
    <t>LITTLE</t>
  </si>
  <si>
    <t>$430,181.71</t>
  </si>
  <si>
    <t>$2,143.74</t>
  </si>
  <si>
    <t>1800796</t>
  </si>
  <si>
    <t>KUNTZ</t>
  </si>
  <si>
    <t>$368,846.08</t>
  </si>
  <si>
    <t>$1,622.92</t>
  </si>
  <si>
    <t>1801281</t>
  </si>
  <si>
    <t>LACHARITE</t>
  </si>
  <si>
    <t>$658,369.77</t>
  </si>
  <si>
    <t>$2,896.83</t>
  </si>
  <si>
    <t>1801364</t>
  </si>
  <si>
    <t>MOSER</t>
  </si>
  <si>
    <t>$866,518.70</t>
  </si>
  <si>
    <t>$2,577.89</t>
  </si>
  <si>
    <t>1801489</t>
  </si>
  <si>
    <t>SHELTON</t>
  </si>
  <si>
    <t>LAFRAMBOISE</t>
  </si>
  <si>
    <t>$165,471.66</t>
  </si>
  <si>
    <t>$781.85</t>
  </si>
  <si>
    <t>1801703</t>
  </si>
  <si>
    <t>MIMI</t>
  </si>
  <si>
    <t>LAM</t>
  </si>
  <si>
    <t>09-JUL-1948</t>
  </si>
  <si>
    <t>$448,930.95</t>
  </si>
  <si>
    <t>$2,068.82</t>
  </si>
  <si>
    <t>1801828</t>
  </si>
  <si>
    <t>LANDRU</t>
  </si>
  <si>
    <t>$250,667.00</t>
  </si>
  <si>
    <t>$1,288.85</t>
  </si>
  <si>
    <t>1801851</t>
  </si>
  <si>
    <t>$299,944.91</t>
  </si>
  <si>
    <t>$1,319.76</t>
  </si>
  <si>
    <t>1801885</t>
  </si>
  <si>
    <t>LANE</t>
  </si>
  <si>
    <t>$36,243.85</t>
  </si>
  <si>
    <t>$159.47</t>
  </si>
  <si>
    <t>1801984</t>
  </si>
  <si>
    <t>$2,217,440.96</t>
  </si>
  <si>
    <t>$7,114.29</t>
  </si>
  <si>
    <t>1802099</t>
  </si>
  <si>
    <t>JASPER</t>
  </si>
  <si>
    <t>$467,749.41</t>
  </si>
  <si>
    <t>$2,155.55</t>
  </si>
  <si>
    <t>1802123</t>
  </si>
  <si>
    <t>JEFFERY</t>
  </si>
  <si>
    <t>$193,587.81</t>
  </si>
  <si>
    <t>$1,477.73</t>
  </si>
  <si>
    <t>$1,026.02</t>
  </si>
  <si>
    <t>1802263</t>
  </si>
  <si>
    <t>LEEPART</t>
  </si>
  <si>
    <t>$118,788.09</t>
  </si>
  <si>
    <t>$522.67</t>
  </si>
  <si>
    <t>1802321</t>
  </si>
  <si>
    <t>LEGAARDEN</t>
  </si>
  <si>
    <t>$83,945.62</t>
  </si>
  <si>
    <t>$377.76</t>
  </si>
  <si>
    <t>1802982</t>
  </si>
  <si>
    <t>$1,380,661.96</t>
  </si>
  <si>
    <t>$6,880.30</t>
  </si>
  <si>
    <t>1803709</t>
  </si>
  <si>
    <t>COLIN</t>
  </si>
  <si>
    <t>10-FEB-1940</t>
  </si>
  <si>
    <t>$242,827.66</t>
  </si>
  <si>
    <t>$1,432.68</t>
  </si>
  <si>
    <t>1804012</t>
  </si>
  <si>
    <t>HODKINSON</t>
  </si>
  <si>
    <t>$209,812.89</t>
  </si>
  <si>
    <t>$1,150.47</t>
  </si>
  <si>
    <t>1804301</t>
  </si>
  <si>
    <t>LES</t>
  </si>
  <si>
    <t>HOISETH</t>
  </si>
  <si>
    <t>$195,365.10</t>
  </si>
  <si>
    <t>$879.14</t>
  </si>
  <si>
    <t>1804343</t>
  </si>
  <si>
    <t>HOLDEN</t>
  </si>
  <si>
    <t>$100,266.65</t>
  </si>
  <si>
    <t>$549.80</t>
  </si>
  <si>
    <t>1804590</t>
  </si>
  <si>
    <t>HOLOWATUK</t>
  </si>
  <si>
    <t>$280,891.67</t>
  </si>
  <si>
    <t>$1,294.44</t>
  </si>
  <si>
    <t>1805464</t>
  </si>
  <si>
    <t>KRIEGER</t>
  </si>
  <si>
    <t>$142,666.34</t>
  </si>
  <si>
    <t>$674.10</t>
  </si>
  <si>
    <t>1805480</t>
  </si>
  <si>
    <t>WILBURN</t>
  </si>
  <si>
    <t>$768,044.25</t>
  </si>
  <si>
    <t>$2,668.95</t>
  </si>
  <si>
    <t>1805688</t>
  </si>
  <si>
    <t>LANGHORNE</t>
  </si>
  <si>
    <t>$117,587.52</t>
  </si>
  <si>
    <t>$445.85</t>
  </si>
  <si>
    <t>1805969</t>
  </si>
  <si>
    <t>BERNICE</t>
  </si>
  <si>
    <t>$13,374.88</t>
  </si>
  <si>
    <t>$63.20</t>
  </si>
  <si>
    <t>1806017</t>
  </si>
  <si>
    <t>LEO</t>
  </si>
  <si>
    <t>LARSEN</t>
  </si>
  <si>
    <t>31-OCT-1945</t>
  </si>
  <si>
    <t>$1,802,368.91</t>
  </si>
  <si>
    <t>$8,110.66</t>
  </si>
  <si>
    <t>1806405</t>
  </si>
  <si>
    <t>LAZURKO</t>
  </si>
  <si>
    <t>17-DEC-1950</t>
  </si>
  <si>
    <t>$1,663,774.25</t>
  </si>
  <si>
    <t>$6,932.39</t>
  </si>
  <si>
    <t>1806645</t>
  </si>
  <si>
    <t>KUCHERHAN</t>
  </si>
  <si>
    <t>$1,021,386.72</t>
  </si>
  <si>
    <t>$4,706.89</t>
  </si>
  <si>
    <t>1806686</t>
  </si>
  <si>
    <t>CHRISTINE</t>
  </si>
  <si>
    <t>KUHN</t>
  </si>
  <si>
    <t>$184,088.06</t>
  </si>
  <si>
    <t>$892.83</t>
  </si>
  <si>
    <t>1808302</t>
  </si>
  <si>
    <t>HAGEN</t>
  </si>
  <si>
    <t>$1,268,747.02</t>
  </si>
  <si>
    <t>$6,233.00</t>
  </si>
  <si>
    <t>$4,810.67</t>
  </si>
  <si>
    <t>1808468</t>
  </si>
  <si>
    <t>BARTON</t>
  </si>
  <si>
    <t>$599,085.26</t>
  </si>
  <si>
    <t>$2,635.98</t>
  </si>
  <si>
    <t>1809045</t>
  </si>
  <si>
    <t>$1,078,460.76</t>
  </si>
  <si>
    <t>$3,460.06</t>
  </si>
  <si>
    <t>1809060</t>
  </si>
  <si>
    <t>MAURICE</t>
  </si>
  <si>
    <t>$762,555.68</t>
  </si>
  <si>
    <t>$2,116.09</t>
  </si>
  <si>
    <t>1809516</t>
  </si>
  <si>
    <t>HORNOWSKI</t>
  </si>
  <si>
    <t>$182,512.53</t>
  </si>
  <si>
    <t>$885.19</t>
  </si>
  <si>
    <t>1810217</t>
  </si>
  <si>
    <t>$712,164.45</t>
  </si>
  <si>
    <t>$3,454.00</t>
  </si>
  <si>
    <t>1810308</t>
  </si>
  <si>
    <t>$613,595.89</t>
  </si>
  <si>
    <t>$2,699.82</t>
  </si>
  <si>
    <t>1810324</t>
  </si>
  <si>
    <t>HUNTLEY</t>
  </si>
  <si>
    <t>$191,009.23</t>
  </si>
  <si>
    <t>$902.52</t>
  </si>
  <si>
    <t>1810365</t>
  </si>
  <si>
    <t>GUSTAFSON</t>
  </si>
  <si>
    <t>$613,251.92</t>
  </si>
  <si>
    <t>$2,698.31</t>
  </si>
  <si>
    <t>1810456</t>
  </si>
  <si>
    <t>14-MAR-1945</t>
  </si>
  <si>
    <t>$17,466.11</t>
  </si>
  <si>
    <t>$87.04</t>
  </si>
  <si>
    <t>1810514</t>
  </si>
  <si>
    <t>KAZAKOFF</t>
  </si>
  <si>
    <t>$99,212.39</t>
  </si>
  <si>
    <t>$3,730.30</t>
  </si>
  <si>
    <t>$393.54</t>
  </si>
  <si>
    <t>1810639</t>
  </si>
  <si>
    <t>VERA</t>
  </si>
  <si>
    <t>KEISIG</t>
  </si>
  <si>
    <t>$44,354.65</t>
  </si>
  <si>
    <t>$195.16</t>
  </si>
  <si>
    <t>1810993</t>
  </si>
  <si>
    <t>KERELCHUK</t>
  </si>
  <si>
    <t>$934,555.33</t>
  </si>
  <si>
    <t>$3,893.98</t>
  </si>
  <si>
    <t>1811231</t>
  </si>
  <si>
    <t>$418,874.20</t>
  </si>
  <si>
    <t>$1,745.31</t>
  </si>
  <si>
    <t>1811355</t>
  </si>
  <si>
    <t>KIOVSKY</t>
  </si>
  <si>
    <t>$69,307.58</t>
  </si>
  <si>
    <t>$519.23</t>
  </si>
  <si>
    <t>1811538</t>
  </si>
  <si>
    <t>$47,536.17</t>
  </si>
  <si>
    <t>$198.07</t>
  </si>
  <si>
    <t>1811959</t>
  </si>
  <si>
    <t>HARRIS</t>
  </si>
  <si>
    <t>$86,743.24</t>
  </si>
  <si>
    <t>$399.74</t>
  </si>
  <si>
    <t>1811967</t>
  </si>
  <si>
    <t>BEVERLEE</t>
  </si>
  <si>
    <t>$907,297.52</t>
  </si>
  <si>
    <t>$4,082.84</t>
  </si>
  <si>
    <t>1812049</t>
  </si>
  <si>
    <t>$268,562.35</t>
  </si>
  <si>
    <t>$1,338.34</t>
  </si>
  <si>
    <t>1812072</t>
  </si>
  <si>
    <t>HARTLEY</t>
  </si>
  <si>
    <t>$58,765.27</t>
  </si>
  <si>
    <t>$270.81</t>
  </si>
  <si>
    <t>1812205</t>
  </si>
  <si>
    <t>GILLIAN</t>
  </si>
  <si>
    <t>HAUCK</t>
  </si>
  <si>
    <t>$308,414.67</t>
  </si>
  <si>
    <t>$1,495.81</t>
  </si>
  <si>
    <t>1812445</t>
  </si>
  <si>
    <t>ELDON</t>
  </si>
  <si>
    <t>HYMERS</t>
  </si>
  <si>
    <t>$995,698.63</t>
  </si>
  <si>
    <t>$2,962.20</t>
  </si>
  <si>
    <t>1812478</t>
  </si>
  <si>
    <t>HYNDS</t>
  </si>
  <si>
    <t>$373,932.27</t>
  </si>
  <si>
    <t>$1,650.00</t>
  </si>
  <si>
    <t>$1,766.83</t>
  </si>
  <si>
    <t>1812676</t>
  </si>
  <si>
    <t>ISSIGONIS</t>
  </si>
  <si>
    <t>$282,279.15</t>
  </si>
  <si>
    <t>$1,369.05</t>
  </si>
  <si>
    <t>1813328</t>
  </si>
  <si>
    <t>HEALEY</t>
  </si>
  <si>
    <t>$840,073.60</t>
  </si>
  <si>
    <t>$3,969.35</t>
  </si>
  <si>
    <t>1813484</t>
  </si>
  <si>
    <t>$801,394.26</t>
  </si>
  <si>
    <t>$3,606.27</t>
  </si>
  <si>
    <t>1813542</t>
  </si>
  <si>
    <t>EIDSNESS</t>
  </si>
  <si>
    <t>$390,911.94</t>
  </si>
  <si>
    <t>$1,759.10</t>
  </si>
  <si>
    <t>1814102</t>
  </si>
  <si>
    <t>JULIUS</t>
  </si>
  <si>
    <t>MARTENS</t>
  </si>
  <si>
    <t>$190,490.56</t>
  </si>
  <si>
    <t>$1,077.37</t>
  </si>
  <si>
    <t>$979.44</t>
  </si>
  <si>
    <t>1814318</t>
  </si>
  <si>
    <t>$66,773.58</t>
  </si>
  <si>
    <t>$3,971.50</t>
  </si>
  <si>
    <t>$307.72</t>
  </si>
  <si>
    <t>1814375</t>
  </si>
  <si>
    <t>MASTEL</t>
  </si>
  <si>
    <t>$741,985.93</t>
  </si>
  <si>
    <t>$2,943.21</t>
  </si>
  <si>
    <t>1814441</t>
  </si>
  <si>
    <t>MATCHETT</t>
  </si>
  <si>
    <t>$108,490.85</t>
  </si>
  <si>
    <t>$499.96</t>
  </si>
  <si>
    <t>1814870</t>
  </si>
  <si>
    <t>MCALEESE</t>
  </si>
  <si>
    <t>$211,546.69</t>
  </si>
  <si>
    <t>$1,026.00</t>
  </si>
  <si>
    <t>1815042</t>
  </si>
  <si>
    <t>HOOK</t>
  </si>
  <si>
    <t>$91,305.65</t>
  </si>
  <si>
    <t>$401.75</t>
  </si>
  <si>
    <t>1815257</t>
  </si>
  <si>
    <t>KNUTTILA</t>
  </si>
  <si>
    <t>$31,072.89</t>
  </si>
  <si>
    <t>1815372</t>
  </si>
  <si>
    <t>RODNEY</t>
  </si>
  <si>
    <t>$565,207.38</t>
  </si>
  <si>
    <t>$2,048.88</t>
  </si>
  <si>
    <t>1815521</t>
  </si>
  <si>
    <t>PREMA</t>
  </si>
  <si>
    <t>JHA</t>
  </si>
  <si>
    <t>$365,433.54</t>
  </si>
  <si>
    <t>$1,726.67</t>
  </si>
  <si>
    <t>1815612</t>
  </si>
  <si>
    <t>RAY</t>
  </si>
  <si>
    <t>JOHNSGAARD</t>
  </si>
  <si>
    <t>$106,048.36</t>
  </si>
  <si>
    <t>$466.61</t>
  </si>
  <si>
    <t>1815620</t>
  </si>
  <si>
    <t>ANNA</t>
  </si>
  <si>
    <t>$162,361.24</t>
  </si>
  <si>
    <t>$860.51</t>
  </si>
  <si>
    <t>1815737</t>
  </si>
  <si>
    <t>$175,634.73</t>
  </si>
  <si>
    <t>$1,334.81</t>
  </si>
  <si>
    <t>$790.36</t>
  </si>
  <si>
    <t>1815802</t>
  </si>
  <si>
    <t>$306,127.52</t>
  </si>
  <si>
    <t>$1,377.57</t>
  </si>
  <si>
    <t>1815984</t>
  </si>
  <si>
    <t>CECIL</t>
  </si>
  <si>
    <t>$640,760.43</t>
  </si>
  <si>
    <t>$2,819.35</t>
  </si>
  <si>
    <t>1816222</t>
  </si>
  <si>
    <t>$754,529.52</t>
  </si>
  <si>
    <t>$3,319.93</t>
  </si>
  <si>
    <t>1816370</t>
  </si>
  <si>
    <t>$844,780.50</t>
  </si>
  <si>
    <t>$4,100.00</t>
  </si>
  <si>
    <t>$4,343.58</t>
  </si>
  <si>
    <t>1816438</t>
  </si>
  <si>
    <t>MCCALLUM</t>
  </si>
  <si>
    <t>$347,378.00</t>
  </si>
  <si>
    <t>$1,731.10</t>
  </si>
  <si>
    <t>1816669</t>
  </si>
  <si>
    <t>MCCREARY</t>
  </si>
  <si>
    <t>$381,695.70</t>
  </si>
  <si>
    <t>$1,679.46</t>
  </si>
  <si>
    <t>1816800</t>
  </si>
  <si>
    <t>$774,391.70</t>
  </si>
  <si>
    <t>$3,659.00</t>
  </si>
  <si>
    <t>1817006</t>
  </si>
  <si>
    <t>MCFADDEN</t>
  </si>
  <si>
    <t>$12,397.85</t>
  </si>
  <si>
    <t>$740.00</t>
  </si>
  <si>
    <t>$61.78</t>
  </si>
  <si>
    <t>1817154</t>
  </si>
  <si>
    <t>BOON</t>
  </si>
  <si>
    <t>$901,548.50</t>
  </si>
  <si>
    <t>$4,056.97</t>
  </si>
  <si>
    <t>1817220</t>
  </si>
  <si>
    <t>KARRAS</t>
  </si>
  <si>
    <t>$155,012.50</t>
  </si>
  <si>
    <t>$919.78</t>
  </si>
  <si>
    <t>$797.02</t>
  </si>
  <si>
    <t>1817956</t>
  </si>
  <si>
    <t>$1,509,426.48</t>
  </si>
  <si>
    <t>$6,289.28</t>
  </si>
  <si>
    <t>1818335</t>
  </si>
  <si>
    <t>PLEMEL</t>
  </si>
  <si>
    <t>$624,315.26</t>
  </si>
  <si>
    <t>$2,376.66</t>
  </si>
  <si>
    <t>$2,601.31</t>
  </si>
  <si>
    <t>1819853</t>
  </si>
  <si>
    <t>LEDINGHAM</t>
  </si>
  <si>
    <t>$166,567.88</t>
  </si>
  <si>
    <t>$18,000.00</t>
  </si>
  <si>
    <t>$767.60</t>
  </si>
  <si>
    <t>1820349</t>
  </si>
  <si>
    <t>ESTATE OF ROBERT</t>
  </si>
  <si>
    <t>NORTON</t>
  </si>
  <si>
    <t>$343,366.58</t>
  </si>
  <si>
    <t>$1,665.33</t>
  </si>
  <si>
    <t>1820356</t>
  </si>
  <si>
    <t>NORWOOD</t>
  </si>
  <si>
    <t>25-DEC-1946</t>
  </si>
  <si>
    <t>$7,101.85</t>
  </si>
  <si>
    <t>$34.44</t>
  </si>
  <si>
    <t>1821073</t>
  </si>
  <si>
    <t>MCKERCHER</t>
  </si>
  <si>
    <t>$178,219.23</t>
  </si>
  <si>
    <t>$821.29</t>
  </si>
  <si>
    <t>1821149</t>
  </si>
  <si>
    <t>MCKNIGHT</t>
  </si>
  <si>
    <t>$430,810.76</t>
  </si>
  <si>
    <t>$16,776.37</t>
  </si>
  <si>
    <t>$1,938.65</t>
  </si>
  <si>
    <t>1821248</t>
  </si>
  <si>
    <t>MCLEAN</t>
  </si>
  <si>
    <t>14-NOV-1942</t>
  </si>
  <si>
    <t>$66,067.20</t>
  </si>
  <si>
    <t>$304.46</t>
  </si>
  <si>
    <t>1821503</t>
  </si>
  <si>
    <t>MCNUTT</t>
  </si>
  <si>
    <t>$682,006.47</t>
  </si>
  <si>
    <t>$2,472.27</t>
  </si>
  <si>
    <t>1821560</t>
  </si>
  <si>
    <t>MICHEAL</t>
  </si>
  <si>
    <t>$321,207.90</t>
  </si>
  <si>
    <t>$1,217.91</t>
  </si>
  <si>
    <t>1821651</t>
  </si>
  <si>
    <t>MEARNS</t>
  </si>
  <si>
    <t>$246,517.42</t>
  </si>
  <si>
    <t>$1,136.03</t>
  </si>
  <si>
    <t>1822030</t>
  </si>
  <si>
    <t>PERCY</t>
  </si>
  <si>
    <t>PYLYPUK</t>
  </si>
  <si>
    <t>$1,362,261.36</t>
  </si>
  <si>
    <t>$6,606.97</t>
  </si>
  <si>
    <t>1822600</t>
  </si>
  <si>
    <t>STEFANOWSKI</t>
  </si>
  <si>
    <t>$442,524.85</t>
  </si>
  <si>
    <t>$2,146.25</t>
  </si>
  <si>
    <t>1822618</t>
  </si>
  <si>
    <t>$212,901.85</t>
  </si>
  <si>
    <t>$1,032.57</t>
  </si>
  <si>
    <t>1822691</t>
  </si>
  <si>
    <t>STENGLER</t>
  </si>
  <si>
    <t>$880,398.11</t>
  </si>
  <si>
    <t>$2,369.74</t>
  </si>
  <si>
    <t>1822766</t>
  </si>
  <si>
    <t>STEPHENS</t>
  </si>
  <si>
    <t>$1,852,240.40</t>
  </si>
  <si>
    <t>$7,717.67</t>
  </si>
  <si>
    <t>1822824</t>
  </si>
  <si>
    <t>16-MAY-1950</t>
  </si>
  <si>
    <t>$184,443.04</t>
  </si>
  <si>
    <t>$811.55</t>
  </si>
  <si>
    <t>1823426</t>
  </si>
  <si>
    <t>MOLNAR</t>
  </si>
  <si>
    <t>$940,005.24</t>
  </si>
  <si>
    <t>$47,000.00</t>
  </si>
  <si>
    <t>$5,154.36</t>
  </si>
  <si>
    <t>1823509</t>
  </si>
  <si>
    <t>MONAGHAN</t>
  </si>
  <si>
    <t>$534,362.78</t>
  </si>
  <si>
    <t>$2,462.52</t>
  </si>
  <si>
    <t>1824036</t>
  </si>
  <si>
    <t>HARLOW</t>
  </si>
  <si>
    <t>$108,176.33</t>
  </si>
  <si>
    <t>$475.98</t>
  </si>
  <si>
    <t>1824069</t>
  </si>
  <si>
    <t>MCINTYRE</t>
  </si>
  <si>
    <t>$101,169.06</t>
  </si>
  <si>
    <t>$548.37</t>
  </si>
  <si>
    <t>$520.18</t>
  </si>
  <si>
    <t>1824119</t>
  </si>
  <si>
    <t>MCIVOR</t>
  </si>
  <si>
    <t>$83,169.97</t>
  </si>
  <si>
    <t>$692.00</t>
  </si>
  <si>
    <t>$427.63</t>
  </si>
  <si>
    <t>1824424</t>
  </si>
  <si>
    <t>RITCHIE</t>
  </si>
  <si>
    <t>$45,582.07</t>
  </si>
  <si>
    <t>$205.12</t>
  </si>
  <si>
    <t>1824432</t>
  </si>
  <si>
    <t>$188,127.27</t>
  </si>
  <si>
    <t>$866.95</t>
  </si>
  <si>
    <t>1824978</t>
  </si>
  <si>
    <t>SANDERCOCK</t>
  </si>
  <si>
    <t>$165,636.30</t>
  </si>
  <si>
    <t>$728.80</t>
  </si>
  <si>
    <t>1825017</t>
  </si>
  <si>
    <t>BERNIE</t>
  </si>
  <si>
    <t>SIEBERT</t>
  </si>
  <si>
    <t>$357,535.64</t>
  </si>
  <si>
    <t>$1,781.72</t>
  </si>
  <si>
    <t>1825413</t>
  </si>
  <si>
    <t>MERRETT</t>
  </si>
  <si>
    <t>$58,572.84</t>
  </si>
  <si>
    <t>$276.76</t>
  </si>
  <si>
    <t>1825751</t>
  </si>
  <si>
    <t>MIHIAL</t>
  </si>
  <si>
    <t>$202,107.82</t>
  </si>
  <si>
    <t>$980.22</t>
  </si>
  <si>
    <t>1826239</t>
  </si>
  <si>
    <t>OLSON</t>
  </si>
  <si>
    <t>07-JAN-1946</t>
  </si>
  <si>
    <t>$115,159.61</t>
  </si>
  <si>
    <t>$558.52</t>
  </si>
  <si>
    <t>1826544</t>
  </si>
  <si>
    <t>ORTHNER</t>
  </si>
  <si>
    <t>$1,037,375.97</t>
  </si>
  <si>
    <t>$4,901.60</t>
  </si>
  <si>
    <t>1826551</t>
  </si>
  <si>
    <t>BONNIE</t>
  </si>
  <si>
    <t>$739,797.00</t>
  </si>
  <si>
    <t>$3,495.54</t>
  </si>
  <si>
    <t>1827211</t>
  </si>
  <si>
    <t>$870,998.99</t>
  </si>
  <si>
    <t>$4,013.85</t>
  </si>
  <si>
    <t>1827468</t>
  </si>
  <si>
    <t>$37,173.25</t>
  </si>
  <si>
    <t>$167.28</t>
  </si>
  <si>
    <t>1827583</t>
  </si>
  <si>
    <t>JEFF</t>
  </si>
  <si>
    <t>MANDER</t>
  </si>
  <si>
    <t>$1,222,259.93</t>
  </si>
  <si>
    <t>$3,188.06</t>
  </si>
  <si>
    <t>1827997</t>
  </si>
  <si>
    <t>PENTLAND</t>
  </si>
  <si>
    <t>29-JUN-1943</t>
  </si>
  <si>
    <t>$1,550,515.57</t>
  </si>
  <si>
    <t>$8,217.73</t>
  </si>
  <si>
    <t>1828185</t>
  </si>
  <si>
    <t>PERVERSEFF</t>
  </si>
  <si>
    <t>21-SEP-1946</t>
  </si>
  <si>
    <t>$699,358.63</t>
  </si>
  <si>
    <t>$3,077.18</t>
  </si>
  <si>
    <t>1828839</t>
  </si>
  <si>
    <t>$234,780.81</t>
  </si>
  <si>
    <t>$1,081.95</t>
  </si>
  <si>
    <t>1829043</t>
  </si>
  <si>
    <t>MCGRATTEN</t>
  </si>
  <si>
    <t>$628,290.83</t>
  </si>
  <si>
    <t>$2,764.48</t>
  </si>
  <si>
    <t>1829084</t>
  </si>
  <si>
    <t>MCGUNIGAL</t>
  </si>
  <si>
    <t>$254,536.78</t>
  </si>
  <si>
    <t>$1,446.62</t>
  </si>
  <si>
    <t>1829324</t>
  </si>
  <si>
    <t>LORANGER</t>
  </si>
  <si>
    <t>$47,837.37</t>
  </si>
  <si>
    <t>$1,355.41</t>
  </si>
  <si>
    <t>$199.32</t>
  </si>
  <si>
    <t>1829431</t>
  </si>
  <si>
    <t>TERRIE</t>
  </si>
  <si>
    <t>LOVAS</t>
  </si>
  <si>
    <t>22-NOV-1938</t>
  </si>
  <si>
    <t>$50,657.37</t>
  </si>
  <si>
    <t>$325.47</t>
  </si>
  <si>
    <t>1829506</t>
  </si>
  <si>
    <t>LOW</t>
  </si>
  <si>
    <t>$109,306.85</t>
  </si>
  <si>
    <t>$480.95</t>
  </si>
  <si>
    <t>1829886</t>
  </si>
  <si>
    <t>LUNDY</t>
  </si>
  <si>
    <t>$1,277,669.53</t>
  </si>
  <si>
    <t>$4,099.19</t>
  </si>
  <si>
    <t>1830199</t>
  </si>
  <si>
    <t>$862,829.41</t>
  </si>
  <si>
    <t>$4,436.38</t>
  </si>
  <si>
    <t>1830397</t>
  </si>
  <si>
    <t>MACKAY</t>
  </si>
  <si>
    <t>$93,659.62</t>
  </si>
  <si>
    <t>$513.57</t>
  </si>
  <si>
    <t>1830496</t>
  </si>
  <si>
    <t>MACLEAN</t>
  </si>
  <si>
    <t>$773,081.10</t>
  </si>
  <si>
    <t>$3,749.44</t>
  </si>
  <si>
    <t>1830553</t>
  </si>
  <si>
    <t>MACPHEDRAN</t>
  </si>
  <si>
    <t>$143,113.90</t>
  </si>
  <si>
    <t>$659.52</t>
  </si>
  <si>
    <t>1831288</t>
  </si>
  <si>
    <t>SKOGBERG</t>
  </si>
  <si>
    <t>$593,310.90</t>
  </si>
  <si>
    <t>$2,734.17</t>
  </si>
  <si>
    <t>1831353</t>
  </si>
  <si>
    <t>SENIOR</t>
  </si>
  <si>
    <t>$313,066.43</t>
  </si>
  <si>
    <t>$1,847.09</t>
  </si>
  <si>
    <t>1831619</t>
  </si>
  <si>
    <t>SHARPE</t>
  </si>
  <si>
    <t>$26,207.46</t>
  </si>
  <si>
    <t>$117.93</t>
  </si>
  <si>
    <t>1831940</t>
  </si>
  <si>
    <t>SHORTT</t>
  </si>
  <si>
    <t>$109,057.07</t>
  </si>
  <si>
    <t>$578.00</t>
  </si>
  <si>
    <t>1832203</t>
  </si>
  <si>
    <t>ORBAN</t>
  </si>
  <si>
    <t>03-JAN-1943</t>
  </si>
  <si>
    <t>$0.30</t>
  </si>
  <si>
    <t>1832252</t>
  </si>
  <si>
    <t>SANDERS</t>
  </si>
  <si>
    <t>$109,315.58</t>
  </si>
  <si>
    <t>$480.99</t>
  </si>
  <si>
    <t>1832427</t>
  </si>
  <si>
    <t>SARICH</t>
  </si>
  <si>
    <t>$193,035.25</t>
  </si>
  <si>
    <t>$849.36</t>
  </si>
  <si>
    <t>1832583</t>
  </si>
  <si>
    <t>LUCILLE</t>
  </si>
  <si>
    <t>KRESS</t>
  </si>
  <si>
    <t>$465,399.85</t>
  </si>
  <si>
    <t>$2,047.76</t>
  </si>
  <si>
    <t>1832625</t>
  </si>
  <si>
    <t>RAND</t>
  </si>
  <si>
    <t>$391,776.22</t>
  </si>
  <si>
    <t>$1,900.12</t>
  </si>
  <si>
    <t>1832633</t>
  </si>
  <si>
    <t>$309,344.22</t>
  </si>
  <si>
    <t>$1,500.32</t>
  </si>
  <si>
    <t>1833102</t>
  </si>
  <si>
    <t>$452,100.15</t>
  </si>
  <si>
    <t>$2,324.55</t>
  </si>
  <si>
    <t>1833656</t>
  </si>
  <si>
    <t>ESTATE OF LEONEL</t>
  </si>
  <si>
    <t>PARENT</t>
  </si>
  <si>
    <t>$195,202.41</t>
  </si>
  <si>
    <t>$1,300.45</t>
  </si>
  <si>
    <t>$922.33</t>
  </si>
  <si>
    <t>1833888</t>
  </si>
  <si>
    <t>PASKARUK</t>
  </si>
  <si>
    <t>$26,678.96</t>
  </si>
  <si>
    <t>$101.16</t>
  </si>
  <si>
    <t>1834373</t>
  </si>
  <si>
    <t>$276,318.17</t>
  </si>
  <si>
    <t>$1,305.60</t>
  </si>
  <si>
    <t>1834472</t>
  </si>
  <si>
    <t>SCHOENAU</t>
  </si>
  <si>
    <t>$1,119,623.87</t>
  </si>
  <si>
    <t>$5,579.46</t>
  </si>
  <si>
    <t>1834506</t>
  </si>
  <si>
    <t>SCHOFER</t>
  </si>
  <si>
    <t>24-JUN-1942</t>
  </si>
  <si>
    <t>$49,938.37</t>
  </si>
  <si>
    <t>$273.83</t>
  </si>
  <si>
    <t>1834639</t>
  </si>
  <si>
    <t>SCHROEDER</t>
  </si>
  <si>
    <t>$2,438,389.54</t>
  </si>
  <si>
    <t>$6,510.00</t>
  </si>
  <si>
    <t>$6,766.53</t>
  </si>
  <si>
    <t>1834837</t>
  </si>
  <si>
    <t>PELLETIER</t>
  </si>
  <si>
    <t>$339,091.22</t>
  </si>
  <si>
    <t>$1,525.91</t>
  </si>
  <si>
    <t>1835040</t>
  </si>
  <si>
    <t>WIKLUND</t>
  </si>
  <si>
    <t>$22,093.54</t>
  </si>
  <si>
    <t>$121.15</t>
  </si>
  <si>
    <t>1835487</t>
  </si>
  <si>
    <t>FRED</t>
  </si>
  <si>
    <t>WILLOWS</t>
  </si>
  <si>
    <t>$498,904.30</t>
  </si>
  <si>
    <t>$6,300.00</t>
  </si>
  <si>
    <t>$2,486.21</t>
  </si>
  <si>
    <t>1835503</t>
  </si>
  <si>
    <t>WILLOX</t>
  </si>
  <si>
    <t>01-MAR-1942</t>
  </si>
  <si>
    <t>$585,289.44</t>
  </si>
  <si>
    <t>$3,209.34</t>
  </si>
  <si>
    <t>1835511</t>
  </si>
  <si>
    <t>WILLS</t>
  </si>
  <si>
    <t>$520,879.16</t>
  </si>
  <si>
    <t>$2,343.96</t>
  </si>
  <si>
    <t>1835990</t>
  </si>
  <si>
    <t>WOLBAUM</t>
  </si>
  <si>
    <t>$1,660,843.88</t>
  </si>
  <si>
    <t>$7,307.71</t>
  </si>
  <si>
    <t>1836378</t>
  </si>
  <si>
    <t>WORKMAN</t>
  </si>
  <si>
    <t>$10,200.69</t>
  </si>
  <si>
    <t>$50.83</t>
  </si>
  <si>
    <t>1836477</t>
  </si>
  <si>
    <t>WRAY</t>
  </si>
  <si>
    <t>$1,047,052.40</t>
  </si>
  <si>
    <t>$4,711.74</t>
  </si>
  <si>
    <t>1836501</t>
  </si>
  <si>
    <t>WRIGHT</t>
  </si>
  <si>
    <t>$112,336.89</t>
  </si>
  <si>
    <t>$517.69</t>
  </si>
  <si>
    <t>1838374</t>
  </si>
  <si>
    <t>SAYER</t>
  </si>
  <si>
    <t>$240,983.40</t>
  </si>
  <si>
    <t>$1,239.06</t>
  </si>
  <si>
    <t>1838416</t>
  </si>
  <si>
    <t>SAYERS</t>
  </si>
  <si>
    <t>$99,121.46</t>
  </si>
  <si>
    <t>$330.41</t>
  </si>
  <si>
    <t>1838937</t>
  </si>
  <si>
    <t>SCHMALENBERG</t>
  </si>
  <si>
    <t>$1,134,822.46</t>
  </si>
  <si>
    <t>$4,993.22</t>
  </si>
  <si>
    <t>1839653</t>
  </si>
  <si>
    <t>STINSON</t>
  </si>
  <si>
    <t>$353,812.72</t>
  </si>
  <si>
    <t>$1,630.49</t>
  </si>
  <si>
    <t>1839976</t>
  </si>
  <si>
    <t>STRILCHUK</t>
  </si>
  <si>
    <t>$396,835.24</t>
  </si>
  <si>
    <t>$1,828.75</t>
  </si>
  <si>
    <t>1840206</t>
  </si>
  <si>
    <t>DEWEY</t>
  </si>
  <si>
    <t>VAN ALSTYNE</t>
  </si>
  <si>
    <t>$177,634.91</t>
  </si>
  <si>
    <t>$885.21</t>
  </si>
  <si>
    <t>1840321</t>
  </si>
  <si>
    <t>VANDERBERGHE</t>
  </si>
  <si>
    <t>$352,078.89</t>
  </si>
  <si>
    <t>$1,683.00</t>
  </si>
  <si>
    <t>$1,549.15</t>
  </si>
  <si>
    <t>1840529</t>
  </si>
  <si>
    <t>ARUN</t>
  </si>
  <si>
    <t>VERMA</t>
  </si>
  <si>
    <t>08-DEC-1946</t>
  </si>
  <si>
    <t>$1,687,713.09</t>
  </si>
  <si>
    <t>$7,425.94</t>
  </si>
  <si>
    <t>1840602</t>
  </si>
  <si>
    <t>AURELIO</t>
  </si>
  <si>
    <t>VILAS</t>
  </si>
  <si>
    <t>$70,161.75</t>
  </si>
  <si>
    <t>$349.64</t>
  </si>
  <si>
    <t>1840925</t>
  </si>
  <si>
    <t>$77,348.16</t>
  </si>
  <si>
    <t>$385.45</t>
  </si>
  <si>
    <t>1840958</t>
  </si>
  <si>
    <t>WAHN</t>
  </si>
  <si>
    <t>$864,398.99</t>
  </si>
  <si>
    <t>$3,983.44</t>
  </si>
  <si>
    <t>1841303</t>
  </si>
  <si>
    <t>WALLER</t>
  </si>
  <si>
    <t>$224,658.67</t>
  </si>
  <si>
    <t>$1,010.96</t>
  </si>
  <si>
    <t>1842848</t>
  </si>
  <si>
    <t>WEAVER</t>
  </si>
  <si>
    <t>$143,558.51</t>
  </si>
  <si>
    <t>$760.86</t>
  </si>
  <si>
    <t>1842970</t>
  </si>
  <si>
    <t>ESTHER</t>
  </si>
  <si>
    <t>$4,616.44</t>
  </si>
  <si>
    <t>$23.01</t>
  </si>
  <si>
    <t>1843010</t>
  </si>
  <si>
    <t>WEGNER</t>
  </si>
  <si>
    <t>20-SEP-1942</t>
  </si>
  <si>
    <t>$50,583.11</t>
  </si>
  <si>
    <t>$277.36</t>
  </si>
  <si>
    <t>1843259</t>
  </si>
  <si>
    <t>29-APR-1944</t>
  </si>
  <si>
    <t>$623,907.57</t>
  </si>
  <si>
    <t>$2,474.83</t>
  </si>
  <si>
    <t>1843325</t>
  </si>
  <si>
    <t>WENZEL</t>
  </si>
  <si>
    <t>$27,177.96</t>
  </si>
  <si>
    <t>$149.03</t>
  </si>
  <si>
    <t>1843382</t>
  </si>
  <si>
    <t>WERTH</t>
  </si>
  <si>
    <t>$165,933.44</t>
  </si>
  <si>
    <t>$730.11</t>
  </si>
  <si>
    <t>1843689</t>
  </si>
  <si>
    <t>ALLARD</t>
  </si>
  <si>
    <t>$401,046.61</t>
  </si>
  <si>
    <t>$1,945.08</t>
  </si>
  <si>
    <t>1844349</t>
  </si>
  <si>
    <t>YICK CHOI JIM</t>
  </si>
  <si>
    <t>TAM</t>
  </si>
  <si>
    <t>$397,501.73</t>
  </si>
  <si>
    <t>$2,774.52</t>
  </si>
  <si>
    <t>$2,043.82</t>
  </si>
  <si>
    <t>1844539</t>
  </si>
  <si>
    <t>TASTAD</t>
  </si>
  <si>
    <t>$1,231,617.95</t>
  </si>
  <si>
    <t>$4,885.42</t>
  </si>
  <si>
    <t>1846252</t>
  </si>
  <si>
    <t>$676,717.44</t>
  </si>
  <si>
    <t>$3,045.23</t>
  </si>
  <si>
    <t>1846500</t>
  </si>
  <si>
    <t>TILSLEY</t>
  </si>
  <si>
    <t>$334,311.60</t>
  </si>
  <si>
    <t>$961.15</t>
  </si>
  <si>
    <t>1846658</t>
  </si>
  <si>
    <t>TOMTENE</t>
  </si>
  <si>
    <t>$744,993.87</t>
  </si>
  <si>
    <t>$2,700.60</t>
  </si>
  <si>
    <t>1847540</t>
  </si>
  <si>
    <t>SOLHEIM</t>
  </si>
  <si>
    <t>$451,715.75</t>
  </si>
  <si>
    <t>$2,081.66</t>
  </si>
  <si>
    <t>1848407</t>
  </si>
  <si>
    <t>$618,360.60</t>
  </si>
  <si>
    <t>$2,960.00</t>
  </si>
  <si>
    <t>$2,921.75</t>
  </si>
  <si>
    <t>1850924</t>
  </si>
  <si>
    <t>HELENA</t>
  </si>
  <si>
    <t>ZORKO</t>
  </si>
  <si>
    <t>$57,343.24</t>
  </si>
  <si>
    <t>$338.33</t>
  </si>
  <si>
    <t>1851096</t>
  </si>
  <si>
    <t>$423,942.18</t>
  </si>
  <si>
    <t>$2,003.13</t>
  </si>
  <si>
    <t>1851203</t>
  </si>
  <si>
    <t>WHIPPLER</t>
  </si>
  <si>
    <t>$1,013,059.31</t>
  </si>
  <si>
    <t>$3,672.34</t>
  </si>
  <si>
    <t>1852151</t>
  </si>
  <si>
    <t>KACUIBA</t>
  </si>
  <si>
    <t>$148,865.55</t>
  </si>
  <si>
    <t>$413.10</t>
  </si>
  <si>
    <t>1854645</t>
  </si>
  <si>
    <t>MAXINE</t>
  </si>
  <si>
    <t>TAPPER</t>
  </si>
  <si>
    <t>$55,277.17</t>
  </si>
  <si>
    <t>$254.74</t>
  </si>
  <si>
    <t>1859339</t>
  </si>
  <si>
    <t>25-AUG-1942</t>
  </si>
  <si>
    <t>$20,571.82</t>
  </si>
  <si>
    <t>$112.80</t>
  </si>
  <si>
    <t>1861301</t>
  </si>
  <si>
    <t>ANNETTE</t>
  </si>
  <si>
    <t>28-FEB-1943</t>
  </si>
  <si>
    <t>$14,582.70</t>
  </si>
  <si>
    <t>$77.29</t>
  </si>
  <si>
    <t>1861335</t>
  </si>
  <si>
    <t>$576,228.22</t>
  </si>
  <si>
    <t>$2,722.68</t>
  </si>
  <si>
    <t>1861939</t>
  </si>
  <si>
    <t>WACKER</t>
  </si>
  <si>
    <t>$443,914.42</t>
  </si>
  <si>
    <t>$2,152.99</t>
  </si>
  <si>
    <t>1863018</t>
  </si>
  <si>
    <t>DOLL</t>
  </si>
  <si>
    <t>$50,343.28</t>
  </si>
  <si>
    <t>$266.82</t>
  </si>
  <si>
    <t>1865344</t>
  </si>
  <si>
    <t>AIME</t>
  </si>
  <si>
    <t>LAVENTURE</t>
  </si>
  <si>
    <t>14-APR-1950</t>
  </si>
  <si>
    <t>$46,727.31</t>
  </si>
  <si>
    <t>$205.60</t>
  </si>
  <si>
    <t>1866250</t>
  </si>
  <si>
    <t>SALLY</t>
  </si>
  <si>
    <t>HOGAN</t>
  </si>
  <si>
    <t>$20,395.92</t>
  </si>
  <si>
    <t>$101.64</t>
  </si>
  <si>
    <t>1866532</t>
  </si>
  <si>
    <t>DIRK</t>
  </si>
  <si>
    <t>VAN EE</t>
  </si>
  <si>
    <t>$150,402.40</t>
  </si>
  <si>
    <t>$970.00</t>
  </si>
  <si>
    <t>$661.77</t>
  </si>
  <si>
    <t>1868017</t>
  </si>
  <si>
    <t>HAHN</t>
  </si>
  <si>
    <t>$40,250.00</t>
  </si>
  <si>
    <t>$2,253.58</t>
  </si>
  <si>
    <t>$181.13</t>
  </si>
  <si>
    <t>1870187</t>
  </si>
  <si>
    <t>NEAL</t>
  </si>
  <si>
    <t>$88,670.39</t>
  </si>
  <si>
    <t>$408.62</t>
  </si>
  <si>
    <t>1871631</t>
  </si>
  <si>
    <t>CRICK</t>
  </si>
  <si>
    <t>$43,572.96</t>
  </si>
  <si>
    <t>$224.04</t>
  </si>
  <si>
    <t>1872928</t>
  </si>
  <si>
    <t>KRAUSE</t>
  </si>
  <si>
    <t>$102,378.47</t>
  </si>
  <si>
    <t>$450.47</t>
  </si>
  <si>
    <t>1876317</t>
  </si>
  <si>
    <t>BARTEL</t>
  </si>
  <si>
    <t>$14,204.71</t>
  </si>
  <si>
    <t>$63.92</t>
  </si>
  <si>
    <t>1880715</t>
  </si>
  <si>
    <t>NIGEL</t>
  </si>
  <si>
    <t>BAILEY</t>
  </si>
  <si>
    <t>$315,483.83</t>
  </si>
  <si>
    <t>$1,419.68</t>
  </si>
  <si>
    <t>1882943</t>
  </si>
  <si>
    <t>THOMSON</t>
  </si>
  <si>
    <t>$181,306.71</t>
  </si>
  <si>
    <t>$719.18</t>
  </si>
  <si>
    <t>1885722</t>
  </si>
  <si>
    <t>CANNON</t>
  </si>
  <si>
    <t>$22,934.66</t>
  </si>
  <si>
    <t>$103.21</t>
  </si>
  <si>
    <t>1894120</t>
  </si>
  <si>
    <t>CLAUDE</t>
  </si>
  <si>
    <t>COBBLEDICK</t>
  </si>
  <si>
    <t>$100,839.34</t>
  </si>
  <si>
    <t>$476.47</t>
  </si>
  <si>
    <t>1908607</t>
  </si>
  <si>
    <t>$489,031.92</t>
  </si>
  <si>
    <t>$4,160.85</t>
  </si>
  <si>
    <t>1915040</t>
  </si>
  <si>
    <t>GUSA</t>
  </si>
  <si>
    <t>$13,936.85</t>
  </si>
  <si>
    <t>$127.00</t>
  </si>
  <si>
    <t>$64.23</t>
  </si>
  <si>
    <t>1920461</t>
  </si>
  <si>
    <t>SIGRID</t>
  </si>
  <si>
    <t>FRANCE</t>
  </si>
  <si>
    <t>$233,383.44</t>
  </si>
  <si>
    <t>$1,163.03</t>
  </si>
  <si>
    <t>1921725</t>
  </si>
  <si>
    <t>PINEL</t>
  </si>
  <si>
    <t>$325,162.18</t>
  </si>
  <si>
    <t>$1,671.88</t>
  </si>
  <si>
    <t>1938893</t>
  </si>
  <si>
    <t>JANZEN</t>
  </si>
  <si>
    <t>10-SEP-1950</t>
  </si>
  <si>
    <t>$17,549.07</t>
  </si>
  <si>
    <t>$77.22</t>
  </si>
  <si>
    <t>1947522</t>
  </si>
  <si>
    <t>DALGLIESH</t>
  </si>
  <si>
    <t>$1,048,373.65</t>
  </si>
  <si>
    <t>$5,224.40</t>
  </si>
  <si>
    <t>1948116</t>
  </si>
  <si>
    <t>IRSHAD</t>
  </si>
  <si>
    <t>LAKHANI</t>
  </si>
  <si>
    <t>$470,428.87</t>
  </si>
  <si>
    <t>$1,700.74</t>
  </si>
  <si>
    <t>$2,116.93</t>
  </si>
  <si>
    <t>1958511</t>
  </si>
  <si>
    <t>LANGENBACHER</t>
  </si>
  <si>
    <t>$614,567.15</t>
  </si>
  <si>
    <t>$2,765.55</t>
  </si>
  <si>
    <t>1964139</t>
  </si>
  <si>
    <t>$314,707.02</t>
  </si>
  <si>
    <t>$1,416.18</t>
  </si>
  <si>
    <t>1964238</t>
  </si>
  <si>
    <t>UMPHERVILLE</t>
  </si>
  <si>
    <t>06-OCT-1945</t>
  </si>
  <si>
    <t>$23,213.02</t>
  </si>
  <si>
    <t>$115.68</t>
  </si>
  <si>
    <t>1966969</t>
  </si>
  <si>
    <t>$215,988.86</t>
  </si>
  <si>
    <t>$1,618.12</t>
  </si>
  <si>
    <t>1967629</t>
  </si>
  <si>
    <t>WOODS</t>
  </si>
  <si>
    <t>$770,843.77</t>
  </si>
  <si>
    <t>$3,642.24</t>
  </si>
  <si>
    <t>1968130</t>
  </si>
  <si>
    <t>FULWILER</t>
  </si>
  <si>
    <t>$420,539.70</t>
  </si>
  <si>
    <t>$1,675.00</t>
  </si>
  <si>
    <t>$1,937.99</t>
  </si>
  <si>
    <t>1979509</t>
  </si>
  <si>
    <t>DAILEY</t>
  </si>
  <si>
    <t>$132,232.53</t>
  </si>
  <si>
    <t>$751.52</t>
  </si>
  <si>
    <t>1981075</t>
  </si>
  <si>
    <t>GUENTHER</t>
  </si>
  <si>
    <t>$72,049.04</t>
  </si>
  <si>
    <t>$317.02</t>
  </si>
  <si>
    <t>1987684</t>
  </si>
  <si>
    <t>STELZER</t>
  </si>
  <si>
    <t>$376,121.95</t>
  </si>
  <si>
    <t>$1,692.55</t>
  </si>
  <si>
    <t>1988807</t>
  </si>
  <si>
    <t>KENZIE</t>
  </si>
  <si>
    <t>17-SEP-1950</t>
  </si>
  <si>
    <t>$121,986.46</t>
  </si>
  <si>
    <t>$536.74</t>
  </si>
  <si>
    <t>1992858</t>
  </si>
  <si>
    <t>$228,545.68</t>
  </si>
  <si>
    <t>$1,108.45</t>
  </si>
  <si>
    <t>1993781</t>
  </si>
  <si>
    <t>GUTKA</t>
  </si>
  <si>
    <t>$6,690.06</t>
  </si>
  <si>
    <t>$33.34</t>
  </si>
  <si>
    <t>1994714</t>
  </si>
  <si>
    <t>RADCHUK</t>
  </si>
  <si>
    <t>$414,305.61</t>
  </si>
  <si>
    <t>$1,830.00</t>
  </si>
  <si>
    <t>$1,822.95</t>
  </si>
  <si>
    <t>2013993</t>
  </si>
  <si>
    <t>LOBE</t>
  </si>
  <si>
    <t>$367,265.97</t>
  </si>
  <si>
    <t>$1,781.24</t>
  </si>
  <si>
    <t>2017424</t>
  </si>
  <si>
    <t>$49,607.44</t>
  </si>
  <si>
    <t>$454.32</t>
  </si>
  <si>
    <t>2021707</t>
  </si>
  <si>
    <t>$59,506.57</t>
  </si>
  <si>
    <t>$288.61</t>
  </si>
  <si>
    <t>2028934</t>
  </si>
  <si>
    <t>OFFET</t>
  </si>
  <si>
    <t>$176,154.14</t>
  </si>
  <si>
    <t>$1,131.79</t>
  </si>
  <si>
    <t>2029635</t>
  </si>
  <si>
    <t>$18,459.52</t>
  </si>
  <si>
    <t>$73.22</t>
  </si>
  <si>
    <t>2032738</t>
  </si>
  <si>
    <t>GUTOR</t>
  </si>
  <si>
    <t>$905,311.76</t>
  </si>
  <si>
    <t>$3,983.37</t>
  </si>
  <si>
    <t>2034874</t>
  </si>
  <si>
    <t>DREGER</t>
  </si>
  <si>
    <t>$617,951.89</t>
  </si>
  <si>
    <t>$3,275.15</t>
  </si>
  <si>
    <t>2040384</t>
  </si>
  <si>
    <t>DEROO</t>
  </si>
  <si>
    <t>$44,034.03</t>
  </si>
  <si>
    <t>$202.92</t>
  </si>
  <si>
    <t>2044857</t>
  </si>
  <si>
    <t>LORETTA</t>
  </si>
  <si>
    <t>LESSING</t>
  </si>
  <si>
    <t>$109,894.60</t>
  </si>
  <si>
    <t>$494.53</t>
  </si>
  <si>
    <t>2049286</t>
  </si>
  <si>
    <t>MAGNAN</t>
  </si>
  <si>
    <t>$307,554.39</t>
  </si>
  <si>
    <t>$1,417.31</t>
  </si>
  <si>
    <t>2054385</t>
  </si>
  <si>
    <t>NEW</t>
  </si>
  <si>
    <t>$195,713.93</t>
  </si>
  <si>
    <t>$975.31</t>
  </si>
  <si>
    <t>2054443</t>
  </si>
  <si>
    <t>ZABOLOTNEY</t>
  </si>
  <si>
    <t>$667,978.41</t>
  </si>
  <si>
    <t>$4,125.00</t>
  </si>
  <si>
    <t>$3,005.90</t>
  </si>
  <si>
    <t>2060432</t>
  </si>
  <si>
    <t>SHEPHERD</t>
  </si>
  <si>
    <t>$108,097.39</t>
  </si>
  <si>
    <t>$524.27</t>
  </si>
  <si>
    <t>2064889</t>
  </si>
  <si>
    <t>ZUBAIDA</t>
  </si>
  <si>
    <t>CHAUDHRY</t>
  </si>
  <si>
    <t>$2,514,568.66</t>
  </si>
  <si>
    <t>$147,987.92</t>
  </si>
  <si>
    <t>$14,835.96</t>
  </si>
  <si>
    <t>2065001</t>
  </si>
  <si>
    <t>SHUMAY</t>
  </si>
  <si>
    <t>$67,758.25</t>
  </si>
  <si>
    <t>$337.66</t>
  </si>
  <si>
    <t>2077139</t>
  </si>
  <si>
    <t>$171,212.72</t>
  </si>
  <si>
    <t>$830.38</t>
  </si>
  <si>
    <t>2081503</t>
  </si>
  <si>
    <t>BRIDEN</t>
  </si>
  <si>
    <t>$65,201.13</t>
  </si>
  <si>
    <t>2084143</t>
  </si>
  <si>
    <t>HAMBLETON</t>
  </si>
  <si>
    <t>$301,896.89</t>
  </si>
  <si>
    <t>$1,328.35</t>
  </si>
  <si>
    <t>2089886</t>
  </si>
  <si>
    <t>$67,747.10</t>
  </si>
  <si>
    <t>$298.09</t>
  </si>
  <si>
    <t>2091692</t>
  </si>
  <si>
    <t>REHANA</t>
  </si>
  <si>
    <t>AHMAD</t>
  </si>
  <si>
    <t>$1,509,760.40</t>
  </si>
  <si>
    <t>$6,793.92</t>
  </si>
  <si>
    <t>2092401</t>
  </si>
  <si>
    <t>CAIRNS</t>
  </si>
  <si>
    <t>$243,198.35</t>
  </si>
  <si>
    <t>$1,149.11</t>
  </si>
  <si>
    <t>2092419</t>
  </si>
  <si>
    <t>$388,403.40</t>
  </si>
  <si>
    <t>$1,883.76</t>
  </si>
  <si>
    <t>2093300</t>
  </si>
  <si>
    <t>FARKVAM</t>
  </si>
  <si>
    <t>$86,790.53</t>
  </si>
  <si>
    <t>$390.56</t>
  </si>
  <si>
    <t>2094126</t>
  </si>
  <si>
    <t>DOOLITTLE</t>
  </si>
  <si>
    <t>17-APR-1946</t>
  </si>
  <si>
    <t>$2,502,929.47</t>
  </si>
  <si>
    <t>$12,139.21</t>
  </si>
  <si>
    <t>2101939</t>
  </si>
  <si>
    <t xml:space="preserve">LARRY  </t>
  </si>
  <si>
    <t>HENHEFFER</t>
  </si>
  <si>
    <t>$23,053.02</t>
  </si>
  <si>
    <t>$131.02</t>
  </si>
  <si>
    <t>2168359</t>
  </si>
  <si>
    <t>EMILIYA</t>
  </si>
  <si>
    <t>ZAKUSILO</t>
  </si>
  <si>
    <t>$157,938.32</t>
  </si>
  <si>
    <t>$837.07</t>
  </si>
  <si>
    <t>2171585</t>
  </si>
  <si>
    <t>2174886</t>
  </si>
  <si>
    <t>HARRINGTON</t>
  </si>
  <si>
    <t>$336,264.84</t>
  </si>
  <si>
    <t>$1,513.19</t>
  </si>
  <si>
    <t>2176717</t>
  </si>
  <si>
    <t>WELKE</t>
  </si>
  <si>
    <t>$399,048.33</t>
  </si>
  <si>
    <t>$1,935.38</t>
  </si>
  <si>
    <t>2187375</t>
  </si>
  <si>
    <t>ADELINE G.</t>
  </si>
  <si>
    <t>DEDECKER</t>
  </si>
  <si>
    <t>18-APR-1943</t>
  </si>
  <si>
    <t>$228,142.69</t>
  </si>
  <si>
    <t>$1,209.16</t>
  </si>
  <si>
    <t>2194512</t>
  </si>
  <si>
    <t>JAYA</t>
  </si>
  <si>
    <t>RAMAYYA</t>
  </si>
  <si>
    <t>$890,275.84</t>
  </si>
  <si>
    <t>$4,206.55</t>
  </si>
  <si>
    <t>2199578</t>
  </si>
  <si>
    <t>HALE</t>
  </si>
  <si>
    <t>$456,116.07</t>
  </si>
  <si>
    <t>$2,101.94</t>
  </si>
  <si>
    <t>2204279</t>
  </si>
  <si>
    <t>DECELLES</t>
  </si>
  <si>
    <t>$280,525.02</t>
  </si>
  <si>
    <t>$1,325.48</t>
  </si>
  <si>
    <t>2232924</t>
  </si>
  <si>
    <t>BLACKBURN</t>
  </si>
  <si>
    <t>2277705</t>
  </si>
  <si>
    <t xml:space="preserve">CATHERINE  </t>
  </si>
  <si>
    <t>2290385</t>
  </si>
  <si>
    <t>HRYNUIK</t>
  </si>
  <si>
    <t>2292019</t>
  </si>
  <si>
    <t>OLESIA</t>
  </si>
  <si>
    <t>KOWALSKY</t>
  </si>
  <si>
    <t>BENGHOEY</t>
  </si>
  <si>
    <t>CHUNGLING</t>
  </si>
  <si>
    <t>MAGATAS</t>
  </si>
  <si>
    <t>CHEYENNEDENAE</t>
  </si>
  <si>
    <t>ZYLAKHILL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</si>
</sst>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0.0000"/>
  </numFmts>
  <fonts count="2" x14ac:knownFonts="1"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15" fontId="0" fillId="0" borderId="1" xfId="0" applyNumberFormat="1" applyBorder="1" applyAlignment="1">
      <alignment horizontal="left" vertical="top" wrapText="1"/>
    </xf>
    <xf numFmtId="1" fontId="0" fillId="0" borderId="1" xfId="0" applyNumberFormat="1" applyBorder="1" applyAlignment="1">
      <alignment horizontal="right" vertical="top" wrapText="1"/>
    </xf>
    <xf numFmtId="164" fontId="0" fillId="0" borderId="1" xfId="0" applyNumberFormat="1" applyBorder="1" applyAlignment="1">
      <alignment horizontal="right" vertical="top" wrapText="1"/>
    </xf>
    <xf numFmtId="8" fontId="0" fillId="0" borderId="1" xfId="0" applyNumberFormat="1" applyBorder="1" applyAlignment="1">
      <alignment horizontal="right" vertical="top" wrapText="1"/>
    </xf>
    <xf numFmtId="0" fontId="0" fillId="2" borderId="1" xfId="0" applyFill="1" applyBorder="1" applyAlignment="1">
      <alignment horizontal="right" vertical="top" wrapText="1"/>
    </xf>
    <xf numFmtId="0" fontId="0" fillId="2" borderId="1" xfId="0" applyFill="1" applyBorder="1" applyAlignment="1">
      <alignment horizontal="left" vertical="top" wrapText="1"/>
    </xf>
    <xf numFmtId="1" fontId="0" fillId="2" borderId="1" xfId="0" applyNumberFormat="1" applyFill="1" applyBorder="1" applyAlignment="1">
      <alignment horizontal="right" vertical="top" wrapText="1"/>
    </xf>
    <xf numFmtId="164" fontId="0" fillId="2" borderId="1" xfId="0" applyNumberFormat="1" applyFill="1" applyBorder="1" applyAlignment="1">
      <alignment horizontal="right" vertical="top" wrapText="1"/>
    </xf>
    <xf numFmtId="0" fontId="0" fillId="2" borderId="1" xfId="0" applyFill="1" applyBorder="1"/>
    <xf numFmtId="0" fontId="0" fillId="0" borderId="1" xfId="0" applyBorder="1" applyAlignment="1">
      <alignment horizontal="left" vertical="top" wrapText="1"/>
    </xf>
    <xf numFmtId="8" fontId="0" fillId="0" borderId="1" xfId="0" applyNumberFormat="1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horizontal="left" indent="1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right"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922"/>
  <sheetViews>
    <sheetView showGridLines="0" tabSelected="1" topLeftCell="D1" workbookViewId="0">
      <selection activeCell="S69" sqref="S69"/>
    </sheetView>
  </sheetViews>
  <sheetFormatPr defaultColWidth="9.109375" defaultRowHeight="14.4" x14ac:dyDescent="0.3"/>
  <cols>
    <col min="1" max="1" width="10.6640625" style="2" customWidth="1"/>
    <col min="2" max="2" width="11.6640625" style="2" customWidth="1"/>
    <col min="3" max="3" width="15.44140625" style="2" customWidth="1"/>
    <col min="4" max="4" width="2.33203125" style="2" customWidth="1"/>
    <col min="5" max="5" width="18.33203125" style="2" customWidth="1"/>
    <col min="6" max="6" width="5.6640625" style="2" customWidth="1"/>
    <col min="7" max="7" width="16.6640625" style="2" customWidth="1"/>
    <col min="8" max="8" width="13.33203125" style="2" customWidth="1"/>
    <col min="9" max="9" width="5.109375" style="2" customWidth="1"/>
    <col min="10" max="10" width="13.6640625" style="2" customWidth="1"/>
    <col min="11" max="11" width="11.44140625" style="2" customWidth="1"/>
    <col min="12" max="13" width="9" style="2" customWidth="1"/>
    <col min="14" max="14" width="11" style="2" customWidth="1"/>
    <col min="15" max="16" width="15.33203125" style="2" customWidth="1"/>
    <col min="17" max="17" width="16.6640625" style="2" customWidth="1"/>
    <col min="18" max="18" width="0.6640625" style="2" customWidth="1"/>
    <col min="19" max="19" width="32.6640625" style="2" customWidth="1"/>
    <col min="20" max="16384" width="9.109375" style="2"/>
  </cols>
  <sheetData>
    <row r="1" spans="1:19" ht="100.8" x14ac:dyDescent="0.3">
      <c r="A1" s="1" t="s">
        <v>1</v>
      </c>
      <c r="B1" s="1" t="s">
        <v>2</v>
      </c>
      <c r="C1" s="1" t="s">
        <v>3</v>
      </c>
      <c r="D1" s="1"/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 t="s">
        <v>15</v>
      </c>
      <c r="R1" s="1"/>
    </row>
    <row r="2" spans="1:19" hidden="1" x14ac:dyDescent="0.3">
      <c r="A2" s="3"/>
      <c r="B2" s="3" t="s">
        <v>16</v>
      </c>
      <c r="C2" s="3" t="s">
        <v>17</v>
      </c>
      <c r="D2" s="3"/>
      <c r="E2" s="3" t="s">
        <v>18</v>
      </c>
      <c r="F2" s="4">
        <v>72</v>
      </c>
      <c r="G2" s="3" t="s">
        <v>19</v>
      </c>
      <c r="H2" s="3" t="s">
        <v>19</v>
      </c>
      <c r="I2" s="3" t="s">
        <v>19</v>
      </c>
      <c r="J2" s="3" t="s">
        <v>20</v>
      </c>
      <c r="K2" s="3"/>
      <c r="L2" s="3"/>
      <c r="M2" s="5">
        <v>5.3999999999999999E-2</v>
      </c>
      <c r="N2" s="3" t="s">
        <v>19</v>
      </c>
      <c r="O2" s="3" t="s">
        <v>19</v>
      </c>
      <c r="P2" s="3"/>
      <c r="Q2" s="3" t="s">
        <v>19</v>
      </c>
      <c r="R2" s="3"/>
    </row>
    <row r="3" spans="1:19" hidden="1" x14ac:dyDescent="0.3">
      <c r="A3" s="6" t="s">
        <v>21</v>
      </c>
      <c r="B3" s="7" t="s">
        <v>22</v>
      </c>
      <c r="C3" s="17" t="s">
        <v>23</v>
      </c>
      <c r="D3" s="17"/>
      <c r="E3" s="8">
        <v>17585</v>
      </c>
      <c r="F3" s="9">
        <v>74</v>
      </c>
      <c r="G3" s="6" t="s">
        <v>24</v>
      </c>
      <c r="H3" s="7" t="s">
        <v>25</v>
      </c>
      <c r="I3" s="6"/>
      <c r="J3" s="7" t="s">
        <v>20</v>
      </c>
      <c r="K3" s="7" t="s">
        <v>26</v>
      </c>
      <c r="L3" s="6"/>
      <c r="M3" s="10">
        <v>5.67E-2</v>
      </c>
      <c r="N3" s="6" t="s">
        <v>27</v>
      </c>
      <c r="O3" s="11">
        <v>45377.760000000002</v>
      </c>
      <c r="P3" s="11">
        <f>O3-N3</f>
        <v>39705.54</v>
      </c>
      <c r="Q3" s="18">
        <v>5672.22</v>
      </c>
      <c r="R3" s="19"/>
    </row>
    <row r="4" spans="1:19" hidden="1" x14ac:dyDescent="0.3">
      <c r="A4" s="6" t="s">
        <v>28</v>
      </c>
      <c r="B4" s="7" t="s">
        <v>29</v>
      </c>
      <c r="C4" s="17" t="s">
        <v>30</v>
      </c>
      <c r="D4" s="17"/>
      <c r="E4" s="8">
        <v>17531</v>
      </c>
      <c r="F4" s="9">
        <v>75</v>
      </c>
      <c r="G4" s="6" t="s">
        <v>31</v>
      </c>
      <c r="H4" s="7" t="s">
        <v>25</v>
      </c>
      <c r="I4" s="6"/>
      <c r="J4" s="7" t="s">
        <v>20</v>
      </c>
      <c r="K4" s="7" t="s">
        <v>32</v>
      </c>
      <c r="L4" s="6"/>
      <c r="M4" s="10">
        <v>5.8200000000000002E-2</v>
      </c>
      <c r="N4" s="6" t="s">
        <v>33</v>
      </c>
      <c r="O4" s="11">
        <v>1238.69</v>
      </c>
      <c r="P4" s="11">
        <f t="shared" ref="P4:P67" si="0">O4-N4</f>
        <v>1135.47</v>
      </c>
      <c r="Q4" s="18">
        <v>1238.69</v>
      </c>
      <c r="R4" s="19"/>
    </row>
    <row r="5" spans="1:19" ht="43.2" x14ac:dyDescent="0.3">
      <c r="A5" s="6" t="s">
        <v>34</v>
      </c>
      <c r="B5" s="7" t="s">
        <v>35</v>
      </c>
      <c r="C5" s="17" t="s">
        <v>36</v>
      </c>
      <c r="D5" s="17"/>
      <c r="E5" s="8">
        <v>18011</v>
      </c>
      <c r="F5" s="9">
        <v>73</v>
      </c>
      <c r="G5" s="6" t="s">
        <v>38</v>
      </c>
      <c r="H5" s="7" t="s">
        <v>39</v>
      </c>
      <c r="I5" s="6" t="s">
        <v>40</v>
      </c>
      <c r="J5" s="7" t="s">
        <v>41</v>
      </c>
      <c r="K5" s="7" t="s">
        <v>26</v>
      </c>
      <c r="L5" s="9">
        <v>69</v>
      </c>
      <c r="M5" s="10">
        <v>4.7600000000000003E-2</v>
      </c>
      <c r="N5" s="6" t="s">
        <v>42</v>
      </c>
      <c r="O5" s="11">
        <v>24000</v>
      </c>
      <c r="P5" s="11"/>
      <c r="Q5" s="18">
        <v>3000</v>
      </c>
      <c r="R5" s="19"/>
      <c r="S5" s="2" t="str">
        <f>IF(P13&lt;O13,"CATCHUP","NONE")</f>
        <v>CATCHUP</v>
      </c>
    </row>
    <row r="6" spans="1:19" ht="43.2" hidden="1" x14ac:dyDescent="0.3">
      <c r="A6" s="6" t="s">
        <v>43</v>
      </c>
      <c r="B6" s="7" t="s">
        <v>44</v>
      </c>
      <c r="C6" s="17" t="s">
        <v>45</v>
      </c>
      <c r="D6" s="17"/>
      <c r="E6" s="8">
        <v>17281</v>
      </c>
      <c r="F6" s="9">
        <v>75</v>
      </c>
      <c r="G6" s="6" t="s">
        <v>46</v>
      </c>
      <c r="H6" s="7" t="s">
        <v>39</v>
      </c>
      <c r="I6" s="6" t="s">
        <v>47</v>
      </c>
      <c r="J6" s="7" t="s">
        <v>20</v>
      </c>
      <c r="K6" s="7" t="s">
        <v>26</v>
      </c>
      <c r="L6" s="6"/>
      <c r="M6" s="10">
        <v>5.8200000000000002E-2</v>
      </c>
      <c r="N6" s="6" t="s">
        <v>48</v>
      </c>
      <c r="O6" s="11">
        <v>8000</v>
      </c>
      <c r="P6" s="11">
        <f t="shared" si="0"/>
        <v>7639.73</v>
      </c>
      <c r="Q6" s="18">
        <v>1000</v>
      </c>
      <c r="R6" s="19"/>
    </row>
    <row r="7" spans="1:19" hidden="1" x14ac:dyDescent="0.3">
      <c r="A7" s="6" t="s">
        <v>49</v>
      </c>
      <c r="B7" s="7" t="s">
        <v>50</v>
      </c>
      <c r="C7" s="17" t="s">
        <v>51</v>
      </c>
      <c r="D7" s="17"/>
      <c r="E7" s="8">
        <v>17074</v>
      </c>
      <c r="F7" s="9">
        <v>76</v>
      </c>
      <c r="G7" s="6" t="s">
        <v>52</v>
      </c>
      <c r="H7" s="7" t="s">
        <v>25</v>
      </c>
      <c r="I7" s="6"/>
      <c r="J7" s="7" t="s">
        <v>20</v>
      </c>
      <c r="K7" s="7" t="s">
        <v>26</v>
      </c>
      <c r="L7" s="6"/>
      <c r="M7" s="10">
        <v>5.9799999999999999E-2</v>
      </c>
      <c r="N7" s="6" t="s">
        <v>53</v>
      </c>
      <c r="O7" s="11">
        <v>9727.84</v>
      </c>
      <c r="P7" s="11">
        <f t="shared" si="0"/>
        <v>8511.86</v>
      </c>
      <c r="Q7" s="18">
        <v>1215.98</v>
      </c>
      <c r="R7" s="19"/>
    </row>
    <row r="8" spans="1:19" ht="43.2" hidden="1" x14ac:dyDescent="0.3">
      <c r="A8" s="6" t="s">
        <v>54</v>
      </c>
      <c r="B8" s="7" t="s">
        <v>55</v>
      </c>
      <c r="C8" s="17" t="s">
        <v>51</v>
      </c>
      <c r="D8" s="17"/>
      <c r="E8" s="8">
        <v>16925</v>
      </c>
      <c r="F8" s="9">
        <v>76</v>
      </c>
      <c r="G8" s="6" t="s">
        <v>56</v>
      </c>
      <c r="H8" s="7" t="s">
        <v>39</v>
      </c>
      <c r="I8" s="6" t="s">
        <v>57</v>
      </c>
      <c r="J8" s="7" t="s">
        <v>20</v>
      </c>
      <c r="K8" s="7" t="s">
        <v>32</v>
      </c>
      <c r="L8" s="6"/>
      <c r="M8" s="10">
        <v>5.9799999999999999E-2</v>
      </c>
      <c r="N8" s="6" t="s">
        <v>58</v>
      </c>
      <c r="O8" s="11">
        <v>75000</v>
      </c>
      <c r="P8" s="11">
        <f t="shared" si="0"/>
        <v>70096.05</v>
      </c>
      <c r="Q8" s="18">
        <v>75000</v>
      </c>
      <c r="R8" s="19"/>
    </row>
    <row r="9" spans="1:19" hidden="1" x14ac:dyDescent="0.3">
      <c r="A9" s="6" t="s">
        <v>59</v>
      </c>
      <c r="B9" s="7" t="s">
        <v>60</v>
      </c>
      <c r="C9" s="17" t="s">
        <v>51</v>
      </c>
      <c r="D9" s="17"/>
      <c r="E9" s="7" t="s">
        <v>61</v>
      </c>
      <c r="F9" s="9">
        <v>78</v>
      </c>
      <c r="G9" s="6" t="s">
        <v>62</v>
      </c>
      <c r="H9" s="7" t="s">
        <v>25</v>
      </c>
      <c r="I9" s="6" t="s">
        <v>19</v>
      </c>
      <c r="J9" s="7" t="s">
        <v>20</v>
      </c>
      <c r="K9" s="7" t="s">
        <v>32</v>
      </c>
      <c r="L9" s="6"/>
      <c r="M9" s="10">
        <v>6.3600000000000004E-2</v>
      </c>
      <c r="N9" s="6" t="s">
        <v>63</v>
      </c>
      <c r="O9" s="6" t="s">
        <v>19</v>
      </c>
      <c r="P9" s="11" t="e">
        <f t="shared" si="0"/>
        <v>#VALUE!</v>
      </c>
      <c r="Q9" s="19" t="s">
        <v>19</v>
      </c>
      <c r="R9" s="19"/>
    </row>
    <row r="10" spans="1:19" ht="28.8" hidden="1" x14ac:dyDescent="0.3">
      <c r="A10" s="6" t="s">
        <v>64</v>
      </c>
      <c r="B10" s="7" t="s">
        <v>29</v>
      </c>
      <c r="C10" s="17" t="s">
        <v>65</v>
      </c>
      <c r="D10" s="17"/>
      <c r="E10" s="8">
        <v>16474</v>
      </c>
      <c r="F10" s="9">
        <v>77</v>
      </c>
      <c r="G10" s="6" t="s">
        <v>66</v>
      </c>
      <c r="H10" s="7" t="s">
        <v>39</v>
      </c>
      <c r="I10" s="6" t="s">
        <v>67</v>
      </c>
      <c r="J10" s="7" t="s">
        <v>20</v>
      </c>
      <c r="K10" s="7" t="s">
        <v>26</v>
      </c>
      <c r="L10" s="6"/>
      <c r="M10" s="10">
        <v>6.1699999999999998E-2</v>
      </c>
      <c r="N10" s="6" t="s">
        <v>68</v>
      </c>
      <c r="O10" s="11">
        <v>6400</v>
      </c>
      <c r="P10" s="11">
        <f t="shared" si="0"/>
        <v>5835.61</v>
      </c>
      <c r="Q10" s="18">
        <v>800</v>
      </c>
      <c r="R10" s="19"/>
    </row>
    <row r="11" spans="1:19" hidden="1" x14ac:dyDescent="0.3">
      <c r="A11" s="6" t="s">
        <v>69</v>
      </c>
      <c r="B11" s="7" t="s">
        <v>70</v>
      </c>
      <c r="C11" s="17" t="s">
        <v>71</v>
      </c>
      <c r="D11" s="17"/>
      <c r="E11" s="7" t="s">
        <v>72</v>
      </c>
      <c r="F11" s="9">
        <v>73</v>
      </c>
      <c r="G11" s="6" t="s">
        <v>73</v>
      </c>
      <c r="H11" s="7" t="s">
        <v>25</v>
      </c>
      <c r="I11" s="6" t="s">
        <v>19</v>
      </c>
      <c r="J11" s="7" t="s">
        <v>20</v>
      </c>
      <c r="K11" s="7" t="s">
        <v>26</v>
      </c>
      <c r="L11" s="6"/>
      <c r="M11" s="10">
        <v>5.5300000000000002E-2</v>
      </c>
      <c r="N11" s="6" t="s">
        <v>74</v>
      </c>
      <c r="O11" s="6" t="s">
        <v>19</v>
      </c>
      <c r="P11" s="11" t="e">
        <f t="shared" si="0"/>
        <v>#VALUE!</v>
      </c>
      <c r="Q11" s="19" t="s">
        <v>19</v>
      </c>
      <c r="R11" s="19"/>
    </row>
    <row r="12" spans="1:19" hidden="1" x14ac:dyDescent="0.3">
      <c r="A12" s="6" t="s">
        <v>75</v>
      </c>
      <c r="B12" s="7" t="s">
        <v>76</v>
      </c>
      <c r="C12" s="17" t="s">
        <v>77</v>
      </c>
      <c r="D12" s="17"/>
      <c r="E12" s="8">
        <v>17685</v>
      </c>
      <c r="F12" s="9">
        <v>74</v>
      </c>
      <c r="G12" s="6" t="s">
        <v>78</v>
      </c>
      <c r="H12" s="7" t="s">
        <v>25</v>
      </c>
      <c r="I12" s="6"/>
      <c r="J12" s="7" t="s">
        <v>20</v>
      </c>
      <c r="K12" s="7" t="s">
        <v>26</v>
      </c>
      <c r="L12" s="6"/>
      <c r="M12" s="10">
        <v>5.67E-2</v>
      </c>
      <c r="N12" s="6" t="s">
        <v>79</v>
      </c>
      <c r="O12" s="11">
        <v>10003.44</v>
      </c>
      <c r="P12" s="11">
        <f t="shared" si="0"/>
        <v>8753.01</v>
      </c>
      <c r="Q12" s="18">
        <v>1250.43</v>
      </c>
      <c r="R12" s="19"/>
    </row>
    <row r="13" spans="1:19" x14ac:dyDescent="0.3">
      <c r="A13" s="6" t="s">
        <v>80</v>
      </c>
      <c r="B13" s="7" t="s">
        <v>81</v>
      </c>
      <c r="C13" s="17" t="s">
        <v>82</v>
      </c>
      <c r="D13" s="17"/>
      <c r="E13" s="8">
        <v>17349</v>
      </c>
      <c r="F13" s="9">
        <v>75</v>
      </c>
      <c r="G13" s="6" t="s">
        <v>83</v>
      </c>
      <c r="H13" s="7" t="s">
        <v>25</v>
      </c>
      <c r="I13" s="6"/>
      <c r="J13" s="7" t="s">
        <v>41</v>
      </c>
      <c r="K13" s="7" t="s">
        <v>26</v>
      </c>
      <c r="L13" s="9">
        <v>67</v>
      </c>
      <c r="M13" s="10">
        <v>4.3499999999999997E-2</v>
      </c>
      <c r="N13" s="6" t="s">
        <v>84</v>
      </c>
      <c r="O13" s="11">
        <v>17639.2</v>
      </c>
      <c r="P13" s="11">
        <f t="shared" si="0"/>
        <v>15434.300000000001</v>
      </c>
      <c r="Q13" s="18">
        <v>2204.9</v>
      </c>
      <c r="R13" s="19"/>
      <c r="S13" s="2" t="str">
        <f>IF(P21&lt;O21,"CATCHUP","NONE")</f>
        <v>CATCHUP</v>
      </c>
    </row>
    <row r="14" spans="1:19" ht="43.2" hidden="1" x14ac:dyDescent="0.3">
      <c r="A14" s="6" t="s">
        <v>85</v>
      </c>
      <c r="B14" s="7" t="s">
        <v>86</v>
      </c>
      <c r="C14" s="17" t="s">
        <v>87</v>
      </c>
      <c r="D14" s="17"/>
      <c r="E14" s="8">
        <v>17866</v>
      </c>
      <c r="F14" s="9">
        <v>74</v>
      </c>
      <c r="G14" s="6" t="s">
        <v>88</v>
      </c>
      <c r="H14" s="7" t="s">
        <v>39</v>
      </c>
      <c r="I14" s="6" t="s">
        <v>89</v>
      </c>
      <c r="J14" s="7" t="s">
        <v>20</v>
      </c>
      <c r="K14" s="7" t="s">
        <v>26</v>
      </c>
      <c r="L14" s="6"/>
      <c r="M14" s="10">
        <v>5.67E-2</v>
      </c>
      <c r="N14" s="6" t="s">
        <v>90</v>
      </c>
      <c r="O14" s="11">
        <v>9600</v>
      </c>
      <c r="P14" s="11">
        <f t="shared" si="0"/>
        <v>9128.24</v>
      </c>
      <c r="Q14" s="18">
        <v>1200</v>
      </c>
      <c r="R14" s="19"/>
    </row>
    <row r="15" spans="1:19" ht="43.2" hidden="1" x14ac:dyDescent="0.3">
      <c r="A15" s="6" t="s">
        <v>91</v>
      </c>
      <c r="B15" s="7" t="s">
        <v>92</v>
      </c>
      <c r="C15" s="17" t="s">
        <v>87</v>
      </c>
      <c r="D15" s="17"/>
      <c r="E15" s="8">
        <v>17420</v>
      </c>
      <c r="F15" s="9">
        <v>75</v>
      </c>
      <c r="G15" s="6" t="s">
        <v>93</v>
      </c>
      <c r="H15" s="7" t="s">
        <v>39</v>
      </c>
      <c r="I15" s="6" t="s">
        <v>94</v>
      </c>
      <c r="J15" s="7" t="s">
        <v>20</v>
      </c>
      <c r="K15" s="7" t="s">
        <v>26</v>
      </c>
      <c r="L15" s="6"/>
      <c r="M15" s="10">
        <v>5.8200000000000002E-2</v>
      </c>
      <c r="N15" s="6" t="s">
        <v>95</v>
      </c>
      <c r="O15" s="11">
        <v>22400</v>
      </c>
      <c r="P15" s="11">
        <f t="shared" si="0"/>
        <v>21572.39</v>
      </c>
      <c r="Q15" s="18">
        <v>2800</v>
      </c>
      <c r="R15" s="19"/>
    </row>
    <row r="16" spans="1:19" ht="43.2" hidden="1" x14ac:dyDescent="0.3">
      <c r="A16" s="6" t="s">
        <v>96</v>
      </c>
      <c r="B16" s="7" t="s">
        <v>97</v>
      </c>
      <c r="C16" s="17" t="s">
        <v>98</v>
      </c>
      <c r="D16" s="17"/>
      <c r="E16" s="8">
        <v>18597</v>
      </c>
      <c r="F16" s="9">
        <v>72</v>
      </c>
      <c r="G16" s="6" t="s">
        <v>99</v>
      </c>
      <c r="H16" s="7" t="s">
        <v>39</v>
      </c>
      <c r="I16" s="6" t="s">
        <v>100</v>
      </c>
      <c r="J16" s="7" t="s">
        <v>20</v>
      </c>
      <c r="K16" s="7" t="s">
        <v>26</v>
      </c>
      <c r="L16" s="6"/>
      <c r="M16" s="10">
        <v>5.3999999999999999E-2</v>
      </c>
      <c r="N16" s="6" t="s">
        <v>101</v>
      </c>
      <c r="O16" s="11">
        <v>48000</v>
      </c>
      <c r="P16" s="11">
        <f t="shared" si="0"/>
        <v>46393.43</v>
      </c>
      <c r="Q16" s="18">
        <v>6000</v>
      </c>
      <c r="R16" s="19"/>
    </row>
    <row r="17" spans="1:19" ht="43.2" hidden="1" x14ac:dyDescent="0.3">
      <c r="A17" s="6" t="s">
        <v>102</v>
      </c>
      <c r="B17" s="7" t="s">
        <v>103</v>
      </c>
      <c r="C17" s="17" t="s">
        <v>104</v>
      </c>
      <c r="D17" s="17"/>
      <c r="E17" s="8">
        <v>15589</v>
      </c>
      <c r="F17" s="9">
        <v>80</v>
      </c>
      <c r="G17" s="6" t="s">
        <v>105</v>
      </c>
      <c r="H17" s="7" t="s">
        <v>39</v>
      </c>
      <c r="I17" s="6" t="s">
        <v>106</v>
      </c>
      <c r="J17" s="7" t="s">
        <v>20</v>
      </c>
      <c r="K17" s="7" t="s">
        <v>32</v>
      </c>
      <c r="L17" s="6"/>
      <c r="M17" s="10">
        <v>6.8199999999999997E-2</v>
      </c>
      <c r="N17" s="6" t="s">
        <v>107</v>
      </c>
      <c r="O17" s="11">
        <v>4000</v>
      </c>
      <c r="P17" s="11">
        <f t="shared" si="0"/>
        <v>3445.7799999999997</v>
      </c>
      <c r="Q17" s="18">
        <v>4000</v>
      </c>
      <c r="R17" s="19"/>
    </row>
    <row r="18" spans="1:19" hidden="1" x14ac:dyDescent="0.3">
      <c r="A18" s="6" t="s">
        <v>108</v>
      </c>
      <c r="B18" s="7" t="s">
        <v>81</v>
      </c>
      <c r="C18" s="17" t="s">
        <v>109</v>
      </c>
      <c r="D18" s="17"/>
      <c r="E18" s="7" t="s">
        <v>110</v>
      </c>
      <c r="F18" s="9">
        <v>72</v>
      </c>
      <c r="G18" s="6" t="s">
        <v>111</v>
      </c>
      <c r="H18" s="7" t="s">
        <v>25</v>
      </c>
      <c r="I18" s="6" t="s">
        <v>19</v>
      </c>
      <c r="J18" s="7" t="s">
        <v>20</v>
      </c>
      <c r="K18" s="7" t="s">
        <v>32</v>
      </c>
      <c r="L18" s="6"/>
      <c r="M18" s="10">
        <v>5.3999999999999999E-2</v>
      </c>
      <c r="N18" s="6" t="s">
        <v>112</v>
      </c>
      <c r="O18" s="6" t="s">
        <v>19</v>
      </c>
      <c r="P18" s="11" t="e">
        <f t="shared" si="0"/>
        <v>#VALUE!</v>
      </c>
      <c r="Q18" s="19" t="s">
        <v>19</v>
      </c>
      <c r="R18" s="19"/>
    </row>
    <row r="19" spans="1:19" hidden="1" x14ac:dyDescent="0.3">
      <c r="A19" s="6" t="s">
        <v>113</v>
      </c>
      <c r="B19" s="7" t="s">
        <v>114</v>
      </c>
      <c r="C19" s="17" t="s">
        <v>115</v>
      </c>
      <c r="D19" s="17"/>
      <c r="E19" s="7" t="s">
        <v>116</v>
      </c>
      <c r="F19" s="9">
        <v>72</v>
      </c>
      <c r="G19" s="6" t="s">
        <v>117</v>
      </c>
      <c r="H19" s="7" t="s">
        <v>25</v>
      </c>
      <c r="I19" s="6" t="s">
        <v>19</v>
      </c>
      <c r="J19" s="7" t="s">
        <v>20</v>
      </c>
      <c r="K19" s="7" t="s">
        <v>32</v>
      </c>
      <c r="L19" s="6"/>
      <c r="M19" s="10">
        <v>5.3999999999999999E-2</v>
      </c>
      <c r="N19" s="6" t="s">
        <v>118</v>
      </c>
      <c r="O19" s="6" t="s">
        <v>19</v>
      </c>
      <c r="P19" s="11" t="e">
        <f t="shared" si="0"/>
        <v>#VALUE!</v>
      </c>
      <c r="Q19" s="19" t="s">
        <v>19</v>
      </c>
      <c r="R19" s="19"/>
    </row>
    <row r="20" spans="1:19" ht="43.2" hidden="1" x14ac:dyDescent="0.3">
      <c r="A20" s="6" t="s">
        <v>119</v>
      </c>
      <c r="B20" s="7" t="s">
        <v>120</v>
      </c>
      <c r="C20" s="17" t="s">
        <v>115</v>
      </c>
      <c r="D20" s="17"/>
      <c r="E20" s="8">
        <v>17230</v>
      </c>
      <c r="F20" s="9">
        <v>75</v>
      </c>
      <c r="G20" s="6" t="s">
        <v>121</v>
      </c>
      <c r="H20" s="7" t="s">
        <v>39</v>
      </c>
      <c r="I20" s="6" t="s">
        <v>122</v>
      </c>
      <c r="J20" s="7" t="s">
        <v>20</v>
      </c>
      <c r="K20" s="7" t="s">
        <v>26</v>
      </c>
      <c r="L20" s="6"/>
      <c r="M20" s="10">
        <v>5.8200000000000002E-2</v>
      </c>
      <c r="N20" s="6" t="s">
        <v>123</v>
      </c>
      <c r="O20" s="11">
        <v>16000</v>
      </c>
      <c r="P20" s="11">
        <f t="shared" si="0"/>
        <v>15424.18</v>
      </c>
      <c r="Q20" s="18">
        <v>2000</v>
      </c>
      <c r="R20" s="19"/>
    </row>
    <row r="21" spans="1:19" ht="43.2" hidden="1" x14ac:dyDescent="0.3">
      <c r="A21" s="6" t="s">
        <v>124</v>
      </c>
      <c r="B21" s="7" t="s">
        <v>125</v>
      </c>
      <c r="C21" s="17" t="s">
        <v>115</v>
      </c>
      <c r="D21" s="17"/>
      <c r="E21" s="8">
        <v>17556</v>
      </c>
      <c r="F21" s="9">
        <v>74</v>
      </c>
      <c r="G21" s="6" t="s">
        <v>126</v>
      </c>
      <c r="H21" s="7" t="s">
        <v>39</v>
      </c>
      <c r="I21" s="6" t="s">
        <v>122</v>
      </c>
      <c r="J21" s="7" t="s">
        <v>20</v>
      </c>
      <c r="K21" s="7" t="s">
        <v>26</v>
      </c>
      <c r="L21" s="6"/>
      <c r="M21" s="10">
        <v>5.67E-2</v>
      </c>
      <c r="N21" s="6" t="s">
        <v>127</v>
      </c>
      <c r="O21" s="11">
        <v>16000</v>
      </c>
      <c r="P21" s="11">
        <f t="shared" si="0"/>
        <v>14701.29</v>
      </c>
      <c r="Q21" s="18">
        <v>2000</v>
      </c>
      <c r="R21" s="19"/>
    </row>
    <row r="22" spans="1:19" ht="43.2" hidden="1" x14ac:dyDescent="0.3">
      <c r="A22" s="6" t="s">
        <v>128</v>
      </c>
      <c r="B22" s="7" t="s">
        <v>129</v>
      </c>
      <c r="C22" s="17" t="s">
        <v>130</v>
      </c>
      <c r="D22" s="17"/>
      <c r="E22" s="8">
        <v>17772</v>
      </c>
      <c r="F22" s="9">
        <v>74</v>
      </c>
      <c r="G22" s="6" t="s">
        <v>131</v>
      </c>
      <c r="H22" s="7" t="s">
        <v>39</v>
      </c>
      <c r="I22" s="6" t="s">
        <v>132</v>
      </c>
      <c r="J22" s="7" t="s">
        <v>20</v>
      </c>
      <c r="K22" s="7" t="s">
        <v>26</v>
      </c>
      <c r="L22" s="6"/>
      <c r="M22" s="10">
        <v>5.67E-2</v>
      </c>
      <c r="N22" s="6" t="s">
        <v>133</v>
      </c>
      <c r="O22" s="11">
        <v>12000</v>
      </c>
      <c r="P22" s="11">
        <f t="shared" si="0"/>
        <v>9892.17</v>
      </c>
      <c r="Q22" s="18">
        <v>1500</v>
      </c>
      <c r="R22" s="19"/>
    </row>
    <row r="23" spans="1:19" ht="43.2" hidden="1" x14ac:dyDescent="0.3">
      <c r="A23" s="6" t="s">
        <v>128</v>
      </c>
      <c r="B23" s="7" t="s">
        <v>129</v>
      </c>
      <c r="C23" s="17" t="s">
        <v>130</v>
      </c>
      <c r="D23" s="17"/>
      <c r="E23" s="8">
        <v>17772</v>
      </c>
      <c r="F23" s="9">
        <v>74</v>
      </c>
      <c r="G23" s="6" t="s">
        <v>131</v>
      </c>
      <c r="H23" s="7" t="s">
        <v>39</v>
      </c>
      <c r="I23" s="6" t="s">
        <v>132</v>
      </c>
      <c r="J23" s="7" t="s">
        <v>20</v>
      </c>
      <c r="K23" s="7" t="s">
        <v>26</v>
      </c>
      <c r="L23" s="6"/>
      <c r="M23" s="10">
        <v>5.67E-2</v>
      </c>
      <c r="N23" s="6" t="s">
        <v>133</v>
      </c>
      <c r="O23" s="11">
        <v>12000</v>
      </c>
      <c r="P23" s="11">
        <f t="shared" si="0"/>
        <v>9892.17</v>
      </c>
      <c r="Q23" s="18">
        <v>1500</v>
      </c>
      <c r="R23" s="19"/>
    </row>
    <row r="24" spans="1:19" hidden="1" x14ac:dyDescent="0.3">
      <c r="A24" s="6" t="s">
        <v>134</v>
      </c>
      <c r="B24" s="7" t="s">
        <v>135</v>
      </c>
      <c r="C24" s="17" t="s">
        <v>136</v>
      </c>
      <c r="D24" s="17"/>
      <c r="E24" s="8">
        <v>18181</v>
      </c>
      <c r="F24" s="9">
        <v>73</v>
      </c>
      <c r="G24" s="6" t="s">
        <v>137</v>
      </c>
      <c r="H24" s="7" t="s">
        <v>25</v>
      </c>
      <c r="I24" s="6"/>
      <c r="J24" s="7" t="s">
        <v>20</v>
      </c>
      <c r="K24" s="7" t="s">
        <v>26</v>
      </c>
      <c r="L24" s="6"/>
      <c r="M24" s="10">
        <v>5.5300000000000002E-2</v>
      </c>
      <c r="N24" s="6" t="s">
        <v>138</v>
      </c>
      <c r="O24" s="11">
        <v>20440</v>
      </c>
      <c r="P24" s="11">
        <f t="shared" si="0"/>
        <v>18619.400000000001</v>
      </c>
      <c r="Q24" s="18">
        <v>4940</v>
      </c>
      <c r="R24" s="19"/>
    </row>
    <row r="25" spans="1:19" ht="43.2" hidden="1" x14ac:dyDescent="0.3">
      <c r="A25" s="6" t="s">
        <v>139</v>
      </c>
      <c r="B25" s="7" t="s">
        <v>140</v>
      </c>
      <c r="C25" s="17" t="s">
        <v>141</v>
      </c>
      <c r="D25" s="17"/>
      <c r="E25" s="8">
        <v>18228</v>
      </c>
      <c r="F25" s="9">
        <v>73</v>
      </c>
      <c r="G25" s="6" t="s">
        <v>143</v>
      </c>
      <c r="H25" s="7" t="s">
        <v>39</v>
      </c>
      <c r="I25" s="6" t="s">
        <v>144</v>
      </c>
      <c r="J25" s="7" t="s">
        <v>20</v>
      </c>
      <c r="K25" s="7" t="s">
        <v>26</v>
      </c>
      <c r="L25" s="6"/>
      <c r="M25" s="10">
        <v>5.5300000000000002E-2</v>
      </c>
      <c r="N25" s="6" t="s">
        <v>145</v>
      </c>
      <c r="O25" s="11">
        <v>40000</v>
      </c>
      <c r="P25" s="11">
        <f t="shared" si="0"/>
        <v>36288.53</v>
      </c>
      <c r="Q25" s="18">
        <v>5000</v>
      </c>
      <c r="R25" s="19"/>
    </row>
    <row r="26" spans="1:19" ht="43.2" x14ac:dyDescent="0.3">
      <c r="A26" s="6" t="s">
        <v>146</v>
      </c>
      <c r="B26" s="7" t="s">
        <v>140</v>
      </c>
      <c r="C26" s="17" t="s">
        <v>141</v>
      </c>
      <c r="D26" s="17"/>
      <c r="E26" s="8">
        <v>16330</v>
      </c>
      <c r="F26" s="9">
        <v>78</v>
      </c>
      <c r="G26" s="6" t="s">
        <v>147</v>
      </c>
      <c r="H26" s="7" t="s">
        <v>39</v>
      </c>
      <c r="I26" s="6" t="s">
        <v>100</v>
      </c>
      <c r="J26" s="7" t="s">
        <v>41</v>
      </c>
      <c r="K26" s="7" t="s">
        <v>26</v>
      </c>
      <c r="L26" s="9">
        <v>76</v>
      </c>
      <c r="M26" s="10">
        <v>5.9799999999999999E-2</v>
      </c>
      <c r="N26" s="6" t="s">
        <v>148</v>
      </c>
      <c r="O26" s="11">
        <v>48000</v>
      </c>
      <c r="P26" s="11">
        <f t="shared" si="0"/>
        <v>44005.87</v>
      </c>
      <c r="Q26" s="18">
        <v>6000</v>
      </c>
      <c r="R26" s="19"/>
      <c r="S26" s="2" t="str">
        <f>IF(P34&lt;O34,"CATCHUP","NONE")</f>
        <v>CATCHUP</v>
      </c>
    </row>
    <row r="27" spans="1:19" ht="43.2" hidden="1" x14ac:dyDescent="0.3">
      <c r="A27" s="6" t="s">
        <v>149</v>
      </c>
      <c r="B27" s="7" t="s">
        <v>135</v>
      </c>
      <c r="C27" s="17" t="s">
        <v>141</v>
      </c>
      <c r="D27" s="17"/>
      <c r="E27" s="8">
        <v>17334</v>
      </c>
      <c r="F27" s="9">
        <v>75</v>
      </c>
      <c r="G27" s="6" t="s">
        <v>150</v>
      </c>
      <c r="H27" s="7" t="s">
        <v>39</v>
      </c>
      <c r="I27" s="6" t="s">
        <v>151</v>
      </c>
      <c r="J27" s="7" t="s">
        <v>20</v>
      </c>
      <c r="K27" s="7" t="s">
        <v>26</v>
      </c>
      <c r="L27" s="6"/>
      <c r="M27" s="10">
        <v>5.8200000000000002E-2</v>
      </c>
      <c r="N27" s="6" t="s">
        <v>152</v>
      </c>
      <c r="O27" s="11">
        <v>29000</v>
      </c>
      <c r="P27" s="11">
        <f t="shared" si="0"/>
        <v>28846.06</v>
      </c>
      <c r="Q27" s="18">
        <v>2500</v>
      </c>
      <c r="R27" s="19"/>
    </row>
    <row r="28" spans="1:19" ht="43.2" hidden="1" x14ac:dyDescent="0.3">
      <c r="A28" s="6" t="s">
        <v>153</v>
      </c>
      <c r="B28" s="7" t="s">
        <v>154</v>
      </c>
      <c r="C28" s="17" t="s">
        <v>141</v>
      </c>
      <c r="D28" s="17"/>
      <c r="E28" s="8">
        <v>17486</v>
      </c>
      <c r="F28" s="9">
        <v>75</v>
      </c>
      <c r="G28" s="6" t="s">
        <v>155</v>
      </c>
      <c r="H28" s="7" t="s">
        <v>39</v>
      </c>
      <c r="I28" s="6" t="s">
        <v>100</v>
      </c>
      <c r="J28" s="7" t="s">
        <v>20</v>
      </c>
      <c r="K28" s="7" t="s">
        <v>26</v>
      </c>
      <c r="L28" s="6"/>
      <c r="M28" s="10">
        <v>5.8200000000000002E-2</v>
      </c>
      <c r="N28" s="6" t="s">
        <v>156</v>
      </c>
      <c r="O28" s="11">
        <v>48000</v>
      </c>
      <c r="P28" s="11">
        <f t="shared" si="0"/>
        <v>43242.43</v>
      </c>
      <c r="Q28" s="18">
        <v>6000</v>
      </c>
      <c r="R28" s="19"/>
    </row>
    <row r="29" spans="1:19" ht="43.2" hidden="1" x14ac:dyDescent="0.3">
      <c r="A29" s="6" t="s">
        <v>157</v>
      </c>
      <c r="B29" s="7" t="s">
        <v>158</v>
      </c>
      <c r="C29" s="17" t="s">
        <v>159</v>
      </c>
      <c r="D29" s="17"/>
      <c r="E29" s="8">
        <v>17111</v>
      </c>
      <c r="F29" s="9">
        <v>76</v>
      </c>
      <c r="G29" s="6" t="s">
        <v>160</v>
      </c>
      <c r="H29" s="7" t="s">
        <v>39</v>
      </c>
      <c r="I29" s="6" t="s">
        <v>40</v>
      </c>
      <c r="J29" s="7" t="s">
        <v>20</v>
      </c>
      <c r="K29" s="7" t="s">
        <v>26</v>
      </c>
      <c r="L29" s="6"/>
      <c r="M29" s="10">
        <v>5.9799999999999999E-2</v>
      </c>
      <c r="N29" s="6" t="s">
        <v>161</v>
      </c>
      <c r="O29" s="11">
        <v>24000</v>
      </c>
      <c r="P29" s="11">
        <f t="shared" si="0"/>
        <v>22638.81</v>
      </c>
      <c r="Q29" s="18">
        <v>3000</v>
      </c>
      <c r="R29" s="19"/>
    </row>
    <row r="30" spans="1:19" hidden="1" x14ac:dyDescent="0.3">
      <c r="A30" s="6" t="s">
        <v>162</v>
      </c>
      <c r="B30" s="7" t="s">
        <v>163</v>
      </c>
      <c r="C30" s="17" t="s">
        <v>164</v>
      </c>
      <c r="D30" s="17"/>
      <c r="E30" s="8">
        <v>17555</v>
      </c>
      <c r="F30" s="9">
        <v>74</v>
      </c>
      <c r="G30" s="6" t="s">
        <v>165</v>
      </c>
      <c r="H30" s="7" t="s">
        <v>25</v>
      </c>
      <c r="I30" s="6"/>
      <c r="J30" s="7" t="s">
        <v>20</v>
      </c>
      <c r="K30" s="7" t="s">
        <v>26</v>
      </c>
      <c r="L30" s="6"/>
      <c r="M30" s="10">
        <v>5.67E-2</v>
      </c>
      <c r="N30" s="6" t="s">
        <v>166</v>
      </c>
      <c r="O30" s="11">
        <v>42534.48</v>
      </c>
      <c r="P30" s="11">
        <f t="shared" si="0"/>
        <v>37217.670000000006</v>
      </c>
      <c r="Q30" s="18">
        <v>5316.81</v>
      </c>
      <c r="R30" s="19"/>
    </row>
    <row r="31" spans="1:19" ht="28.8" hidden="1" x14ac:dyDescent="0.3">
      <c r="A31" s="6" t="s">
        <v>167</v>
      </c>
      <c r="B31" s="7" t="s">
        <v>168</v>
      </c>
      <c r="C31" s="17" t="s">
        <v>169</v>
      </c>
      <c r="D31" s="17"/>
      <c r="E31" s="8">
        <v>17792</v>
      </c>
      <c r="F31" s="9">
        <v>74</v>
      </c>
      <c r="G31" s="6" t="s">
        <v>170</v>
      </c>
      <c r="H31" s="7" t="s">
        <v>39</v>
      </c>
      <c r="I31" s="6" t="s">
        <v>67</v>
      </c>
      <c r="J31" s="7" t="s">
        <v>20</v>
      </c>
      <c r="K31" s="7" t="s">
        <v>26</v>
      </c>
      <c r="L31" s="6"/>
      <c r="M31" s="10">
        <v>5.67E-2</v>
      </c>
      <c r="N31" s="6" t="s">
        <v>171</v>
      </c>
      <c r="O31" s="11">
        <v>6400</v>
      </c>
      <c r="P31" s="11">
        <f t="shared" si="0"/>
        <v>6089.65</v>
      </c>
      <c r="Q31" s="18">
        <v>800</v>
      </c>
      <c r="R31" s="19"/>
    </row>
    <row r="32" spans="1:19" ht="28.8" hidden="1" x14ac:dyDescent="0.3">
      <c r="A32" s="6" t="s">
        <v>172</v>
      </c>
      <c r="B32" s="7" t="s">
        <v>173</v>
      </c>
      <c r="C32" s="17" t="s">
        <v>174</v>
      </c>
      <c r="D32" s="17"/>
      <c r="E32" s="8">
        <v>18420</v>
      </c>
      <c r="F32" s="9">
        <v>72</v>
      </c>
      <c r="G32" s="6" t="s">
        <v>175</v>
      </c>
      <c r="H32" s="7" t="s">
        <v>39</v>
      </c>
      <c r="I32" s="6" t="s">
        <v>176</v>
      </c>
      <c r="J32" s="7" t="s">
        <v>20</v>
      </c>
      <c r="K32" s="7" t="s">
        <v>26</v>
      </c>
      <c r="L32" s="6"/>
      <c r="M32" s="10">
        <v>5.3999999999999999E-2</v>
      </c>
      <c r="N32" s="6" t="s">
        <v>177</v>
      </c>
      <c r="O32" s="11">
        <v>4800</v>
      </c>
      <c r="P32" s="11">
        <f t="shared" si="0"/>
        <v>4355.4399999999996</v>
      </c>
      <c r="Q32" s="18">
        <v>600</v>
      </c>
      <c r="R32" s="19"/>
    </row>
    <row r="33" spans="1:19" ht="43.2" hidden="1" x14ac:dyDescent="0.3">
      <c r="A33" s="6" t="s">
        <v>178</v>
      </c>
      <c r="B33" s="7" t="s">
        <v>179</v>
      </c>
      <c r="C33" s="17" t="s">
        <v>180</v>
      </c>
      <c r="D33" s="17"/>
      <c r="E33" s="8">
        <v>16774</v>
      </c>
      <c r="F33" s="9">
        <v>77</v>
      </c>
      <c r="G33" s="6" t="s">
        <v>181</v>
      </c>
      <c r="H33" s="7" t="s">
        <v>39</v>
      </c>
      <c r="I33" s="6" t="s">
        <v>182</v>
      </c>
      <c r="J33" s="7" t="s">
        <v>20</v>
      </c>
      <c r="K33" s="7" t="s">
        <v>26</v>
      </c>
      <c r="L33" s="6"/>
      <c r="M33" s="10">
        <v>6.1699999999999998E-2</v>
      </c>
      <c r="N33" s="6" t="s">
        <v>183</v>
      </c>
      <c r="O33" s="11">
        <v>36000</v>
      </c>
      <c r="P33" s="11">
        <f t="shared" si="0"/>
        <v>34403.96</v>
      </c>
      <c r="Q33" s="18">
        <v>4500</v>
      </c>
      <c r="R33" s="19"/>
    </row>
    <row r="34" spans="1:19" hidden="1" x14ac:dyDescent="0.3">
      <c r="A34" s="6" t="s">
        <v>184</v>
      </c>
      <c r="B34" s="7" t="s">
        <v>185</v>
      </c>
      <c r="C34" s="17" t="s">
        <v>186</v>
      </c>
      <c r="D34" s="17"/>
      <c r="E34" s="8">
        <v>18176</v>
      </c>
      <c r="F34" s="9">
        <v>73</v>
      </c>
      <c r="G34" s="6" t="s">
        <v>187</v>
      </c>
      <c r="H34" s="7" t="s">
        <v>25</v>
      </c>
      <c r="I34" s="6"/>
      <c r="J34" s="7" t="s">
        <v>20</v>
      </c>
      <c r="K34" s="7" t="s">
        <v>26</v>
      </c>
      <c r="L34" s="6"/>
      <c r="M34" s="10">
        <v>5.5300000000000002E-2</v>
      </c>
      <c r="N34" s="6" t="s">
        <v>188</v>
      </c>
      <c r="O34" s="11">
        <v>1125.52</v>
      </c>
      <c r="P34" s="11">
        <f t="shared" si="0"/>
        <v>984.82999999999993</v>
      </c>
      <c r="Q34" s="18">
        <v>140.69</v>
      </c>
      <c r="R34" s="19"/>
    </row>
    <row r="35" spans="1:19" hidden="1" x14ac:dyDescent="0.3">
      <c r="A35" s="6" t="s">
        <v>189</v>
      </c>
      <c r="B35" s="7" t="s">
        <v>190</v>
      </c>
      <c r="C35" s="17" t="s">
        <v>191</v>
      </c>
      <c r="D35" s="17"/>
      <c r="E35" s="8">
        <v>18086</v>
      </c>
      <c r="F35" s="9">
        <v>73</v>
      </c>
      <c r="G35" s="6" t="s">
        <v>192</v>
      </c>
      <c r="H35" s="7" t="s">
        <v>25</v>
      </c>
      <c r="I35" s="6"/>
      <c r="J35" s="7" t="s">
        <v>20</v>
      </c>
      <c r="K35" s="7" t="s">
        <v>26</v>
      </c>
      <c r="L35" s="6"/>
      <c r="M35" s="10">
        <v>5.5300000000000002E-2</v>
      </c>
      <c r="N35" s="6" t="s">
        <v>193</v>
      </c>
      <c r="O35" s="11">
        <v>8343.92</v>
      </c>
      <c r="P35" s="11">
        <f t="shared" si="0"/>
        <v>7300.93</v>
      </c>
      <c r="Q35" s="18">
        <v>1042.99</v>
      </c>
      <c r="R35" s="19"/>
    </row>
    <row r="36" spans="1:19" ht="28.8" hidden="1" x14ac:dyDescent="0.3">
      <c r="A36" s="6" t="s">
        <v>194</v>
      </c>
      <c r="B36" s="7" t="s">
        <v>195</v>
      </c>
      <c r="C36" s="17" t="s">
        <v>196</v>
      </c>
      <c r="D36" s="17"/>
      <c r="E36" s="8">
        <v>17226</v>
      </c>
      <c r="F36" s="9">
        <v>75</v>
      </c>
      <c r="G36" s="6" t="s">
        <v>198</v>
      </c>
      <c r="H36" s="7" t="s">
        <v>39</v>
      </c>
      <c r="I36" s="6" t="s">
        <v>199</v>
      </c>
      <c r="J36" s="7" t="s">
        <v>20</v>
      </c>
      <c r="K36" s="7" t="s">
        <v>26</v>
      </c>
      <c r="L36" s="6"/>
      <c r="M36" s="10">
        <v>5.8200000000000002E-2</v>
      </c>
      <c r="N36" s="6" t="s">
        <v>200</v>
      </c>
      <c r="O36" s="11">
        <v>4200</v>
      </c>
      <c r="P36" s="11">
        <f t="shared" si="0"/>
        <v>3907.76</v>
      </c>
      <c r="Q36" s="18">
        <v>525</v>
      </c>
      <c r="R36" s="19"/>
    </row>
    <row r="37" spans="1:19" hidden="1" x14ac:dyDescent="0.3">
      <c r="A37" s="6" t="s">
        <v>201</v>
      </c>
      <c r="B37" s="7" t="s">
        <v>202</v>
      </c>
      <c r="C37" s="17" t="s">
        <v>196</v>
      </c>
      <c r="D37" s="17"/>
      <c r="E37" s="8">
        <v>16195</v>
      </c>
      <c r="F37" s="9">
        <v>78</v>
      </c>
      <c r="G37" s="6" t="s">
        <v>203</v>
      </c>
      <c r="H37" s="7" t="s">
        <v>25</v>
      </c>
      <c r="I37" s="6"/>
      <c r="J37" s="7" t="s">
        <v>20</v>
      </c>
      <c r="K37" s="7" t="s">
        <v>26</v>
      </c>
      <c r="L37" s="6"/>
      <c r="M37" s="10">
        <v>6.3600000000000004E-2</v>
      </c>
      <c r="N37" s="6" t="s">
        <v>204</v>
      </c>
      <c r="O37" s="11">
        <v>27943.82</v>
      </c>
      <c r="P37" s="11">
        <f t="shared" si="0"/>
        <v>24366.37</v>
      </c>
      <c r="Q37" s="18">
        <v>3577.45</v>
      </c>
      <c r="R37" s="19"/>
    </row>
    <row r="38" spans="1:19" hidden="1" x14ac:dyDescent="0.3">
      <c r="A38" s="6" t="s">
        <v>205</v>
      </c>
      <c r="B38" s="7" t="s">
        <v>206</v>
      </c>
      <c r="C38" s="17" t="s">
        <v>196</v>
      </c>
      <c r="D38" s="17"/>
      <c r="E38" s="8">
        <v>18180</v>
      </c>
      <c r="F38" s="9">
        <v>73</v>
      </c>
      <c r="G38" s="6" t="s">
        <v>207</v>
      </c>
      <c r="H38" s="7" t="s">
        <v>25</v>
      </c>
      <c r="I38" s="6"/>
      <c r="J38" s="7" t="s">
        <v>20</v>
      </c>
      <c r="K38" s="7" t="s">
        <v>26</v>
      </c>
      <c r="L38" s="6"/>
      <c r="M38" s="10">
        <v>5.5300000000000002E-2</v>
      </c>
      <c r="N38" s="6" t="s">
        <v>208</v>
      </c>
      <c r="O38" s="11">
        <v>25832.48</v>
      </c>
      <c r="P38" s="11">
        <f t="shared" si="0"/>
        <v>22603.42</v>
      </c>
      <c r="Q38" s="18">
        <v>3229.06</v>
      </c>
      <c r="R38" s="19"/>
    </row>
    <row r="39" spans="1:19" x14ac:dyDescent="0.3">
      <c r="A39" s="6" t="s">
        <v>209</v>
      </c>
      <c r="B39" s="7" t="s">
        <v>210</v>
      </c>
      <c r="C39" s="17" t="s">
        <v>211</v>
      </c>
      <c r="D39" s="17"/>
      <c r="E39" s="8">
        <v>16840</v>
      </c>
      <c r="F39" s="9">
        <v>76</v>
      </c>
      <c r="G39" s="6" t="s">
        <v>212</v>
      </c>
      <c r="H39" s="7" t="s">
        <v>25</v>
      </c>
      <c r="I39" s="6"/>
      <c r="J39" s="7" t="s">
        <v>41</v>
      </c>
      <c r="K39" s="7" t="s">
        <v>26</v>
      </c>
      <c r="L39" s="9">
        <v>74</v>
      </c>
      <c r="M39" s="10">
        <v>5.67E-2</v>
      </c>
      <c r="N39" s="6" t="s">
        <v>213</v>
      </c>
      <c r="O39" s="11">
        <v>21963.599999999999</v>
      </c>
      <c r="P39" s="11">
        <f t="shared" si="0"/>
        <v>19218.149999999998</v>
      </c>
      <c r="Q39" s="18">
        <v>2745.45</v>
      </c>
      <c r="R39" s="19"/>
      <c r="S39" s="2" t="str">
        <f t="shared" ref="S39:S41" si="1">IF(P47&lt;O47,"CATCHUP","NONE")</f>
        <v>CATCHUP</v>
      </c>
    </row>
    <row r="40" spans="1:19" x14ac:dyDescent="0.3">
      <c r="A40" s="6" t="s">
        <v>214</v>
      </c>
      <c r="B40" s="7" t="s">
        <v>185</v>
      </c>
      <c r="C40" s="17" t="s">
        <v>215</v>
      </c>
      <c r="D40" s="17"/>
      <c r="E40" s="8">
        <v>18260</v>
      </c>
      <c r="F40" s="9">
        <v>73</v>
      </c>
      <c r="G40" s="6" t="s">
        <v>216</v>
      </c>
      <c r="H40" s="7" t="s">
        <v>25</v>
      </c>
      <c r="I40" s="6"/>
      <c r="J40" s="7" t="s">
        <v>41</v>
      </c>
      <c r="K40" s="7" t="s">
        <v>26</v>
      </c>
      <c r="L40" s="9">
        <v>60</v>
      </c>
      <c r="M40" s="10">
        <v>3.3300000000000003E-2</v>
      </c>
      <c r="N40" s="6" t="s">
        <v>217</v>
      </c>
      <c r="O40" s="11">
        <v>7489.76</v>
      </c>
      <c r="P40" s="11">
        <f t="shared" si="0"/>
        <v>6553.54</v>
      </c>
      <c r="Q40" s="18">
        <v>936.22</v>
      </c>
      <c r="R40" s="19"/>
      <c r="S40" s="2" t="str">
        <f t="shared" si="1"/>
        <v>CATCHUP</v>
      </c>
    </row>
    <row r="41" spans="1:19" x14ac:dyDescent="0.3">
      <c r="A41" s="6" t="s">
        <v>218</v>
      </c>
      <c r="B41" s="7" t="s">
        <v>219</v>
      </c>
      <c r="C41" s="17" t="s">
        <v>220</v>
      </c>
      <c r="D41" s="17"/>
      <c r="E41" s="8">
        <v>15925</v>
      </c>
      <c r="F41" s="9">
        <v>79</v>
      </c>
      <c r="G41" s="6" t="s">
        <v>221</v>
      </c>
      <c r="H41" s="7" t="s">
        <v>25</v>
      </c>
      <c r="I41" s="6"/>
      <c r="J41" s="7" t="s">
        <v>41</v>
      </c>
      <c r="K41" s="7" t="s">
        <v>26</v>
      </c>
      <c r="L41" s="9">
        <v>77</v>
      </c>
      <c r="M41" s="10">
        <v>6.1699999999999998E-2</v>
      </c>
      <c r="N41" s="6" t="s">
        <v>222</v>
      </c>
      <c r="O41" s="11">
        <v>6261.84</v>
      </c>
      <c r="P41" s="11">
        <f t="shared" si="0"/>
        <v>5479.1100000000006</v>
      </c>
      <c r="Q41" s="18">
        <v>782.73</v>
      </c>
      <c r="R41" s="19"/>
      <c r="S41" s="2" t="str">
        <f t="shared" si="1"/>
        <v>CATCHUP</v>
      </c>
    </row>
    <row r="42" spans="1:19" ht="43.2" hidden="1" x14ac:dyDescent="0.3">
      <c r="A42" s="6" t="s">
        <v>223</v>
      </c>
      <c r="B42" s="7" t="s">
        <v>224</v>
      </c>
      <c r="C42" s="17" t="s">
        <v>225</v>
      </c>
      <c r="D42" s="17"/>
      <c r="E42" s="8">
        <v>17760</v>
      </c>
      <c r="F42" s="9">
        <v>74</v>
      </c>
      <c r="G42" s="6" t="s">
        <v>226</v>
      </c>
      <c r="H42" s="7" t="s">
        <v>39</v>
      </c>
      <c r="I42" s="6" t="s">
        <v>227</v>
      </c>
      <c r="J42" s="7" t="s">
        <v>20</v>
      </c>
      <c r="K42" s="7" t="s">
        <v>26</v>
      </c>
      <c r="L42" s="6"/>
      <c r="M42" s="10">
        <v>5.67E-2</v>
      </c>
      <c r="N42" s="6" t="s">
        <v>228</v>
      </c>
      <c r="O42" s="11">
        <v>18400</v>
      </c>
      <c r="P42" s="11">
        <f t="shared" si="0"/>
        <v>16814.57</v>
      </c>
      <c r="Q42" s="18">
        <v>2300</v>
      </c>
      <c r="R42" s="19"/>
    </row>
    <row r="43" spans="1:19" hidden="1" x14ac:dyDescent="0.3">
      <c r="A43" s="6" t="s">
        <v>229</v>
      </c>
      <c r="B43" s="7" t="s">
        <v>195</v>
      </c>
      <c r="C43" s="17" t="s">
        <v>230</v>
      </c>
      <c r="D43" s="17"/>
      <c r="E43" s="7" t="s">
        <v>231</v>
      </c>
      <c r="F43" s="9">
        <v>77</v>
      </c>
      <c r="G43" s="6" t="s">
        <v>232</v>
      </c>
      <c r="H43" s="7" t="s">
        <v>25</v>
      </c>
      <c r="I43" s="6" t="s">
        <v>19</v>
      </c>
      <c r="J43" s="7" t="s">
        <v>20</v>
      </c>
      <c r="K43" s="7" t="s">
        <v>32</v>
      </c>
      <c r="L43" s="6"/>
      <c r="M43" s="10">
        <v>6.1699999999999998E-2</v>
      </c>
      <c r="N43" s="6" t="s">
        <v>233</v>
      </c>
      <c r="O43" s="6" t="s">
        <v>19</v>
      </c>
      <c r="P43" s="11" t="e">
        <f t="shared" si="0"/>
        <v>#VALUE!</v>
      </c>
      <c r="Q43" s="19" t="s">
        <v>19</v>
      </c>
      <c r="R43" s="19"/>
    </row>
    <row r="44" spans="1:19" ht="28.8" hidden="1" x14ac:dyDescent="0.3">
      <c r="A44" s="6" t="s">
        <v>234</v>
      </c>
      <c r="B44" s="7" t="s">
        <v>235</v>
      </c>
      <c r="C44" s="17" t="s">
        <v>230</v>
      </c>
      <c r="D44" s="17"/>
      <c r="E44" s="8">
        <v>17841</v>
      </c>
      <c r="F44" s="9">
        <v>74</v>
      </c>
      <c r="G44" s="6" t="s">
        <v>236</v>
      </c>
      <c r="H44" s="7" t="s">
        <v>39</v>
      </c>
      <c r="I44" s="6" t="s">
        <v>237</v>
      </c>
      <c r="J44" s="7" t="s">
        <v>20</v>
      </c>
      <c r="K44" s="7" t="s">
        <v>26</v>
      </c>
      <c r="L44" s="6"/>
      <c r="M44" s="10">
        <v>5.67E-2</v>
      </c>
      <c r="N44" s="6" t="s">
        <v>238</v>
      </c>
      <c r="O44" s="11">
        <v>7200</v>
      </c>
      <c r="P44" s="11">
        <f t="shared" si="0"/>
        <v>6283.12</v>
      </c>
      <c r="Q44" s="18">
        <v>900</v>
      </c>
      <c r="R44" s="19"/>
    </row>
    <row r="45" spans="1:19" ht="43.2" hidden="1" x14ac:dyDescent="0.3">
      <c r="A45" s="6" t="s">
        <v>239</v>
      </c>
      <c r="B45" s="7" t="s">
        <v>240</v>
      </c>
      <c r="C45" s="17" t="s">
        <v>241</v>
      </c>
      <c r="D45" s="17"/>
      <c r="E45" s="8">
        <v>17975</v>
      </c>
      <c r="F45" s="9">
        <v>73</v>
      </c>
      <c r="G45" s="6" t="s">
        <v>242</v>
      </c>
      <c r="H45" s="7" t="s">
        <v>39</v>
      </c>
      <c r="I45" s="6" t="s">
        <v>243</v>
      </c>
      <c r="J45" s="7" t="s">
        <v>20</v>
      </c>
      <c r="K45" s="7" t="s">
        <v>26</v>
      </c>
      <c r="L45" s="6"/>
      <c r="M45" s="10">
        <v>5.5300000000000002E-2</v>
      </c>
      <c r="N45" s="6" t="s">
        <v>244</v>
      </c>
      <c r="O45" s="11">
        <v>14400</v>
      </c>
      <c r="P45" s="11">
        <f t="shared" si="0"/>
        <v>13299.56</v>
      </c>
      <c r="Q45" s="18">
        <v>1800</v>
      </c>
      <c r="R45" s="19"/>
    </row>
    <row r="46" spans="1:19" ht="28.8" x14ac:dyDescent="0.3">
      <c r="A46" s="6" t="s">
        <v>245</v>
      </c>
      <c r="B46" s="7" t="s">
        <v>246</v>
      </c>
      <c r="C46" s="17" t="s">
        <v>247</v>
      </c>
      <c r="D46" s="17"/>
      <c r="E46" s="8">
        <v>16009</v>
      </c>
      <c r="F46" s="9">
        <v>79</v>
      </c>
      <c r="G46" s="6" t="s">
        <v>248</v>
      </c>
      <c r="H46" s="7" t="s">
        <v>39</v>
      </c>
      <c r="I46" s="6" t="s">
        <v>249</v>
      </c>
      <c r="J46" s="7" t="s">
        <v>41</v>
      </c>
      <c r="K46" s="7" t="s">
        <v>26</v>
      </c>
      <c r="L46" s="9">
        <v>77</v>
      </c>
      <c r="M46" s="10">
        <v>6.1699999999999998E-2</v>
      </c>
      <c r="N46" s="6" t="s">
        <v>250</v>
      </c>
      <c r="O46" s="11">
        <v>1600</v>
      </c>
      <c r="P46" s="11">
        <f t="shared" si="0"/>
        <v>1555.77</v>
      </c>
      <c r="Q46" s="18">
        <v>200</v>
      </c>
      <c r="R46" s="19"/>
      <c r="S46" s="2" t="str">
        <f>IF(P54&lt;O54,"CATCHUP","NONE")</f>
        <v>CATCHUP</v>
      </c>
    </row>
    <row r="47" spans="1:19" hidden="1" x14ac:dyDescent="0.3">
      <c r="A47" s="6" t="s">
        <v>251</v>
      </c>
      <c r="B47" s="7" t="s">
        <v>252</v>
      </c>
      <c r="C47" s="17" t="s">
        <v>253</v>
      </c>
      <c r="D47" s="17"/>
      <c r="E47" s="8">
        <v>17401</v>
      </c>
      <c r="F47" s="9">
        <v>75</v>
      </c>
      <c r="G47" s="6" t="s">
        <v>255</v>
      </c>
      <c r="H47" s="7" t="s">
        <v>25</v>
      </c>
      <c r="I47" s="6"/>
      <c r="J47" s="7" t="s">
        <v>20</v>
      </c>
      <c r="K47" s="7" t="s">
        <v>26</v>
      </c>
      <c r="L47" s="6"/>
      <c r="M47" s="10">
        <v>5.8200000000000002E-2</v>
      </c>
      <c r="N47" s="6" t="s">
        <v>256</v>
      </c>
      <c r="O47" s="11">
        <v>10963.12</v>
      </c>
      <c r="P47" s="11">
        <f t="shared" si="0"/>
        <v>9592.7300000000014</v>
      </c>
      <c r="Q47" s="18">
        <v>1370.39</v>
      </c>
      <c r="R47" s="19"/>
    </row>
    <row r="48" spans="1:19" ht="28.8" hidden="1" x14ac:dyDescent="0.3">
      <c r="A48" s="6" t="s">
        <v>257</v>
      </c>
      <c r="B48" s="7" t="s">
        <v>258</v>
      </c>
      <c r="C48" s="17" t="s">
        <v>259</v>
      </c>
      <c r="D48" s="17"/>
      <c r="E48" s="8">
        <v>17929</v>
      </c>
      <c r="F48" s="9">
        <v>73</v>
      </c>
      <c r="G48" s="6" t="s">
        <v>260</v>
      </c>
      <c r="H48" s="7" t="s">
        <v>39</v>
      </c>
      <c r="I48" s="6" t="s">
        <v>261</v>
      </c>
      <c r="J48" s="7" t="s">
        <v>20</v>
      </c>
      <c r="K48" s="7" t="s">
        <v>26</v>
      </c>
      <c r="L48" s="6"/>
      <c r="M48" s="10">
        <v>5.5300000000000002E-2</v>
      </c>
      <c r="N48" s="6" t="s">
        <v>262</v>
      </c>
      <c r="O48" s="11">
        <v>5952</v>
      </c>
      <c r="P48" s="11">
        <f t="shared" si="0"/>
        <v>5425.16</v>
      </c>
      <c r="Q48" s="18">
        <v>744</v>
      </c>
      <c r="R48" s="19"/>
    </row>
    <row r="49" spans="1:19" ht="43.2" x14ac:dyDescent="0.3">
      <c r="A49" s="6" t="s">
        <v>263</v>
      </c>
      <c r="B49" s="7" t="s">
        <v>264</v>
      </c>
      <c r="C49" s="17" t="s">
        <v>265</v>
      </c>
      <c r="D49" s="17"/>
      <c r="E49" s="8">
        <v>15242</v>
      </c>
      <c r="F49" s="9">
        <v>81</v>
      </c>
      <c r="G49" s="6" t="s">
        <v>266</v>
      </c>
      <c r="H49" s="7" t="s">
        <v>39</v>
      </c>
      <c r="I49" s="6" t="s">
        <v>267</v>
      </c>
      <c r="J49" s="7" t="s">
        <v>41</v>
      </c>
      <c r="K49" s="7" t="s">
        <v>26</v>
      </c>
      <c r="L49" s="9">
        <v>76</v>
      </c>
      <c r="M49" s="10">
        <v>5.9799999999999999E-2</v>
      </c>
      <c r="N49" s="6" t="s">
        <v>268</v>
      </c>
      <c r="O49" s="11">
        <v>17600</v>
      </c>
      <c r="P49" s="11">
        <f t="shared" si="0"/>
        <v>15971.25</v>
      </c>
      <c r="Q49" s="18">
        <v>2200</v>
      </c>
      <c r="R49" s="19"/>
      <c r="S49" s="2" t="str">
        <f>IF(P57&lt;O57,"CATCHUP","NONE")</f>
        <v>CATCHUP</v>
      </c>
    </row>
    <row r="50" spans="1:19" ht="28.8" hidden="1" x14ac:dyDescent="0.3">
      <c r="A50" s="6" t="s">
        <v>269</v>
      </c>
      <c r="B50" s="7" t="s">
        <v>270</v>
      </c>
      <c r="C50" s="17" t="s">
        <v>271</v>
      </c>
      <c r="D50" s="17"/>
      <c r="E50" s="8">
        <v>15241</v>
      </c>
      <c r="F50" s="9">
        <v>81</v>
      </c>
      <c r="G50" s="6" t="s">
        <v>272</v>
      </c>
      <c r="H50" s="7" t="s">
        <v>39</v>
      </c>
      <c r="I50" s="6" t="s">
        <v>273</v>
      </c>
      <c r="J50" s="7" t="s">
        <v>20</v>
      </c>
      <c r="K50" s="7" t="s">
        <v>26</v>
      </c>
      <c r="L50" s="6"/>
      <c r="M50" s="10">
        <v>7.0800000000000002E-2</v>
      </c>
      <c r="N50" s="6" t="s">
        <v>274</v>
      </c>
      <c r="O50" s="11">
        <v>5333.36</v>
      </c>
      <c r="P50" s="11">
        <f t="shared" si="0"/>
        <v>4714.04</v>
      </c>
      <c r="Q50" s="18">
        <v>666.67</v>
      </c>
      <c r="R50" s="19"/>
    </row>
    <row r="51" spans="1:19" ht="43.2" x14ac:dyDescent="0.3">
      <c r="A51" s="6" t="s">
        <v>275</v>
      </c>
      <c r="B51" s="7" t="s">
        <v>276</v>
      </c>
      <c r="C51" s="17" t="s">
        <v>277</v>
      </c>
      <c r="D51" s="17"/>
      <c r="E51" s="8">
        <v>16084</v>
      </c>
      <c r="F51" s="9">
        <v>78</v>
      </c>
      <c r="G51" s="6" t="s">
        <v>278</v>
      </c>
      <c r="H51" s="7" t="s">
        <v>39</v>
      </c>
      <c r="I51" s="6" t="s">
        <v>279</v>
      </c>
      <c r="J51" s="7" t="s">
        <v>41</v>
      </c>
      <c r="K51" s="7" t="s">
        <v>32</v>
      </c>
      <c r="L51" s="9">
        <v>71</v>
      </c>
      <c r="M51" s="10">
        <v>5.28E-2</v>
      </c>
      <c r="N51" s="6" t="s">
        <v>280</v>
      </c>
      <c r="O51" s="11">
        <v>25000</v>
      </c>
      <c r="P51" s="11">
        <f t="shared" si="0"/>
        <v>23473.08</v>
      </c>
      <c r="Q51" s="18">
        <v>25000</v>
      </c>
      <c r="R51" s="19"/>
      <c r="S51" s="2" t="str">
        <f t="shared" ref="S51:S52" si="2">IF(P59&lt;O59,"CATCHUP","NONE")</f>
        <v>CATCHUP</v>
      </c>
    </row>
    <row r="52" spans="1:19" ht="28.8" x14ac:dyDescent="0.3">
      <c r="A52" s="6" t="s">
        <v>281</v>
      </c>
      <c r="B52" s="7" t="s">
        <v>140</v>
      </c>
      <c r="C52" s="17" t="s">
        <v>282</v>
      </c>
      <c r="D52" s="17"/>
      <c r="E52" s="8">
        <v>16681</v>
      </c>
      <c r="F52" s="9">
        <v>77</v>
      </c>
      <c r="G52" s="6" t="s">
        <v>283</v>
      </c>
      <c r="H52" s="7" t="s">
        <v>39</v>
      </c>
      <c r="I52" s="6" t="s">
        <v>284</v>
      </c>
      <c r="J52" s="7" t="s">
        <v>41</v>
      </c>
      <c r="K52" s="7" t="s">
        <v>26</v>
      </c>
      <c r="L52" s="9">
        <v>75</v>
      </c>
      <c r="M52" s="10">
        <v>5.8200000000000002E-2</v>
      </c>
      <c r="N52" s="6" t="s">
        <v>285</v>
      </c>
      <c r="O52" s="11">
        <v>2000</v>
      </c>
      <c r="P52" s="11">
        <f t="shared" si="0"/>
        <v>1718.85</v>
      </c>
      <c r="Q52" s="18">
        <v>250</v>
      </c>
      <c r="R52" s="19"/>
      <c r="S52" s="2" t="e">
        <f t="shared" si="2"/>
        <v>#VALUE!</v>
      </c>
    </row>
    <row r="53" spans="1:19" ht="43.2" hidden="1" x14ac:dyDescent="0.3">
      <c r="A53" s="6" t="s">
        <v>286</v>
      </c>
      <c r="B53" s="7" t="s">
        <v>287</v>
      </c>
      <c r="C53" s="17" t="s">
        <v>288</v>
      </c>
      <c r="D53" s="17"/>
      <c r="E53" s="8">
        <v>17223</v>
      </c>
      <c r="F53" s="9">
        <v>75</v>
      </c>
      <c r="G53" s="6" t="s">
        <v>289</v>
      </c>
      <c r="H53" s="7" t="s">
        <v>39</v>
      </c>
      <c r="I53" s="6" t="s">
        <v>132</v>
      </c>
      <c r="J53" s="7" t="s">
        <v>20</v>
      </c>
      <c r="K53" s="7" t="s">
        <v>26</v>
      </c>
      <c r="L53" s="6"/>
      <c r="M53" s="10">
        <v>5.8200000000000002E-2</v>
      </c>
      <c r="N53" s="6" t="s">
        <v>290</v>
      </c>
      <c r="O53" s="11">
        <v>12000</v>
      </c>
      <c r="P53" s="11">
        <f t="shared" si="0"/>
        <v>11243.7</v>
      </c>
      <c r="Q53" s="18">
        <v>1500</v>
      </c>
      <c r="R53" s="19"/>
    </row>
    <row r="54" spans="1:19" ht="43.2" x14ac:dyDescent="0.3">
      <c r="A54" s="6" t="s">
        <v>291</v>
      </c>
      <c r="B54" s="7" t="s">
        <v>292</v>
      </c>
      <c r="C54" s="17" t="s">
        <v>293</v>
      </c>
      <c r="D54" s="17"/>
      <c r="E54" s="8">
        <v>18004</v>
      </c>
      <c r="F54" s="9">
        <v>73</v>
      </c>
      <c r="G54" s="6" t="s">
        <v>294</v>
      </c>
      <c r="H54" s="7" t="s">
        <v>39</v>
      </c>
      <c r="I54" s="6" t="s">
        <v>144</v>
      </c>
      <c r="J54" s="7" t="s">
        <v>41</v>
      </c>
      <c r="K54" s="7" t="s">
        <v>26</v>
      </c>
      <c r="L54" s="9">
        <v>44</v>
      </c>
      <c r="M54" s="10">
        <v>2.1700000000000001E-2</v>
      </c>
      <c r="N54" s="6" t="s">
        <v>295</v>
      </c>
      <c r="O54" s="11">
        <v>38500</v>
      </c>
      <c r="P54" s="11">
        <f t="shared" si="0"/>
        <v>36844.769999999997</v>
      </c>
      <c r="Q54" s="18">
        <v>878.83</v>
      </c>
      <c r="R54" s="19"/>
      <c r="S54" s="2" t="str">
        <f>IF(P62&lt;O62,"CATCHUP","NONE")</f>
        <v>CATCHUP</v>
      </c>
    </row>
    <row r="55" spans="1:19" hidden="1" x14ac:dyDescent="0.3">
      <c r="A55" s="6" t="s">
        <v>296</v>
      </c>
      <c r="B55" s="7" t="s">
        <v>140</v>
      </c>
      <c r="C55" s="17" t="s">
        <v>297</v>
      </c>
      <c r="D55" s="17"/>
      <c r="E55" s="8">
        <v>18193</v>
      </c>
      <c r="F55" s="9">
        <v>73</v>
      </c>
      <c r="G55" s="6" t="s">
        <v>298</v>
      </c>
      <c r="H55" s="7" t="s">
        <v>25</v>
      </c>
      <c r="I55" s="6"/>
      <c r="J55" s="7" t="s">
        <v>20</v>
      </c>
      <c r="K55" s="7" t="s">
        <v>26</v>
      </c>
      <c r="L55" s="6"/>
      <c r="M55" s="10">
        <v>5.5300000000000002E-2</v>
      </c>
      <c r="N55" s="6" t="s">
        <v>299</v>
      </c>
      <c r="O55" s="11">
        <v>6098.24</v>
      </c>
      <c r="P55" s="11">
        <f t="shared" si="0"/>
        <v>5335.96</v>
      </c>
      <c r="Q55" s="18">
        <v>762.28</v>
      </c>
      <c r="R55" s="19"/>
    </row>
    <row r="56" spans="1:19" hidden="1" x14ac:dyDescent="0.3">
      <c r="A56" s="6" t="s">
        <v>300</v>
      </c>
      <c r="B56" s="7" t="s">
        <v>301</v>
      </c>
      <c r="C56" s="17" t="s">
        <v>302</v>
      </c>
      <c r="D56" s="17"/>
      <c r="E56" s="7" t="s">
        <v>303</v>
      </c>
      <c r="F56" s="9">
        <v>74</v>
      </c>
      <c r="G56" s="6" t="s">
        <v>304</v>
      </c>
      <c r="H56" s="7" t="s">
        <v>25</v>
      </c>
      <c r="I56" s="6" t="s">
        <v>19</v>
      </c>
      <c r="J56" s="7" t="s">
        <v>41</v>
      </c>
      <c r="K56" s="7" t="s">
        <v>26</v>
      </c>
      <c r="L56" s="9">
        <v>73</v>
      </c>
      <c r="M56" s="10">
        <v>5.5300000000000002E-2</v>
      </c>
      <c r="N56" s="6" t="s">
        <v>305</v>
      </c>
      <c r="O56" s="6" t="s">
        <v>19</v>
      </c>
      <c r="P56" s="11" t="e">
        <f t="shared" si="0"/>
        <v>#VALUE!</v>
      </c>
      <c r="Q56" s="19" t="s">
        <v>19</v>
      </c>
      <c r="R56" s="19"/>
    </row>
    <row r="57" spans="1:19" ht="43.2" hidden="1" x14ac:dyDescent="0.3">
      <c r="A57" s="6" t="s">
        <v>306</v>
      </c>
      <c r="B57" s="7" t="s">
        <v>307</v>
      </c>
      <c r="C57" s="17" t="s">
        <v>308</v>
      </c>
      <c r="D57" s="17"/>
      <c r="E57" s="8">
        <v>17802</v>
      </c>
      <c r="F57" s="9">
        <v>74</v>
      </c>
      <c r="G57" s="6" t="s">
        <v>309</v>
      </c>
      <c r="H57" s="7" t="s">
        <v>39</v>
      </c>
      <c r="I57" s="6" t="s">
        <v>310</v>
      </c>
      <c r="J57" s="7" t="s">
        <v>20</v>
      </c>
      <c r="K57" s="7" t="s">
        <v>26</v>
      </c>
      <c r="L57" s="6"/>
      <c r="M57" s="10">
        <v>5.67E-2</v>
      </c>
      <c r="N57" s="6" t="s">
        <v>311</v>
      </c>
      <c r="O57" s="11">
        <v>7000</v>
      </c>
      <c r="P57" s="11">
        <f t="shared" si="0"/>
        <v>6082.66</v>
      </c>
      <c r="Q57" s="18">
        <v>945.03</v>
      </c>
      <c r="R57" s="19"/>
    </row>
    <row r="58" spans="1:19" ht="43.2" x14ac:dyDescent="0.3">
      <c r="A58" s="6" t="s">
        <v>312</v>
      </c>
      <c r="B58" s="7" t="s">
        <v>313</v>
      </c>
      <c r="C58" s="17" t="s">
        <v>314</v>
      </c>
      <c r="D58" s="17"/>
      <c r="E58" s="8">
        <v>14521</v>
      </c>
      <c r="F58" s="9">
        <v>83</v>
      </c>
      <c r="G58" s="6" t="s">
        <v>315</v>
      </c>
      <c r="H58" s="7" t="s">
        <v>39</v>
      </c>
      <c r="I58" s="6" t="s">
        <v>182</v>
      </c>
      <c r="J58" s="7" t="s">
        <v>41</v>
      </c>
      <c r="K58" s="7" t="s">
        <v>26</v>
      </c>
      <c r="L58" s="9">
        <v>77</v>
      </c>
      <c r="M58" s="10">
        <v>6.1699999999999998E-2</v>
      </c>
      <c r="N58" s="6" t="s">
        <v>316</v>
      </c>
      <c r="O58" s="11">
        <v>36000</v>
      </c>
      <c r="P58" s="11">
        <f t="shared" si="0"/>
        <v>31263.360000000001</v>
      </c>
      <c r="Q58" s="18">
        <v>4500</v>
      </c>
      <c r="R58" s="19"/>
      <c r="S58" s="2" t="str">
        <f>IF(P66&lt;O66,"CATCHUP","NONE")</f>
        <v>CATCHUP</v>
      </c>
    </row>
    <row r="59" spans="1:19" ht="28.8" hidden="1" x14ac:dyDescent="0.3">
      <c r="A59" s="6" t="s">
        <v>317</v>
      </c>
      <c r="B59" s="7" t="s">
        <v>318</v>
      </c>
      <c r="C59" s="17" t="s">
        <v>319</v>
      </c>
      <c r="D59" s="17"/>
      <c r="E59" s="8">
        <v>18130</v>
      </c>
      <c r="F59" s="9">
        <v>73</v>
      </c>
      <c r="G59" s="6" t="s">
        <v>320</v>
      </c>
      <c r="H59" s="7" t="s">
        <v>39</v>
      </c>
      <c r="I59" s="6" t="s">
        <v>321</v>
      </c>
      <c r="J59" s="7" t="s">
        <v>20</v>
      </c>
      <c r="K59" s="7" t="s">
        <v>26</v>
      </c>
      <c r="L59" s="6"/>
      <c r="M59" s="10">
        <v>5.5300000000000002E-2</v>
      </c>
      <c r="N59" s="6" t="s">
        <v>322</v>
      </c>
      <c r="O59" s="11">
        <v>4000</v>
      </c>
      <c r="P59" s="11">
        <f t="shared" si="0"/>
        <v>3954.62</v>
      </c>
      <c r="Q59" s="18">
        <v>500</v>
      </c>
      <c r="R59" s="19"/>
    </row>
    <row r="60" spans="1:19" s="16" customFormat="1" hidden="1" x14ac:dyDescent="0.3">
      <c r="A60" s="12" t="s">
        <v>323</v>
      </c>
      <c r="B60" s="13" t="s">
        <v>324</v>
      </c>
      <c r="C60" s="21" t="s">
        <v>325</v>
      </c>
      <c r="D60" s="21"/>
      <c r="E60" s="13" t="s">
        <v>326</v>
      </c>
      <c r="F60" s="14">
        <v>77</v>
      </c>
      <c r="G60" s="12" t="s">
        <v>327</v>
      </c>
      <c r="H60" s="13" t="s">
        <v>25</v>
      </c>
      <c r="I60" s="12" t="s">
        <v>19</v>
      </c>
      <c r="J60" s="13" t="s">
        <v>41</v>
      </c>
      <c r="K60" s="13" t="s">
        <v>26</v>
      </c>
      <c r="L60" s="14">
        <v>64</v>
      </c>
      <c r="M60" s="15">
        <v>3.85E-2</v>
      </c>
      <c r="N60" s="12" t="s">
        <v>328</v>
      </c>
      <c r="O60" s="12" t="s">
        <v>19</v>
      </c>
      <c r="P60" s="11" t="e">
        <f t="shared" si="0"/>
        <v>#VALUE!</v>
      </c>
      <c r="Q60" s="22" t="s">
        <v>19</v>
      </c>
      <c r="R60" s="22"/>
    </row>
    <row r="61" spans="1:19" ht="28.8" hidden="1" x14ac:dyDescent="0.3">
      <c r="A61" s="6" t="s">
        <v>329</v>
      </c>
      <c r="B61" s="7" t="s">
        <v>330</v>
      </c>
      <c r="C61" s="17" t="s">
        <v>325</v>
      </c>
      <c r="D61" s="17"/>
      <c r="E61" s="8">
        <v>17495</v>
      </c>
      <c r="F61" s="9">
        <v>75</v>
      </c>
      <c r="G61" s="6" t="s">
        <v>331</v>
      </c>
      <c r="H61" s="7" t="s">
        <v>39</v>
      </c>
      <c r="I61" s="6" t="s">
        <v>321</v>
      </c>
      <c r="J61" s="7" t="s">
        <v>20</v>
      </c>
      <c r="K61" s="7" t="s">
        <v>26</v>
      </c>
      <c r="L61" s="6"/>
      <c r="M61" s="10">
        <v>5.8200000000000002E-2</v>
      </c>
      <c r="N61" s="6" t="s">
        <v>332</v>
      </c>
      <c r="O61" s="11">
        <v>4000</v>
      </c>
      <c r="P61" s="11">
        <f t="shared" si="0"/>
        <v>3534.16</v>
      </c>
      <c r="Q61" s="18">
        <v>500</v>
      </c>
      <c r="R61" s="19"/>
    </row>
    <row r="62" spans="1:19" ht="43.2" hidden="1" x14ac:dyDescent="0.3">
      <c r="A62" s="6" t="s">
        <v>333</v>
      </c>
      <c r="B62" s="7" t="s">
        <v>334</v>
      </c>
      <c r="C62" s="17" t="s">
        <v>325</v>
      </c>
      <c r="D62" s="17"/>
      <c r="E62" s="8">
        <v>17031</v>
      </c>
      <c r="F62" s="9">
        <v>76</v>
      </c>
      <c r="G62" s="6" t="s">
        <v>335</v>
      </c>
      <c r="H62" s="7" t="s">
        <v>39</v>
      </c>
      <c r="I62" s="6" t="s">
        <v>151</v>
      </c>
      <c r="J62" s="7" t="s">
        <v>20</v>
      </c>
      <c r="K62" s="7" t="s">
        <v>26</v>
      </c>
      <c r="L62" s="6"/>
      <c r="M62" s="10">
        <v>5.9799999999999999E-2</v>
      </c>
      <c r="N62" s="6" t="s">
        <v>336</v>
      </c>
      <c r="O62" s="11">
        <v>20000</v>
      </c>
      <c r="P62" s="11">
        <f t="shared" si="0"/>
        <v>17977.919999999998</v>
      </c>
      <c r="Q62" s="18">
        <v>2500</v>
      </c>
      <c r="R62" s="19"/>
    </row>
    <row r="63" spans="1:19" x14ac:dyDescent="0.3">
      <c r="A63" s="6" t="s">
        <v>337</v>
      </c>
      <c r="B63" s="7" t="s">
        <v>338</v>
      </c>
      <c r="C63" s="17" t="s">
        <v>325</v>
      </c>
      <c r="D63" s="17"/>
      <c r="E63" s="8">
        <v>16738</v>
      </c>
      <c r="F63" s="9">
        <v>77</v>
      </c>
      <c r="G63" s="6" t="s">
        <v>339</v>
      </c>
      <c r="H63" s="7" t="s">
        <v>25</v>
      </c>
      <c r="I63" s="6"/>
      <c r="J63" s="7" t="s">
        <v>41</v>
      </c>
      <c r="K63" s="7" t="s">
        <v>26</v>
      </c>
      <c r="L63" s="9">
        <v>75</v>
      </c>
      <c r="M63" s="10">
        <v>5.8200000000000002E-2</v>
      </c>
      <c r="N63" s="6" t="s">
        <v>340</v>
      </c>
      <c r="O63" s="11">
        <v>13394.8</v>
      </c>
      <c r="P63" s="11">
        <f t="shared" si="0"/>
        <v>11720.449999999999</v>
      </c>
      <c r="Q63" s="18">
        <v>1674.35</v>
      </c>
      <c r="R63" s="19"/>
      <c r="S63" s="2" t="str">
        <f>IF(P71&lt;O71,"CATCHUP","NONE")</f>
        <v>CATCHUP</v>
      </c>
    </row>
    <row r="64" spans="1:19" ht="43.2" hidden="1" x14ac:dyDescent="0.3">
      <c r="A64" s="6" t="s">
        <v>341</v>
      </c>
      <c r="B64" s="7" t="s">
        <v>342</v>
      </c>
      <c r="C64" s="17" t="s">
        <v>343</v>
      </c>
      <c r="D64" s="17"/>
      <c r="E64" s="7" t="s">
        <v>344</v>
      </c>
      <c r="F64" s="9">
        <v>79</v>
      </c>
      <c r="G64" s="6" t="s">
        <v>345</v>
      </c>
      <c r="H64" s="7" t="s">
        <v>39</v>
      </c>
      <c r="I64" s="6" t="s">
        <v>346</v>
      </c>
      <c r="J64" s="7" t="s">
        <v>41</v>
      </c>
      <c r="K64" s="7" t="s">
        <v>32</v>
      </c>
      <c r="L64" s="9">
        <v>75</v>
      </c>
      <c r="M64" s="10">
        <v>5.8200000000000002E-2</v>
      </c>
      <c r="N64" s="6" t="s">
        <v>347</v>
      </c>
      <c r="O64" s="6" t="s">
        <v>19</v>
      </c>
      <c r="P64" s="11" t="e">
        <f t="shared" si="0"/>
        <v>#VALUE!</v>
      </c>
      <c r="Q64" s="19" t="s">
        <v>19</v>
      </c>
      <c r="R64" s="19"/>
    </row>
    <row r="65" spans="1:19" ht="43.2" hidden="1" x14ac:dyDescent="0.3">
      <c r="A65" s="6" t="s">
        <v>348</v>
      </c>
      <c r="B65" s="7" t="s">
        <v>349</v>
      </c>
      <c r="C65" s="17" t="s">
        <v>350</v>
      </c>
      <c r="D65" s="17"/>
      <c r="E65" s="8">
        <v>18034</v>
      </c>
      <c r="F65" s="9">
        <v>73</v>
      </c>
      <c r="G65" s="6" t="s">
        <v>351</v>
      </c>
      <c r="H65" s="7" t="s">
        <v>39</v>
      </c>
      <c r="I65" s="6" t="s">
        <v>352</v>
      </c>
      <c r="J65" s="7" t="s">
        <v>20</v>
      </c>
      <c r="K65" s="7" t="s">
        <v>26</v>
      </c>
      <c r="L65" s="6"/>
      <c r="M65" s="10">
        <v>5.5300000000000002E-2</v>
      </c>
      <c r="N65" s="6" t="s">
        <v>353</v>
      </c>
      <c r="O65" s="11">
        <v>29600</v>
      </c>
      <c r="P65" s="11">
        <f t="shared" si="0"/>
        <v>28767.5</v>
      </c>
      <c r="Q65" s="18">
        <v>3700</v>
      </c>
      <c r="R65" s="19"/>
    </row>
    <row r="66" spans="1:19" ht="43.2" x14ac:dyDescent="0.3">
      <c r="A66" s="6" t="s">
        <v>354</v>
      </c>
      <c r="B66" s="7" t="s">
        <v>240</v>
      </c>
      <c r="C66" s="17" t="s">
        <v>355</v>
      </c>
      <c r="D66" s="17"/>
      <c r="E66" s="8">
        <v>18623</v>
      </c>
      <c r="F66" s="9">
        <v>72</v>
      </c>
      <c r="G66" s="6" t="s">
        <v>356</v>
      </c>
      <c r="H66" s="7" t="s">
        <v>39</v>
      </c>
      <c r="I66" s="6" t="s">
        <v>40</v>
      </c>
      <c r="J66" s="7" t="s">
        <v>41</v>
      </c>
      <c r="K66" s="7" t="s">
        <v>26</v>
      </c>
      <c r="L66" s="9">
        <v>66</v>
      </c>
      <c r="M66" s="10">
        <v>4.1700000000000001E-2</v>
      </c>
      <c r="N66" s="6" t="s">
        <v>357</v>
      </c>
      <c r="O66" s="11">
        <v>24000</v>
      </c>
      <c r="P66" s="11">
        <f t="shared" si="0"/>
        <v>22739.57</v>
      </c>
      <c r="Q66" s="18">
        <v>3000</v>
      </c>
      <c r="R66" s="19"/>
      <c r="S66" s="2" t="str">
        <f>IF(P74&lt;O74,"CATCHUP","NONE")</f>
        <v>CATCHUP</v>
      </c>
    </row>
    <row r="67" spans="1:19" hidden="1" x14ac:dyDescent="0.3">
      <c r="A67" s="6" t="s">
        <v>358</v>
      </c>
      <c r="B67" s="7" t="s">
        <v>359</v>
      </c>
      <c r="C67" s="17" t="s">
        <v>360</v>
      </c>
      <c r="D67" s="17"/>
      <c r="E67" s="7" t="s">
        <v>361</v>
      </c>
      <c r="F67" s="9">
        <v>77</v>
      </c>
      <c r="G67" s="6" t="s">
        <v>362</v>
      </c>
      <c r="H67" s="7" t="s">
        <v>25</v>
      </c>
      <c r="I67" s="6" t="s">
        <v>19</v>
      </c>
      <c r="J67" s="7" t="s">
        <v>20</v>
      </c>
      <c r="K67" s="7" t="s">
        <v>32</v>
      </c>
      <c r="L67" s="6"/>
      <c r="M67" s="10">
        <v>6.1699999999999998E-2</v>
      </c>
      <c r="N67" s="6" t="s">
        <v>363</v>
      </c>
      <c r="O67" s="6" t="s">
        <v>19</v>
      </c>
      <c r="P67" s="11" t="e">
        <f t="shared" si="0"/>
        <v>#VALUE!</v>
      </c>
      <c r="Q67" s="19" t="s">
        <v>19</v>
      </c>
      <c r="R67" s="19"/>
    </row>
    <row r="68" spans="1:19" ht="43.2" hidden="1" x14ac:dyDescent="0.3">
      <c r="A68" s="6" t="s">
        <v>364</v>
      </c>
      <c r="B68" s="7" t="s">
        <v>330</v>
      </c>
      <c r="C68" s="17" t="s">
        <v>365</v>
      </c>
      <c r="D68" s="17"/>
      <c r="E68" s="8">
        <v>16214</v>
      </c>
      <c r="F68" s="9">
        <v>78</v>
      </c>
      <c r="G68" s="6" t="s">
        <v>366</v>
      </c>
      <c r="H68" s="7" t="s">
        <v>39</v>
      </c>
      <c r="I68" s="6" t="s">
        <v>122</v>
      </c>
      <c r="J68" s="7" t="s">
        <v>20</v>
      </c>
      <c r="K68" s="7" t="s">
        <v>26</v>
      </c>
      <c r="L68" s="6"/>
      <c r="M68" s="10">
        <v>6.3600000000000004E-2</v>
      </c>
      <c r="N68" s="6" t="s">
        <v>367</v>
      </c>
      <c r="O68" s="11">
        <v>16000</v>
      </c>
      <c r="P68" s="11">
        <f t="shared" ref="P68:P131" si="3">O68-N68</f>
        <v>13657.59</v>
      </c>
      <c r="Q68" s="18">
        <v>2000</v>
      </c>
      <c r="R68" s="19"/>
    </row>
    <row r="69" spans="1:19" ht="43.2" x14ac:dyDescent="0.3">
      <c r="A69" s="6" t="s">
        <v>368</v>
      </c>
      <c r="B69" s="7" t="s">
        <v>29</v>
      </c>
      <c r="C69" s="17" t="s">
        <v>369</v>
      </c>
      <c r="D69" s="17"/>
      <c r="E69" s="8">
        <v>18242</v>
      </c>
      <c r="F69" s="9">
        <v>73</v>
      </c>
      <c r="G69" s="6" t="s">
        <v>370</v>
      </c>
      <c r="H69" s="7" t="s">
        <v>39</v>
      </c>
      <c r="I69" s="6" t="s">
        <v>40</v>
      </c>
      <c r="J69" s="7" t="s">
        <v>41</v>
      </c>
      <c r="K69" s="7" t="s">
        <v>26</v>
      </c>
      <c r="L69" s="9">
        <v>58</v>
      </c>
      <c r="M69" s="10">
        <v>3.1300000000000001E-2</v>
      </c>
      <c r="N69" s="6" t="s">
        <v>371</v>
      </c>
      <c r="O69" s="11">
        <v>24000</v>
      </c>
      <c r="P69" s="11">
        <f t="shared" si="3"/>
        <v>22993.33</v>
      </c>
      <c r="Q69" s="18">
        <v>3000</v>
      </c>
      <c r="R69" s="19"/>
      <c r="S69" s="2" t="e">
        <f>IF(P77&lt;O77,"CATCHUP","NONE")</f>
        <v>#VALUE!</v>
      </c>
    </row>
    <row r="70" spans="1:19" hidden="1" x14ac:dyDescent="0.3">
      <c r="A70" s="6" t="s">
        <v>372</v>
      </c>
      <c r="B70" s="7" t="s">
        <v>373</v>
      </c>
      <c r="C70" s="17" t="s">
        <v>374</v>
      </c>
      <c r="D70" s="17"/>
      <c r="E70" s="7" t="s">
        <v>375</v>
      </c>
      <c r="F70" s="9">
        <v>72</v>
      </c>
      <c r="G70" s="6" t="s">
        <v>376</v>
      </c>
      <c r="H70" s="7" t="s">
        <v>19</v>
      </c>
      <c r="I70" s="6" t="s">
        <v>19</v>
      </c>
      <c r="J70" s="7" t="s">
        <v>20</v>
      </c>
      <c r="K70" s="7"/>
      <c r="L70" s="6"/>
      <c r="M70" s="10">
        <v>5.3999999999999999E-2</v>
      </c>
      <c r="N70" s="6" t="s">
        <v>377</v>
      </c>
      <c r="O70" s="6" t="s">
        <v>19</v>
      </c>
      <c r="P70" s="11" t="e">
        <f t="shared" si="3"/>
        <v>#VALUE!</v>
      </c>
      <c r="Q70" s="19" t="s">
        <v>19</v>
      </c>
      <c r="R70" s="19"/>
    </row>
    <row r="71" spans="1:19" ht="43.2" hidden="1" x14ac:dyDescent="0.3">
      <c r="A71" s="6" t="s">
        <v>378</v>
      </c>
      <c r="B71" s="7" t="s">
        <v>287</v>
      </c>
      <c r="C71" s="17" t="s">
        <v>379</v>
      </c>
      <c r="D71" s="17"/>
      <c r="E71" s="8">
        <v>18508</v>
      </c>
      <c r="F71" s="9">
        <v>72</v>
      </c>
      <c r="G71" s="6" t="s">
        <v>380</v>
      </c>
      <c r="H71" s="7" t="s">
        <v>39</v>
      </c>
      <c r="I71" s="6" t="s">
        <v>47</v>
      </c>
      <c r="J71" s="7" t="s">
        <v>20</v>
      </c>
      <c r="K71" s="7" t="s">
        <v>26</v>
      </c>
      <c r="L71" s="6"/>
      <c r="M71" s="10">
        <v>5.3999999999999999E-2</v>
      </c>
      <c r="N71" s="6" t="s">
        <v>381</v>
      </c>
      <c r="O71" s="11">
        <v>8000</v>
      </c>
      <c r="P71" s="11">
        <f t="shared" si="3"/>
        <v>7621.03</v>
      </c>
      <c r="Q71" s="18">
        <v>1000</v>
      </c>
      <c r="R71" s="19"/>
    </row>
    <row r="72" spans="1:19" ht="28.8" hidden="1" x14ac:dyDescent="0.3">
      <c r="A72" s="6" t="s">
        <v>382</v>
      </c>
      <c r="B72" s="7" t="s">
        <v>383</v>
      </c>
      <c r="C72" s="17" t="s">
        <v>379</v>
      </c>
      <c r="D72" s="17"/>
      <c r="E72" s="8">
        <v>17520</v>
      </c>
      <c r="F72" s="9">
        <v>75</v>
      </c>
      <c r="G72" s="6" t="s">
        <v>384</v>
      </c>
      <c r="H72" s="7" t="s">
        <v>39</v>
      </c>
      <c r="I72" s="6" t="s">
        <v>385</v>
      </c>
      <c r="J72" s="7" t="s">
        <v>20</v>
      </c>
      <c r="K72" s="7" t="s">
        <v>26</v>
      </c>
      <c r="L72" s="6"/>
      <c r="M72" s="10">
        <v>5.8200000000000002E-2</v>
      </c>
      <c r="N72" s="6" t="s">
        <v>386</v>
      </c>
      <c r="O72" s="11">
        <v>7080</v>
      </c>
      <c r="P72" s="11">
        <f t="shared" si="3"/>
        <v>6196.14</v>
      </c>
      <c r="Q72" s="18">
        <v>885</v>
      </c>
      <c r="R72" s="19"/>
    </row>
    <row r="73" spans="1:19" hidden="1" x14ac:dyDescent="0.3">
      <c r="A73" s="6" t="s">
        <v>387</v>
      </c>
      <c r="B73" s="7" t="s">
        <v>219</v>
      </c>
      <c r="C73" s="17" t="s">
        <v>379</v>
      </c>
      <c r="D73" s="17"/>
      <c r="E73" s="7" t="s">
        <v>388</v>
      </c>
      <c r="F73" s="9">
        <v>80</v>
      </c>
      <c r="G73" s="6" t="s">
        <v>389</v>
      </c>
      <c r="H73" s="7" t="s">
        <v>25</v>
      </c>
      <c r="I73" s="6" t="s">
        <v>19</v>
      </c>
      <c r="J73" s="7" t="s">
        <v>20</v>
      </c>
      <c r="K73" s="7" t="s">
        <v>32</v>
      </c>
      <c r="L73" s="6"/>
      <c r="M73" s="10">
        <v>6.8199999999999997E-2</v>
      </c>
      <c r="N73" s="6" t="s">
        <v>390</v>
      </c>
      <c r="O73" s="6" t="s">
        <v>19</v>
      </c>
      <c r="P73" s="11" t="e">
        <f t="shared" si="3"/>
        <v>#VALUE!</v>
      </c>
      <c r="Q73" s="19" t="s">
        <v>19</v>
      </c>
      <c r="R73" s="19"/>
    </row>
    <row r="74" spans="1:19" hidden="1" x14ac:dyDescent="0.3">
      <c r="A74" s="6" t="s">
        <v>391</v>
      </c>
      <c r="B74" s="7" t="s">
        <v>154</v>
      </c>
      <c r="C74" s="17" t="s">
        <v>392</v>
      </c>
      <c r="D74" s="17"/>
      <c r="E74" s="8">
        <v>18091</v>
      </c>
      <c r="F74" s="9">
        <v>73</v>
      </c>
      <c r="G74" s="6" t="s">
        <v>393</v>
      </c>
      <c r="H74" s="7" t="s">
        <v>25</v>
      </c>
      <c r="I74" s="6"/>
      <c r="J74" s="7" t="s">
        <v>20</v>
      </c>
      <c r="K74" s="7" t="s">
        <v>26</v>
      </c>
      <c r="L74" s="6"/>
      <c r="M74" s="10">
        <v>5.5300000000000002E-2</v>
      </c>
      <c r="N74" s="6" t="s">
        <v>394</v>
      </c>
      <c r="O74" s="11">
        <v>30736.959999999999</v>
      </c>
      <c r="P74" s="11">
        <f t="shared" si="3"/>
        <v>26894.84</v>
      </c>
      <c r="Q74" s="18">
        <v>3.64</v>
      </c>
      <c r="R74" s="19"/>
    </row>
    <row r="75" spans="1:19" ht="43.2" hidden="1" x14ac:dyDescent="0.3">
      <c r="A75" s="6" t="s">
        <v>395</v>
      </c>
      <c r="B75" s="7" t="s">
        <v>330</v>
      </c>
      <c r="C75" s="17" t="s">
        <v>396</v>
      </c>
      <c r="D75" s="17"/>
      <c r="E75" s="8">
        <v>16952</v>
      </c>
      <c r="F75" s="9">
        <v>76</v>
      </c>
      <c r="G75" s="6" t="s">
        <v>397</v>
      </c>
      <c r="H75" s="7" t="s">
        <v>39</v>
      </c>
      <c r="I75" s="6" t="s">
        <v>398</v>
      </c>
      <c r="J75" s="7" t="s">
        <v>20</v>
      </c>
      <c r="K75" s="7" t="s">
        <v>26</v>
      </c>
      <c r="L75" s="6"/>
      <c r="M75" s="10">
        <v>5.9799999999999999E-2</v>
      </c>
      <c r="N75" s="6" t="s">
        <v>399</v>
      </c>
      <c r="O75" s="11">
        <v>15200</v>
      </c>
      <c r="P75" s="11">
        <f t="shared" si="3"/>
        <v>13800.59</v>
      </c>
      <c r="Q75" s="18">
        <v>1900</v>
      </c>
      <c r="R75" s="19"/>
    </row>
    <row r="76" spans="1:19" ht="43.2" hidden="1" x14ac:dyDescent="0.3">
      <c r="A76" s="6" t="s">
        <v>400</v>
      </c>
      <c r="B76" s="7" t="s">
        <v>401</v>
      </c>
      <c r="C76" s="17" t="s">
        <v>402</v>
      </c>
      <c r="D76" s="17"/>
      <c r="E76" s="8">
        <v>15797</v>
      </c>
      <c r="F76" s="9">
        <v>79</v>
      </c>
      <c r="G76" s="6" t="s">
        <v>403</v>
      </c>
      <c r="H76" s="7" t="s">
        <v>39</v>
      </c>
      <c r="I76" s="6" t="s">
        <v>47</v>
      </c>
      <c r="J76" s="7" t="s">
        <v>20</v>
      </c>
      <c r="K76" s="7" t="s">
        <v>26</v>
      </c>
      <c r="L76" s="6"/>
      <c r="M76" s="10">
        <v>6.5799999999999997E-2</v>
      </c>
      <c r="N76" s="6" t="s">
        <v>404</v>
      </c>
      <c r="O76" s="11">
        <v>8000</v>
      </c>
      <c r="P76" s="11">
        <f t="shared" si="3"/>
        <v>7280.8099999999995</v>
      </c>
      <c r="Q76" s="18">
        <v>1000</v>
      </c>
      <c r="R76" s="19"/>
    </row>
    <row r="77" spans="1:19" hidden="1" x14ac:dyDescent="0.3">
      <c r="A77" s="6" t="s">
        <v>405</v>
      </c>
      <c r="B77" s="7" t="s">
        <v>406</v>
      </c>
      <c r="C77" s="17" t="s">
        <v>407</v>
      </c>
      <c r="D77" s="17"/>
      <c r="E77" s="7" t="s">
        <v>408</v>
      </c>
      <c r="F77" s="9">
        <v>72</v>
      </c>
      <c r="G77" s="6" t="s">
        <v>409</v>
      </c>
      <c r="H77" s="7" t="s">
        <v>19</v>
      </c>
      <c r="I77" s="6" t="s">
        <v>19</v>
      </c>
      <c r="J77" s="7" t="s">
        <v>20</v>
      </c>
      <c r="K77" s="7"/>
      <c r="L77" s="6"/>
      <c r="M77" s="10">
        <v>5.3999999999999999E-2</v>
      </c>
      <c r="N77" s="6" t="s">
        <v>410</v>
      </c>
      <c r="O77" s="6" t="s">
        <v>19</v>
      </c>
      <c r="P77" s="11" t="e">
        <f t="shared" si="3"/>
        <v>#VALUE!</v>
      </c>
      <c r="Q77" s="19" t="s">
        <v>19</v>
      </c>
      <c r="R77" s="19"/>
    </row>
    <row r="78" spans="1:19" ht="43.2" x14ac:dyDescent="0.3">
      <c r="A78" s="6" t="s">
        <v>411</v>
      </c>
      <c r="B78" s="7" t="s">
        <v>412</v>
      </c>
      <c r="C78" s="17" t="s">
        <v>413</v>
      </c>
      <c r="D78" s="17"/>
      <c r="E78" s="8">
        <v>18209</v>
      </c>
      <c r="F78" s="9">
        <v>73</v>
      </c>
      <c r="G78" s="6" t="s">
        <v>414</v>
      </c>
      <c r="H78" s="7" t="s">
        <v>39</v>
      </c>
      <c r="I78" s="6" t="s">
        <v>415</v>
      </c>
      <c r="J78" s="7" t="s">
        <v>41</v>
      </c>
      <c r="K78" s="7" t="s">
        <v>26</v>
      </c>
      <c r="L78" s="9">
        <v>72</v>
      </c>
      <c r="M78" s="10">
        <v>5.3999999999999999E-2</v>
      </c>
      <c r="N78" s="6" t="s">
        <v>416</v>
      </c>
      <c r="O78" s="11">
        <v>16800</v>
      </c>
      <c r="P78" s="11">
        <f t="shared" si="3"/>
        <v>15236.11</v>
      </c>
      <c r="Q78" s="18">
        <v>2100</v>
      </c>
      <c r="R78" s="19"/>
      <c r="S78" s="2" t="str">
        <f>IF(P86&lt;O86,"CATCHUP","NONE")</f>
        <v>CATCHUP</v>
      </c>
    </row>
    <row r="79" spans="1:19" hidden="1" x14ac:dyDescent="0.3">
      <c r="A79" s="6" t="s">
        <v>417</v>
      </c>
      <c r="B79" s="7" t="s">
        <v>418</v>
      </c>
      <c r="C79" s="17" t="s">
        <v>419</v>
      </c>
      <c r="D79" s="17"/>
      <c r="E79" s="7" t="s">
        <v>420</v>
      </c>
      <c r="F79" s="9">
        <v>80</v>
      </c>
      <c r="G79" s="6" t="s">
        <v>421</v>
      </c>
      <c r="H79" s="7" t="s">
        <v>25</v>
      </c>
      <c r="I79" s="6" t="s">
        <v>19</v>
      </c>
      <c r="J79" s="7" t="s">
        <v>41</v>
      </c>
      <c r="K79" s="7" t="s">
        <v>32</v>
      </c>
      <c r="L79" s="9">
        <v>75</v>
      </c>
      <c r="M79" s="10">
        <v>5.8200000000000002E-2</v>
      </c>
      <c r="N79" s="6" t="s">
        <v>422</v>
      </c>
      <c r="O79" s="6" t="s">
        <v>19</v>
      </c>
      <c r="P79" s="11" t="e">
        <f t="shared" si="3"/>
        <v>#VALUE!</v>
      </c>
      <c r="Q79" s="19" t="s">
        <v>19</v>
      </c>
      <c r="R79" s="19"/>
    </row>
    <row r="80" spans="1:19" ht="43.2" hidden="1" x14ac:dyDescent="0.3">
      <c r="A80" s="6" t="s">
        <v>423</v>
      </c>
      <c r="B80" s="7" t="s">
        <v>424</v>
      </c>
      <c r="C80" s="17" t="s">
        <v>425</v>
      </c>
      <c r="D80" s="17"/>
      <c r="E80" s="8">
        <v>18490</v>
      </c>
      <c r="F80" s="9">
        <v>72</v>
      </c>
      <c r="G80" s="6" t="s">
        <v>426</v>
      </c>
      <c r="H80" s="7" t="s">
        <v>39</v>
      </c>
      <c r="I80" s="6" t="s">
        <v>40</v>
      </c>
      <c r="J80" s="7" t="s">
        <v>20</v>
      </c>
      <c r="K80" s="7" t="s">
        <v>26</v>
      </c>
      <c r="L80" s="6"/>
      <c r="M80" s="10">
        <v>5.3999999999999999E-2</v>
      </c>
      <c r="N80" s="6" t="s">
        <v>427</v>
      </c>
      <c r="O80" s="11">
        <v>24000</v>
      </c>
      <c r="P80" s="11">
        <f t="shared" si="3"/>
        <v>21945.64</v>
      </c>
      <c r="Q80" s="18">
        <v>3000</v>
      </c>
      <c r="R80" s="19"/>
    </row>
    <row r="81" spans="1:19" ht="43.2" hidden="1" x14ac:dyDescent="0.3">
      <c r="A81" s="6" t="s">
        <v>428</v>
      </c>
      <c r="B81" s="7" t="s">
        <v>429</v>
      </c>
      <c r="C81" s="17" t="s">
        <v>430</v>
      </c>
      <c r="D81" s="17"/>
      <c r="E81" s="8">
        <v>17664</v>
      </c>
      <c r="F81" s="9">
        <v>74</v>
      </c>
      <c r="G81" s="6" t="s">
        <v>431</v>
      </c>
      <c r="H81" s="7" t="s">
        <v>39</v>
      </c>
      <c r="I81" s="6" t="s">
        <v>432</v>
      </c>
      <c r="J81" s="7" t="s">
        <v>20</v>
      </c>
      <c r="K81" s="7" t="s">
        <v>26</v>
      </c>
      <c r="L81" s="6"/>
      <c r="M81" s="10">
        <v>5.67E-2</v>
      </c>
      <c r="N81" s="6" t="s">
        <v>433</v>
      </c>
      <c r="O81" s="11">
        <v>19200</v>
      </c>
      <c r="P81" s="11">
        <f t="shared" si="3"/>
        <v>17317.07</v>
      </c>
      <c r="Q81" s="18">
        <v>2400</v>
      </c>
      <c r="R81" s="19"/>
    </row>
    <row r="82" spans="1:19" x14ac:dyDescent="0.3">
      <c r="A82" s="6" t="s">
        <v>434</v>
      </c>
      <c r="B82" s="7" t="s">
        <v>435</v>
      </c>
      <c r="C82" s="17" t="s">
        <v>436</v>
      </c>
      <c r="D82" s="17"/>
      <c r="E82" s="8">
        <v>16952</v>
      </c>
      <c r="F82" s="9">
        <v>76</v>
      </c>
      <c r="G82" s="6" t="s">
        <v>437</v>
      </c>
      <c r="H82" s="7" t="s">
        <v>25</v>
      </c>
      <c r="I82" s="6"/>
      <c r="J82" s="7" t="s">
        <v>41</v>
      </c>
      <c r="K82" s="7" t="s">
        <v>26</v>
      </c>
      <c r="L82" s="9">
        <v>72</v>
      </c>
      <c r="M82" s="10">
        <v>5.3999999999999999E-2</v>
      </c>
      <c r="N82" s="6" t="s">
        <v>438</v>
      </c>
      <c r="O82" s="11">
        <v>22750.799999999999</v>
      </c>
      <c r="P82" s="11">
        <f t="shared" si="3"/>
        <v>19906.95</v>
      </c>
      <c r="Q82" s="18">
        <v>2843.85</v>
      </c>
      <c r="R82" s="19"/>
      <c r="S82" s="2" t="e">
        <f>IF(P90&lt;O90,"CATCHUP","NONE")</f>
        <v>#VALUE!</v>
      </c>
    </row>
    <row r="83" spans="1:19" ht="43.2" hidden="1" x14ac:dyDescent="0.3">
      <c r="A83" s="6" t="s">
        <v>439</v>
      </c>
      <c r="B83" s="7" t="s">
        <v>440</v>
      </c>
      <c r="C83" s="17" t="s">
        <v>441</v>
      </c>
      <c r="D83" s="17"/>
      <c r="E83" s="8">
        <v>18053</v>
      </c>
      <c r="F83" s="9">
        <v>73</v>
      </c>
      <c r="G83" s="6" t="s">
        <v>443</v>
      </c>
      <c r="H83" s="7" t="s">
        <v>39</v>
      </c>
      <c r="I83" s="6" t="s">
        <v>144</v>
      </c>
      <c r="J83" s="7" t="s">
        <v>20</v>
      </c>
      <c r="K83" s="7" t="s">
        <v>26</v>
      </c>
      <c r="L83" s="6"/>
      <c r="M83" s="10">
        <v>5.5300000000000002E-2</v>
      </c>
      <c r="N83" s="6" t="s">
        <v>444</v>
      </c>
      <c r="O83" s="11">
        <v>40000</v>
      </c>
      <c r="P83" s="11">
        <f t="shared" si="3"/>
        <v>33823.129999999997</v>
      </c>
      <c r="Q83" s="18">
        <v>0.89</v>
      </c>
      <c r="R83" s="19"/>
    </row>
    <row r="84" spans="1:19" ht="43.2" hidden="1" x14ac:dyDescent="0.3">
      <c r="A84" s="6" t="s">
        <v>445</v>
      </c>
      <c r="B84" s="7" t="s">
        <v>412</v>
      </c>
      <c r="C84" s="17" t="s">
        <v>446</v>
      </c>
      <c r="D84" s="17"/>
      <c r="E84" s="8">
        <v>16246</v>
      </c>
      <c r="F84" s="9">
        <v>78</v>
      </c>
      <c r="G84" s="6" t="s">
        <v>447</v>
      </c>
      <c r="H84" s="7" t="s">
        <v>39</v>
      </c>
      <c r="I84" s="6" t="s">
        <v>448</v>
      </c>
      <c r="J84" s="7" t="s">
        <v>20</v>
      </c>
      <c r="K84" s="7" t="s">
        <v>26</v>
      </c>
      <c r="L84" s="6"/>
      <c r="M84" s="10">
        <v>6.3600000000000004E-2</v>
      </c>
      <c r="N84" s="6" t="s">
        <v>449</v>
      </c>
      <c r="O84" s="11">
        <v>26400</v>
      </c>
      <c r="P84" s="11">
        <f t="shared" si="3"/>
        <v>23098.52</v>
      </c>
      <c r="Q84" s="18">
        <v>3300</v>
      </c>
      <c r="R84" s="19"/>
    </row>
    <row r="85" spans="1:19" ht="43.2" hidden="1" x14ac:dyDescent="0.3">
      <c r="A85" s="6" t="s">
        <v>450</v>
      </c>
      <c r="B85" s="7" t="s">
        <v>451</v>
      </c>
      <c r="C85" s="17" t="s">
        <v>452</v>
      </c>
      <c r="D85" s="17"/>
      <c r="E85" s="8">
        <v>16836</v>
      </c>
      <c r="F85" s="9">
        <v>76</v>
      </c>
      <c r="G85" s="6" t="s">
        <v>453</v>
      </c>
      <c r="H85" s="7" t="s">
        <v>39</v>
      </c>
      <c r="I85" s="6" t="s">
        <v>151</v>
      </c>
      <c r="J85" s="7" t="s">
        <v>20</v>
      </c>
      <c r="K85" s="7" t="s">
        <v>26</v>
      </c>
      <c r="L85" s="6"/>
      <c r="M85" s="10">
        <v>5.9799999999999999E-2</v>
      </c>
      <c r="N85" s="6" t="s">
        <v>454</v>
      </c>
      <c r="O85" s="11">
        <v>20000</v>
      </c>
      <c r="P85" s="11">
        <f t="shared" si="3"/>
        <v>18456.080000000002</v>
      </c>
      <c r="Q85" s="18">
        <v>2500</v>
      </c>
      <c r="R85" s="19"/>
    </row>
    <row r="86" spans="1:19" x14ac:dyDescent="0.3">
      <c r="A86" s="6" t="s">
        <v>455</v>
      </c>
      <c r="B86" s="7" t="s">
        <v>456</v>
      </c>
      <c r="C86" s="17" t="s">
        <v>457</v>
      </c>
      <c r="D86" s="17"/>
      <c r="E86" s="8">
        <v>18551</v>
      </c>
      <c r="F86" s="9">
        <v>72</v>
      </c>
      <c r="G86" s="6" t="s">
        <v>458</v>
      </c>
      <c r="H86" s="7" t="s">
        <v>25</v>
      </c>
      <c r="I86" s="6"/>
      <c r="J86" s="7" t="s">
        <v>41</v>
      </c>
      <c r="K86" s="7" t="s">
        <v>32</v>
      </c>
      <c r="L86" s="9">
        <v>65</v>
      </c>
      <c r="M86" s="10">
        <v>0.04</v>
      </c>
      <c r="N86" s="6" t="s">
        <v>459</v>
      </c>
      <c r="O86" s="11">
        <v>6275.72</v>
      </c>
      <c r="P86" s="11">
        <f t="shared" si="3"/>
        <v>5752.74</v>
      </c>
      <c r="Q86" s="18">
        <v>2003.03</v>
      </c>
      <c r="R86" s="19"/>
      <c r="S86" s="2" t="str">
        <f>IF(P94&lt;O94,"CATCHUP","NONE")</f>
        <v>CATCHUP</v>
      </c>
    </row>
    <row r="87" spans="1:19" ht="43.2" hidden="1" x14ac:dyDescent="0.3">
      <c r="A87" s="6" t="s">
        <v>460</v>
      </c>
      <c r="B87" s="7" t="s">
        <v>270</v>
      </c>
      <c r="C87" s="17" t="s">
        <v>461</v>
      </c>
      <c r="D87" s="17"/>
      <c r="E87" s="8">
        <v>17233</v>
      </c>
      <c r="F87" s="9">
        <v>75</v>
      </c>
      <c r="G87" s="6" t="s">
        <v>462</v>
      </c>
      <c r="H87" s="7" t="s">
        <v>39</v>
      </c>
      <c r="I87" s="6" t="s">
        <v>463</v>
      </c>
      <c r="J87" s="7" t="s">
        <v>20</v>
      </c>
      <c r="K87" s="7" t="s">
        <v>26</v>
      </c>
      <c r="L87" s="6"/>
      <c r="M87" s="10">
        <v>5.8200000000000002E-2</v>
      </c>
      <c r="N87" s="6" t="s">
        <v>464</v>
      </c>
      <c r="O87" s="11">
        <v>51200</v>
      </c>
      <c r="P87" s="11">
        <f t="shared" si="3"/>
        <v>45189.85</v>
      </c>
      <c r="Q87" s="18">
        <v>6400</v>
      </c>
      <c r="R87" s="19"/>
    </row>
    <row r="88" spans="1:19" hidden="1" x14ac:dyDescent="0.3">
      <c r="A88" s="6" t="s">
        <v>465</v>
      </c>
      <c r="B88" s="7" t="s">
        <v>466</v>
      </c>
      <c r="C88" s="17" t="s">
        <v>467</v>
      </c>
      <c r="D88" s="17"/>
      <c r="E88" s="7" t="s">
        <v>468</v>
      </c>
      <c r="F88" s="9">
        <v>75</v>
      </c>
      <c r="G88" s="6" t="s">
        <v>469</v>
      </c>
      <c r="H88" s="7" t="s">
        <v>25</v>
      </c>
      <c r="I88" s="6" t="s">
        <v>19</v>
      </c>
      <c r="J88" s="7" t="s">
        <v>20</v>
      </c>
      <c r="K88" s="7" t="s">
        <v>26</v>
      </c>
      <c r="L88" s="6"/>
      <c r="M88" s="10">
        <v>5.8200000000000002E-2</v>
      </c>
      <c r="N88" s="6" t="s">
        <v>470</v>
      </c>
      <c r="O88" s="6" t="s">
        <v>19</v>
      </c>
      <c r="P88" s="11" t="e">
        <f t="shared" si="3"/>
        <v>#VALUE!</v>
      </c>
      <c r="Q88" s="19" t="s">
        <v>19</v>
      </c>
      <c r="R88" s="19"/>
    </row>
    <row r="89" spans="1:19" ht="28.8" hidden="1" x14ac:dyDescent="0.3">
      <c r="A89" s="6" t="s">
        <v>471</v>
      </c>
      <c r="B89" s="7" t="s">
        <v>338</v>
      </c>
      <c r="C89" s="17" t="s">
        <v>467</v>
      </c>
      <c r="D89" s="17"/>
      <c r="E89" s="8">
        <v>17019</v>
      </c>
      <c r="F89" s="9">
        <v>76</v>
      </c>
      <c r="G89" s="6" t="s">
        <v>473</v>
      </c>
      <c r="H89" s="7" t="s">
        <v>39</v>
      </c>
      <c r="I89" s="6" t="s">
        <v>176</v>
      </c>
      <c r="J89" s="7" t="s">
        <v>20</v>
      </c>
      <c r="K89" s="7" t="s">
        <v>26</v>
      </c>
      <c r="L89" s="6"/>
      <c r="M89" s="10">
        <v>5.9799999999999999E-2</v>
      </c>
      <c r="N89" s="6" t="s">
        <v>474</v>
      </c>
      <c r="O89" s="11">
        <v>4800</v>
      </c>
      <c r="P89" s="11">
        <f t="shared" si="3"/>
        <v>4544.49</v>
      </c>
      <c r="Q89" s="18">
        <v>600</v>
      </c>
      <c r="R89" s="19"/>
    </row>
    <row r="90" spans="1:19" hidden="1" x14ac:dyDescent="0.3">
      <c r="A90" s="6" t="s">
        <v>475</v>
      </c>
      <c r="B90" s="7" t="s">
        <v>476</v>
      </c>
      <c r="C90" s="17" t="s">
        <v>477</v>
      </c>
      <c r="D90" s="17"/>
      <c r="E90" s="7" t="s">
        <v>478</v>
      </c>
      <c r="F90" s="9">
        <v>75</v>
      </c>
      <c r="G90" s="6" t="s">
        <v>479</v>
      </c>
      <c r="H90" s="7" t="s">
        <v>25</v>
      </c>
      <c r="I90" s="6" t="s">
        <v>19</v>
      </c>
      <c r="J90" s="7" t="s">
        <v>20</v>
      </c>
      <c r="K90" s="7" t="s">
        <v>32</v>
      </c>
      <c r="L90" s="6"/>
      <c r="M90" s="10">
        <v>5.8200000000000002E-2</v>
      </c>
      <c r="N90" s="6" t="s">
        <v>480</v>
      </c>
      <c r="O90" s="6" t="s">
        <v>19</v>
      </c>
      <c r="P90" s="11" t="e">
        <f t="shared" si="3"/>
        <v>#VALUE!</v>
      </c>
      <c r="Q90" s="19" t="s">
        <v>19</v>
      </c>
      <c r="R90" s="19"/>
    </row>
    <row r="91" spans="1:19" hidden="1" x14ac:dyDescent="0.3">
      <c r="A91" s="6" t="s">
        <v>481</v>
      </c>
      <c r="B91" s="7" t="s">
        <v>482</v>
      </c>
      <c r="C91" s="17" t="s">
        <v>483</v>
      </c>
      <c r="D91" s="17"/>
      <c r="E91" s="7" t="s">
        <v>484</v>
      </c>
      <c r="F91" s="9">
        <v>74</v>
      </c>
      <c r="G91" s="6" t="s">
        <v>485</v>
      </c>
      <c r="H91" s="7" t="s">
        <v>25</v>
      </c>
      <c r="I91" s="6" t="s">
        <v>19</v>
      </c>
      <c r="J91" s="7" t="s">
        <v>20</v>
      </c>
      <c r="K91" s="7" t="s">
        <v>26</v>
      </c>
      <c r="L91" s="6"/>
      <c r="M91" s="10">
        <v>5.67E-2</v>
      </c>
      <c r="N91" s="6" t="s">
        <v>486</v>
      </c>
      <c r="O91" s="6" t="s">
        <v>19</v>
      </c>
      <c r="P91" s="11" t="e">
        <f t="shared" si="3"/>
        <v>#VALUE!</v>
      </c>
      <c r="Q91" s="19" t="s">
        <v>19</v>
      </c>
      <c r="R91" s="19"/>
    </row>
    <row r="92" spans="1:19" ht="43.2" x14ac:dyDescent="0.3">
      <c r="A92" s="6" t="s">
        <v>487</v>
      </c>
      <c r="B92" s="7" t="s">
        <v>488</v>
      </c>
      <c r="C92" s="17" t="s">
        <v>489</v>
      </c>
      <c r="D92" s="17"/>
      <c r="E92" s="8">
        <v>17875</v>
      </c>
      <c r="F92" s="9">
        <v>74</v>
      </c>
      <c r="G92" s="6" t="s">
        <v>490</v>
      </c>
      <c r="H92" s="7" t="s">
        <v>39</v>
      </c>
      <c r="I92" s="6" t="s">
        <v>40</v>
      </c>
      <c r="J92" s="7" t="s">
        <v>41</v>
      </c>
      <c r="K92" s="7" t="s">
        <v>32</v>
      </c>
      <c r="L92" s="9">
        <v>71</v>
      </c>
      <c r="M92" s="10">
        <v>5.28E-2</v>
      </c>
      <c r="N92" s="6" t="s">
        <v>491</v>
      </c>
      <c r="O92" s="11">
        <v>3000</v>
      </c>
      <c r="P92" s="11">
        <f t="shared" si="3"/>
        <v>2819.75</v>
      </c>
      <c r="Q92" s="18">
        <v>3000</v>
      </c>
      <c r="R92" s="19"/>
      <c r="S92" s="2" t="str">
        <f>IF(P100&lt;O100,"CATCHUP","NONE")</f>
        <v>CATCHUP</v>
      </c>
    </row>
    <row r="93" spans="1:19" hidden="1" x14ac:dyDescent="0.3">
      <c r="A93" s="6" t="s">
        <v>492</v>
      </c>
      <c r="B93" s="7" t="s">
        <v>493</v>
      </c>
      <c r="C93" s="17" t="s">
        <v>494</v>
      </c>
      <c r="D93" s="17"/>
      <c r="E93" s="8">
        <v>15483</v>
      </c>
      <c r="F93" s="9">
        <v>80</v>
      </c>
      <c r="G93" s="6" t="s">
        <v>495</v>
      </c>
      <c r="H93" s="7" t="s">
        <v>25</v>
      </c>
      <c r="I93" s="6"/>
      <c r="J93" s="7" t="s">
        <v>20</v>
      </c>
      <c r="K93" s="7" t="s">
        <v>26</v>
      </c>
      <c r="L93" s="6"/>
      <c r="M93" s="10">
        <v>6.8199999999999997E-2</v>
      </c>
      <c r="N93" s="6" t="s">
        <v>496</v>
      </c>
      <c r="O93" s="11">
        <v>2142.2399999999998</v>
      </c>
      <c r="P93" s="11">
        <f t="shared" si="3"/>
        <v>1874.4599999999998</v>
      </c>
      <c r="Q93" s="18">
        <v>267.77999999999997</v>
      </c>
      <c r="R93" s="19"/>
    </row>
    <row r="94" spans="1:19" x14ac:dyDescent="0.3">
      <c r="A94" s="6" t="s">
        <v>497</v>
      </c>
      <c r="B94" s="7" t="s">
        <v>498</v>
      </c>
      <c r="C94" s="17" t="s">
        <v>499</v>
      </c>
      <c r="D94" s="17"/>
      <c r="E94" s="8">
        <v>18429</v>
      </c>
      <c r="F94" s="9">
        <v>72</v>
      </c>
      <c r="G94" s="6" t="s">
        <v>500</v>
      </c>
      <c r="H94" s="7" t="s">
        <v>25</v>
      </c>
      <c r="I94" s="6"/>
      <c r="J94" s="7" t="s">
        <v>41</v>
      </c>
      <c r="K94" s="7" t="s">
        <v>26</v>
      </c>
      <c r="L94" s="9">
        <v>68</v>
      </c>
      <c r="M94" s="10">
        <v>4.5499999999999999E-2</v>
      </c>
      <c r="N94" s="6" t="s">
        <v>501</v>
      </c>
      <c r="O94" s="11">
        <v>60000</v>
      </c>
      <c r="P94" s="11">
        <f t="shared" si="3"/>
        <v>57690.32</v>
      </c>
      <c r="Q94" s="18">
        <v>60000</v>
      </c>
      <c r="R94" s="19"/>
      <c r="S94" s="2" t="str">
        <f>IF(P102&lt;O102,"CATCHUP","NONE")</f>
        <v>CATCHUP</v>
      </c>
    </row>
    <row r="95" spans="1:19" hidden="1" x14ac:dyDescent="0.3">
      <c r="A95" s="6" t="s">
        <v>502</v>
      </c>
      <c r="B95" s="7" t="s">
        <v>503</v>
      </c>
      <c r="C95" s="17" t="s">
        <v>504</v>
      </c>
      <c r="D95" s="17"/>
      <c r="E95" s="7" t="s">
        <v>505</v>
      </c>
      <c r="F95" s="9">
        <v>78</v>
      </c>
      <c r="G95" s="6" t="s">
        <v>506</v>
      </c>
      <c r="H95" s="7" t="s">
        <v>25</v>
      </c>
      <c r="I95" s="6" t="s">
        <v>19</v>
      </c>
      <c r="J95" s="7" t="s">
        <v>20</v>
      </c>
      <c r="K95" s="7" t="s">
        <v>32</v>
      </c>
      <c r="L95" s="6"/>
      <c r="M95" s="10">
        <v>6.3600000000000004E-2</v>
      </c>
      <c r="N95" s="6" t="s">
        <v>507</v>
      </c>
      <c r="O95" s="6" t="s">
        <v>19</v>
      </c>
      <c r="P95" s="11" t="e">
        <f t="shared" si="3"/>
        <v>#VALUE!</v>
      </c>
      <c r="Q95" s="19" t="s">
        <v>19</v>
      </c>
      <c r="R95" s="19"/>
    </row>
    <row r="96" spans="1:19" ht="43.2" hidden="1" x14ac:dyDescent="0.3">
      <c r="A96" s="6" t="s">
        <v>508</v>
      </c>
      <c r="B96" s="7" t="s">
        <v>509</v>
      </c>
      <c r="C96" s="17" t="s">
        <v>504</v>
      </c>
      <c r="D96" s="17"/>
      <c r="E96" s="8">
        <v>18314</v>
      </c>
      <c r="F96" s="9">
        <v>72</v>
      </c>
      <c r="G96" s="6" t="s">
        <v>511</v>
      </c>
      <c r="H96" s="7" t="s">
        <v>39</v>
      </c>
      <c r="I96" s="6" t="s">
        <v>40</v>
      </c>
      <c r="J96" s="7" t="s">
        <v>20</v>
      </c>
      <c r="K96" s="7" t="s">
        <v>26</v>
      </c>
      <c r="L96" s="6"/>
      <c r="M96" s="10">
        <v>5.3999999999999999E-2</v>
      </c>
      <c r="N96" s="6" t="s">
        <v>512</v>
      </c>
      <c r="O96" s="11">
        <v>24000</v>
      </c>
      <c r="P96" s="11">
        <f t="shared" si="3"/>
        <v>21413.16</v>
      </c>
      <c r="Q96" s="18">
        <v>3000</v>
      </c>
      <c r="R96" s="19"/>
    </row>
    <row r="97" spans="1:19" hidden="1" x14ac:dyDescent="0.3">
      <c r="A97" s="6" t="s">
        <v>513</v>
      </c>
      <c r="B97" s="7" t="s">
        <v>125</v>
      </c>
      <c r="C97" s="17" t="s">
        <v>514</v>
      </c>
      <c r="D97" s="17"/>
      <c r="E97" s="7" t="s">
        <v>515</v>
      </c>
      <c r="F97" s="9">
        <v>76</v>
      </c>
      <c r="G97" s="6" t="s">
        <v>516</v>
      </c>
      <c r="H97" s="7" t="s">
        <v>25</v>
      </c>
      <c r="I97" s="6" t="s">
        <v>19</v>
      </c>
      <c r="J97" s="7" t="s">
        <v>41</v>
      </c>
      <c r="K97" s="7" t="s">
        <v>32</v>
      </c>
      <c r="L97" s="9">
        <v>75</v>
      </c>
      <c r="M97" s="10">
        <v>5.8200000000000002E-2</v>
      </c>
      <c r="N97" s="6" t="s">
        <v>517</v>
      </c>
      <c r="O97" s="6" t="s">
        <v>19</v>
      </c>
      <c r="P97" s="11" t="e">
        <f t="shared" si="3"/>
        <v>#VALUE!</v>
      </c>
      <c r="Q97" s="19" t="s">
        <v>19</v>
      </c>
      <c r="R97" s="19"/>
    </row>
    <row r="98" spans="1:19" ht="43.2" x14ac:dyDescent="0.3">
      <c r="A98" s="6" t="s">
        <v>518</v>
      </c>
      <c r="B98" s="7" t="s">
        <v>519</v>
      </c>
      <c r="C98" s="17" t="s">
        <v>520</v>
      </c>
      <c r="D98" s="17"/>
      <c r="E98" s="8">
        <v>18524</v>
      </c>
      <c r="F98" s="9">
        <v>72</v>
      </c>
      <c r="G98" s="6" t="s">
        <v>521</v>
      </c>
      <c r="H98" s="7" t="s">
        <v>39</v>
      </c>
      <c r="I98" s="6" t="s">
        <v>522</v>
      </c>
      <c r="J98" s="7" t="s">
        <v>41</v>
      </c>
      <c r="K98" s="7" t="s">
        <v>26</v>
      </c>
      <c r="L98" s="9">
        <v>61</v>
      </c>
      <c r="M98" s="10">
        <v>3.4500000000000003E-2</v>
      </c>
      <c r="N98" s="6" t="s">
        <v>523</v>
      </c>
      <c r="O98" s="11">
        <v>31200</v>
      </c>
      <c r="P98" s="11">
        <f t="shared" si="3"/>
        <v>28741.489999999998</v>
      </c>
      <c r="Q98" s="18">
        <v>3600</v>
      </c>
      <c r="R98" s="19"/>
      <c r="S98" s="2" t="str">
        <f>IF(P106&lt;O106,"CATCHUP","NONE")</f>
        <v>CATCHUP</v>
      </c>
    </row>
    <row r="99" spans="1:19" hidden="1" x14ac:dyDescent="0.3">
      <c r="A99" s="6" t="s">
        <v>524</v>
      </c>
      <c r="B99" s="7" t="s">
        <v>525</v>
      </c>
      <c r="C99" s="17" t="s">
        <v>526</v>
      </c>
      <c r="D99" s="17"/>
      <c r="E99" s="7" t="s">
        <v>527</v>
      </c>
      <c r="F99" s="9">
        <v>82</v>
      </c>
      <c r="G99" s="6" t="s">
        <v>528</v>
      </c>
      <c r="H99" s="7" t="s">
        <v>25</v>
      </c>
      <c r="I99" s="6" t="s">
        <v>19</v>
      </c>
      <c r="J99" s="7" t="s">
        <v>20</v>
      </c>
      <c r="K99" s="7" t="s">
        <v>32</v>
      </c>
      <c r="L99" s="6"/>
      <c r="M99" s="10">
        <v>7.3800000000000004E-2</v>
      </c>
      <c r="N99" s="6" t="s">
        <v>529</v>
      </c>
      <c r="O99" s="6" t="s">
        <v>19</v>
      </c>
      <c r="P99" s="11" t="e">
        <f t="shared" si="3"/>
        <v>#VALUE!</v>
      </c>
      <c r="Q99" s="19" t="s">
        <v>19</v>
      </c>
      <c r="R99" s="19"/>
    </row>
    <row r="100" spans="1:19" ht="43.2" hidden="1" x14ac:dyDescent="0.3">
      <c r="A100" s="6" t="s">
        <v>530</v>
      </c>
      <c r="B100" s="7" t="s">
        <v>531</v>
      </c>
      <c r="C100" s="17" t="s">
        <v>526</v>
      </c>
      <c r="D100" s="17"/>
      <c r="E100" s="8">
        <v>16997</v>
      </c>
      <c r="F100" s="9">
        <v>76</v>
      </c>
      <c r="G100" s="6" t="s">
        <v>532</v>
      </c>
      <c r="H100" s="7" t="s">
        <v>39</v>
      </c>
      <c r="I100" s="6" t="s">
        <v>533</v>
      </c>
      <c r="J100" s="7" t="s">
        <v>20</v>
      </c>
      <c r="K100" s="7" t="s">
        <v>26</v>
      </c>
      <c r="L100" s="6"/>
      <c r="M100" s="10">
        <v>5.9799999999999999E-2</v>
      </c>
      <c r="N100" s="6" t="s">
        <v>534</v>
      </c>
      <c r="O100" s="11">
        <v>80000</v>
      </c>
      <c r="P100" s="11">
        <f t="shared" si="3"/>
        <v>73154.02</v>
      </c>
      <c r="Q100" s="18">
        <v>10000</v>
      </c>
      <c r="R100" s="19"/>
    </row>
    <row r="101" spans="1:19" ht="43.2" x14ac:dyDescent="0.3">
      <c r="A101" s="6" t="s">
        <v>535</v>
      </c>
      <c r="B101" s="7" t="s">
        <v>195</v>
      </c>
      <c r="C101" s="17" t="s">
        <v>536</v>
      </c>
      <c r="D101" s="17"/>
      <c r="E101" s="8">
        <v>18262</v>
      </c>
      <c r="F101" s="9">
        <v>73</v>
      </c>
      <c r="G101" s="6" t="s">
        <v>537</v>
      </c>
      <c r="H101" s="7" t="s">
        <v>39</v>
      </c>
      <c r="I101" s="6" t="s">
        <v>538</v>
      </c>
      <c r="J101" s="7" t="s">
        <v>41</v>
      </c>
      <c r="K101" s="7" t="s">
        <v>26</v>
      </c>
      <c r="L101" s="9">
        <v>70</v>
      </c>
      <c r="M101" s="10">
        <v>0.05</v>
      </c>
      <c r="N101" s="6" t="s">
        <v>539</v>
      </c>
      <c r="O101" s="11">
        <v>12200</v>
      </c>
      <c r="P101" s="11">
        <f t="shared" si="3"/>
        <v>11363.79</v>
      </c>
      <c r="Q101" s="18">
        <v>1600</v>
      </c>
      <c r="R101" s="19"/>
      <c r="S101" s="2" t="str">
        <f>IF(P109&lt;O109,"CATCHUP","NONE")</f>
        <v>CATCHUP</v>
      </c>
    </row>
    <row r="102" spans="1:19" ht="43.2" hidden="1" x14ac:dyDescent="0.3">
      <c r="A102" s="6" t="s">
        <v>540</v>
      </c>
      <c r="B102" s="7" t="s">
        <v>541</v>
      </c>
      <c r="C102" s="17" t="s">
        <v>536</v>
      </c>
      <c r="D102" s="17"/>
      <c r="E102" s="8">
        <v>15378</v>
      </c>
      <c r="F102" s="9">
        <v>80</v>
      </c>
      <c r="G102" s="6" t="s">
        <v>542</v>
      </c>
      <c r="H102" s="7" t="s">
        <v>39</v>
      </c>
      <c r="I102" s="6" t="s">
        <v>132</v>
      </c>
      <c r="J102" s="7" t="s">
        <v>20</v>
      </c>
      <c r="K102" s="7" t="s">
        <v>32</v>
      </c>
      <c r="L102" s="6"/>
      <c r="M102" s="10">
        <v>6.8199999999999997E-2</v>
      </c>
      <c r="N102" s="6" t="s">
        <v>543</v>
      </c>
      <c r="O102" s="11">
        <v>1500</v>
      </c>
      <c r="P102" s="11">
        <f t="shared" si="3"/>
        <v>1434.45</v>
      </c>
      <c r="Q102" s="18">
        <v>1500</v>
      </c>
      <c r="R102" s="19"/>
    </row>
    <row r="103" spans="1:19" ht="43.2" hidden="1" x14ac:dyDescent="0.3">
      <c r="A103" s="6" t="s">
        <v>544</v>
      </c>
      <c r="B103" s="7" t="s">
        <v>349</v>
      </c>
      <c r="C103" s="17" t="s">
        <v>545</v>
      </c>
      <c r="D103" s="17"/>
      <c r="E103" s="8">
        <v>16903</v>
      </c>
      <c r="F103" s="9">
        <v>76</v>
      </c>
      <c r="G103" s="6" t="s">
        <v>546</v>
      </c>
      <c r="H103" s="7" t="s">
        <v>39</v>
      </c>
      <c r="I103" s="6" t="s">
        <v>547</v>
      </c>
      <c r="J103" s="7" t="s">
        <v>20</v>
      </c>
      <c r="K103" s="7" t="s">
        <v>26</v>
      </c>
      <c r="L103" s="6"/>
      <c r="M103" s="10">
        <v>5.9799999999999999E-2</v>
      </c>
      <c r="N103" s="6" t="s">
        <v>548</v>
      </c>
      <c r="O103" s="11">
        <v>34800</v>
      </c>
      <c r="P103" s="11">
        <f t="shared" si="3"/>
        <v>31197.42</v>
      </c>
      <c r="Q103" s="18">
        <v>4350</v>
      </c>
      <c r="R103" s="19"/>
    </row>
    <row r="104" spans="1:19" hidden="1" x14ac:dyDescent="0.3">
      <c r="A104" s="6" t="s">
        <v>549</v>
      </c>
      <c r="B104" s="7" t="s">
        <v>550</v>
      </c>
      <c r="C104" s="17" t="s">
        <v>551</v>
      </c>
      <c r="D104" s="17"/>
      <c r="E104" s="7" t="s">
        <v>552</v>
      </c>
      <c r="F104" s="9">
        <v>76</v>
      </c>
      <c r="G104" s="6" t="s">
        <v>553</v>
      </c>
      <c r="H104" s="7" t="s">
        <v>25</v>
      </c>
      <c r="I104" s="6" t="s">
        <v>19</v>
      </c>
      <c r="J104" s="7" t="s">
        <v>20</v>
      </c>
      <c r="K104" s="7" t="s">
        <v>32</v>
      </c>
      <c r="L104" s="6"/>
      <c r="M104" s="10">
        <v>5.9799999999999999E-2</v>
      </c>
      <c r="N104" s="6" t="s">
        <v>554</v>
      </c>
      <c r="O104" s="6" t="s">
        <v>19</v>
      </c>
      <c r="P104" s="11" t="e">
        <f t="shared" si="3"/>
        <v>#VALUE!</v>
      </c>
      <c r="Q104" s="19" t="s">
        <v>19</v>
      </c>
      <c r="R104" s="19"/>
    </row>
    <row r="105" spans="1:19" hidden="1" x14ac:dyDescent="0.3">
      <c r="A105" s="6" t="s">
        <v>555</v>
      </c>
      <c r="B105" s="7" t="s">
        <v>556</v>
      </c>
      <c r="C105" s="17" t="s">
        <v>557</v>
      </c>
      <c r="D105" s="17"/>
      <c r="E105" s="7" t="s">
        <v>558</v>
      </c>
      <c r="F105" s="9">
        <v>74</v>
      </c>
      <c r="G105" s="6" t="s">
        <v>559</v>
      </c>
      <c r="H105" s="7" t="s">
        <v>25</v>
      </c>
      <c r="I105" s="6" t="s">
        <v>19</v>
      </c>
      <c r="J105" s="7" t="s">
        <v>20</v>
      </c>
      <c r="K105" s="7" t="s">
        <v>26</v>
      </c>
      <c r="L105" s="6"/>
      <c r="M105" s="10">
        <v>5.67E-2</v>
      </c>
      <c r="N105" s="6" t="s">
        <v>560</v>
      </c>
      <c r="O105" s="6" t="s">
        <v>19</v>
      </c>
      <c r="P105" s="11" t="e">
        <f t="shared" si="3"/>
        <v>#VALUE!</v>
      </c>
      <c r="Q105" s="19" t="s">
        <v>19</v>
      </c>
      <c r="R105" s="19"/>
    </row>
    <row r="106" spans="1:19" ht="28.8" x14ac:dyDescent="0.3">
      <c r="A106" s="6" t="s">
        <v>561</v>
      </c>
      <c r="B106" s="7" t="s">
        <v>562</v>
      </c>
      <c r="C106" s="17" t="s">
        <v>563</v>
      </c>
      <c r="D106" s="17"/>
      <c r="E106" s="8">
        <v>18261</v>
      </c>
      <c r="F106" s="9">
        <v>73</v>
      </c>
      <c r="G106" s="6" t="s">
        <v>565</v>
      </c>
      <c r="H106" s="7" t="s">
        <v>39</v>
      </c>
      <c r="I106" s="6" t="s">
        <v>566</v>
      </c>
      <c r="J106" s="7" t="s">
        <v>41</v>
      </c>
      <c r="K106" s="7" t="s">
        <v>26</v>
      </c>
      <c r="L106" s="9">
        <v>63</v>
      </c>
      <c r="M106" s="10">
        <v>3.6999999999999998E-2</v>
      </c>
      <c r="N106" s="6" t="s">
        <v>567</v>
      </c>
      <c r="O106" s="11">
        <v>1640.8</v>
      </c>
      <c r="P106" s="11">
        <f t="shared" si="3"/>
        <v>1420.1299999999999</v>
      </c>
      <c r="Q106" s="18">
        <v>205.1</v>
      </c>
      <c r="R106" s="19"/>
      <c r="S106" s="2" t="str">
        <f t="shared" ref="S106:S107" si="4">IF(P114&lt;O114,"CATCHUP","NONE")</f>
        <v>CATCHUP</v>
      </c>
    </row>
    <row r="107" spans="1:19" ht="43.2" x14ac:dyDescent="0.3">
      <c r="A107" s="6" t="s">
        <v>568</v>
      </c>
      <c r="B107" s="7" t="s">
        <v>412</v>
      </c>
      <c r="C107" s="17" t="s">
        <v>569</v>
      </c>
      <c r="D107" s="17"/>
      <c r="E107" s="8">
        <v>18393</v>
      </c>
      <c r="F107" s="9">
        <v>72</v>
      </c>
      <c r="G107" s="6" t="s">
        <v>570</v>
      </c>
      <c r="H107" s="7" t="s">
        <v>39</v>
      </c>
      <c r="I107" s="6" t="s">
        <v>151</v>
      </c>
      <c r="J107" s="7" t="s">
        <v>41</v>
      </c>
      <c r="K107" s="7" t="s">
        <v>26</v>
      </c>
      <c r="L107" s="9">
        <v>69</v>
      </c>
      <c r="M107" s="10">
        <v>4.7600000000000003E-2</v>
      </c>
      <c r="N107" s="6" t="s">
        <v>571</v>
      </c>
      <c r="O107" s="11">
        <v>19000</v>
      </c>
      <c r="P107" s="11">
        <f t="shared" si="3"/>
        <v>14926.4</v>
      </c>
      <c r="Q107" s="18">
        <v>2500</v>
      </c>
      <c r="R107" s="19"/>
      <c r="S107" s="2" t="e">
        <f t="shared" si="4"/>
        <v>#VALUE!</v>
      </c>
    </row>
    <row r="108" spans="1:19" hidden="1" x14ac:dyDescent="0.3">
      <c r="A108" s="6" t="s">
        <v>572</v>
      </c>
      <c r="B108" s="7" t="s">
        <v>573</v>
      </c>
      <c r="C108" s="17" t="s">
        <v>574</v>
      </c>
      <c r="D108" s="17"/>
      <c r="E108" s="8">
        <v>16437</v>
      </c>
      <c r="F108" s="9">
        <v>78</v>
      </c>
      <c r="G108" s="6" t="s">
        <v>575</v>
      </c>
      <c r="H108" s="7" t="s">
        <v>25</v>
      </c>
      <c r="I108" s="6"/>
      <c r="J108" s="7" t="s">
        <v>20</v>
      </c>
      <c r="K108" s="7" t="s">
        <v>32</v>
      </c>
      <c r="L108" s="6"/>
      <c r="M108" s="10">
        <v>6.3600000000000004E-2</v>
      </c>
      <c r="N108" s="6" t="s">
        <v>576</v>
      </c>
      <c r="O108" s="11">
        <v>10416.66</v>
      </c>
      <c r="P108" s="11">
        <f t="shared" si="3"/>
        <v>9548.6</v>
      </c>
      <c r="Q108" s="18">
        <v>10416.66</v>
      </c>
      <c r="R108" s="19"/>
    </row>
    <row r="109" spans="1:19" ht="28.8" hidden="1" x14ac:dyDescent="0.3">
      <c r="A109" s="6" t="s">
        <v>577</v>
      </c>
      <c r="B109" s="7" t="s">
        <v>29</v>
      </c>
      <c r="C109" s="17" t="s">
        <v>578</v>
      </c>
      <c r="D109" s="17"/>
      <c r="E109" s="8">
        <v>18423</v>
      </c>
      <c r="F109" s="9">
        <v>72</v>
      </c>
      <c r="G109" s="6" t="s">
        <v>579</v>
      </c>
      <c r="H109" s="7" t="s">
        <v>39</v>
      </c>
      <c r="I109" s="6" t="s">
        <v>580</v>
      </c>
      <c r="J109" s="7" t="s">
        <v>20</v>
      </c>
      <c r="K109" s="7" t="s">
        <v>26</v>
      </c>
      <c r="L109" s="6"/>
      <c r="M109" s="10">
        <v>5.3999999999999999E-2</v>
      </c>
      <c r="N109" s="6" t="s">
        <v>581</v>
      </c>
      <c r="O109" s="11">
        <v>2600</v>
      </c>
      <c r="P109" s="11">
        <f t="shared" si="3"/>
        <v>2435.75</v>
      </c>
      <c r="Q109" s="18">
        <v>325</v>
      </c>
      <c r="R109" s="19"/>
    </row>
    <row r="110" spans="1:19" hidden="1" x14ac:dyDescent="0.3">
      <c r="A110" s="6" t="s">
        <v>582</v>
      </c>
      <c r="B110" s="7" t="s">
        <v>129</v>
      </c>
      <c r="C110" s="17" t="s">
        <v>583</v>
      </c>
      <c r="D110" s="17"/>
      <c r="E110" s="7" t="s">
        <v>584</v>
      </c>
      <c r="F110" s="9">
        <v>79</v>
      </c>
      <c r="G110" s="6" t="s">
        <v>585</v>
      </c>
      <c r="H110" s="7" t="s">
        <v>25</v>
      </c>
      <c r="I110" s="6" t="s">
        <v>19</v>
      </c>
      <c r="J110" s="7" t="s">
        <v>20</v>
      </c>
      <c r="K110" s="7" t="s">
        <v>26</v>
      </c>
      <c r="L110" s="6"/>
      <c r="M110" s="10">
        <v>6.5799999999999997E-2</v>
      </c>
      <c r="N110" s="6" t="s">
        <v>586</v>
      </c>
      <c r="O110" s="6" t="s">
        <v>19</v>
      </c>
      <c r="P110" s="11" t="e">
        <f t="shared" si="3"/>
        <v>#VALUE!</v>
      </c>
      <c r="Q110" s="19" t="s">
        <v>19</v>
      </c>
      <c r="R110" s="19"/>
    </row>
    <row r="111" spans="1:19" hidden="1" x14ac:dyDescent="0.3">
      <c r="A111" s="6" t="s">
        <v>587</v>
      </c>
      <c r="B111" s="7" t="s">
        <v>60</v>
      </c>
      <c r="C111" s="17" t="s">
        <v>588</v>
      </c>
      <c r="D111" s="17"/>
      <c r="E111" s="7" t="s">
        <v>589</v>
      </c>
      <c r="F111" s="9">
        <v>73</v>
      </c>
      <c r="G111" s="6" t="s">
        <v>590</v>
      </c>
      <c r="H111" s="7" t="s">
        <v>25</v>
      </c>
      <c r="I111" s="6" t="s">
        <v>19</v>
      </c>
      <c r="J111" s="7" t="s">
        <v>20</v>
      </c>
      <c r="K111" s="7" t="s">
        <v>32</v>
      </c>
      <c r="L111" s="6"/>
      <c r="M111" s="10">
        <v>5.5300000000000002E-2</v>
      </c>
      <c r="N111" s="6" t="s">
        <v>591</v>
      </c>
      <c r="O111" s="6" t="s">
        <v>19</v>
      </c>
      <c r="P111" s="11" t="e">
        <f t="shared" si="3"/>
        <v>#VALUE!</v>
      </c>
      <c r="Q111" s="19" t="s">
        <v>19</v>
      </c>
      <c r="R111" s="19"/>
    </row>
    <row r="112" spans="1:19" x14ac:dyDescent="0.3">
      <c r="A112" s="6" t="s">
        <v>592</v>
      </c>
      <c r="B112" s="7" t="s">
        <v>593</v>
      </c>
      <c r="C112" s="17" t="s">
        <v>594</v>
      </c>
      <c r="D112" s="17"/>
      <c r="E112" s="8">
        <v>17797</v>
      </c>
      <c r="F112" s="9">
        <v>74</v>
      </c>
      <c r="G112" s="6" t="s">
        <v>595</v>
      </c>
      <c r="H112" s="7" t="s">
        <v>25</v>
      </c>
      <c r="I112" s="6"/>
      <c r="J112" s="7" t="s">
        <v>41</v>
      </c>
      <c r="K112" s="7" t="s">
        <v>26</v>
      </c>
      <c r="L112" s="9">
        <v>70</v>
      </c>
      <c r="M112" s="10">
        <v>0.05</v>
      </c>
      <c r="N112" s="6" t="s">
        <v>596</v>
      </c>
      <c r="O112" s="11">
        <v>19758.88</v>
      </c>
      <c r="P112" s="11">
        <f t="shared" si="3"/>
        <v>17289.02</v>
      </c>
      <c r="Q112" s="18">
        <v>2469.86</v>
      </c>
      <c r="R112" s="19"/>
      <c r="S112" s="2" t="str">
        <f>IF(P120&lt;O120,"CATCHUP","NONE")</f>
        <v>CATCHUP</v>
      </c>
    </row>
    <row r="113" spans="1:19" ht="43.2" hidden="1" x14ac:dyDescent="0.3">
      <c r="A113" s="6" t="s">
        <v>597</v>
      </c>
      <c r="B113" s="7" t="s">
        <v>598</v>
      </c>
      <c r="C113" s="17" t="s">
        <v>599</v>
      </c>
      <c r="D113" s="17"/>
      <c r="E113" s="8">
        <v>16540</v>
      </c>
      <c r="F113" s="9">
        <v>77</v>
      </c>
      <c r="G113" s="6" t="s">
        <v>600</v>
      </c>
      <c r="H113" s="7" t="s">
        <v>39</v>
      </c>
      <c r="I113" s="6" t="s">
        <v>40</v>
      </c>
      <c r="J113" s="7" t="s">
        <v>20</v>
      </c>
      <c r="K113" s="7" t="s">
        <v>26</v>
      </c>
      <c r="L113" s="6"/>
      <c r="M113" s="10">
        <v>6.1699999999999998E-2</v>
      </c>
      <c r="N113" s="6" t="s">
        <v>601</v>
      </c>
      <c r="O113" s="11">
        <v>24000</v>
      </c>
      <c r="P113" s="11">
        <f t="shared" si="3"/>
        <v>22944.44</v>
      </c>
      <c r="Q113" s="18">
        <v>3000</v>
      </c>
      <c r="R113" s="19"/>
    </row>
    <row r="114" spans="1:19" ht="43.2" hidden="1" x14ac:dyDescent="0.3">
      <c r="A114" s="6" t="s">
        <v>602</v>
      </c>
      <c r="B114" s="7" t="s">
        <v>603</v>
      </c>
      <c r="C114" s="17" t="s">
        <v>604</v>
      </c>
      <c r="D114" s="17"/>
      <c r="E114" s="8">
        <v>18373</v>
      </c>
      <c r="F114" s="9">
        <v>72</v>
      </c>
      <c r="G114" s="6" t="s">
        <v>606</v>
      </c>
      <c r="H114" s="7" t="s">
        <v>39</v>
      </c>
      <c r="I114" s="6" t="s">
        <v>607</v>
      </c>
      <c r="J114" s="7" t="s">
        <v>20</v>
      </c>
      <c r="K114" s="7" t="s">
        <v>26</v>
      </c>
      <c r="L114" s="6"/>
      <c r="M114" s="10">
        <v>5.3999999999999999E-2</v>
      </c>
      <c r="N114" s="6" t="s">
        <v>608</v>
      </c>
      <c r="O114" s="11">
        <v>20800</v>
      </c>
      <c r="P114" s="11">
        <f t="shared" si="3"/>
        <v>18540.77</v>
      </c>
      <c r="Q114" s="18">
        <v>2600</v>
      </c>
      <c r="R114" s="19"/>
    </row>
    <row r="115" spans="1:19" hidden="1" x14ac:dyDescent="0.3">
      <c r="A115" s="6" t="s">
        <v>609</v>
      </c>
      <c r="B115" s="7" t="s">
        <v>610</v>
      </c>
      <c r="C115" s="17" t="s">
        <v>611</v>
      </c>
      <c r="D115" s="17"/>
      <c r="E115" s="7" t="s">
        <v>612</v>
      </c>
      <c r="F115" s="9">
        <v>73</v>
      </c>
      <c r="G115" s="6" t="s">
        <v>613</v>
      </c>
      <c r="H115" s="7" t="s">
        <v>25</v>
      </c>
      <c r="I115" s="6" t="s">
        <v>19</v>
      </c>
      <c r="J115" s="7" t="s">
        <v>20</v>
      </c>
      <c r="K115" s="7" t="s">
        <v>26</v>
      </c>
      <c r="L115" s="6"/>
      <c r="M115" s="10">
        <v>5.5300000000000002E-2</v>
      </c>
      <c r="N115" s="6" t="s">
        <v>614</v>
      </c>
      <c r="O115" s="6" t="s">
        <v>19</v>
      </c>
      <c r="P115" s="11" t="e">
        <f t="shared" si="3"/>
        <v>#VALUE!</v>
      </c>
      <c r="Q115" s="19" t="s">
        <v>19</v>
      </c>
      <c r="R115" s="19"/>
    </row>
    <row r="116" spans="1:19" ht="43.2" hidden="1" x14ac:dyDescent="0.3">
      <c r="A116" s="6" t="s">
        <v>615</v>
      </c>
      <c r="B116" s="7" t="s">
        <v>616</v>
      </c>
      <c r="C116" s="17" t="s">
        <v>617</v>
      </c>
      <c r="D116" s="17"/>
      <c r="E116" s="8">
        <v>17041</v>
      </c>
      <c r="F116" s="9">
        <v>76</v>
      </c>
      <c r="G116" s="6" t="s">
        <v>618</v>
      </c>
      <c r="H116" s="7" t="s">
        <v>39</v>
      </c>
      <c r="I116" s="6" t="s">
        <v>89</v>
      </c>
      <c r="J116" s="7" t="s">
        <v>20</v>
      </c>
      <c r="K116" s="7" t="s">
        <v>26</v>
      </c>
      <c r="L116" s="6"/>
      <c r="M116" s="10">
        <v>5.9799999999999999E-2</v>
      </c>
      <c r="N116" s="6" t="s">
        <v>619</v>
      </c>
      <c r="O116" s="11">
        <v>9600</v>
      </c>
      <c r="P116" s="11">
        <f t="shared" si="3"/>
        <v>9042.83</v>
      </c>
      <c r="Q116" s="18">
        <v>1200</v>
      </c>
      <c r="R116" s="19"/>
    </row>
    <row r="117" spans="1:19" ht="43.2" x14ac:dyDescent="0.3">
      <c r="A117" s="6" t="s">
        <v>620</v>
      </c>
      <c r="B117" s="7" t="s">
        <v>621</v>
      </c>
      <c r="C117" s="17" t="s">
        <v>622</v>
      </c>
      <c r="D117" s="17"/>
      <c r="E117" s="8">
        <v>18564</v>
      </c>
      <c r="F117" s="9">
        <v>72</v>
      </c>
      <c r="G117" s="6" t="s">
        <v>624</v>
      </c>
      <c r="H117" s="7" t="s">
        <v>39</v>
      </c>
      <c r="I117" s="6" t="s">
        <v>89</v>
      </c>
      <c r="J117" s="7" t="s">
        <v>41</v>
      </c>
      <c r="K117" s="7" t="s">
        <v>26</v>
      </c>
      <c r="L117" s="9">
        <v>60</v>
      </c>
      <c r="M117" s="10">
        <v>3.3300000000000003E-2</v>
      </c>
      <c r="N117" s="6" t="s">
        <v>625</v>
      </c>
      <c r="O117" s="11">
        <v>9600</v>
      </c>
      <c r="P117" s="11">
        <f t="shared" si="3"/>
        <v>9097.2000000000007</v>
      </c>
      <c r="Q117" s="18">
        <v>128.54</v>
      </c>
      <c r="R117" s="19"/>
      <c r="S117" s="2" t="e">
        <f>IF(P125&lt;O125,"CATCHUP","NONE")</f>
        <v>#VALUE!</v>
      </c>
    </row>
    <row r="118" spans="1:19" hidden="1" x14ac:dyDescent="0.3">
      <c r="A118" s="6" t="s">
        <v>626</v>
      </c>
      <c r="B118" s="7" t="s">
        <v>627</v>
      </c>
      <c r="C118" s="17" t="s">
        <v>628</v>
      </c>
      <c r="D118" s="17"/>
      <c r="E118" s="7" t="s">
        <v>629</v>
      </c>
      <c r="F118" s="9">
        <v>78</v>
      </c>
      <c r="G118" s="6" t="s">
        <v>630</v>
      </c>
      <c r="H118" s="7" t="s">
        <v>25</v>
      </c>
      <c r="I118" s="6" t="s">
        <v>19</v>
      </c>
      <c r="J118" s="7" t="s">
        <v>20</v>
      </c>
      <c r="K118" s="7" t="s">
        <v>32</v>
      </c>
      <c r="L118" s="6"/>
      <c r="M118" s="10">
        <v>6.3600000000000004E-2</v>
      </c>
      <c r="N118" s="6" t="s">
        <v>631</v>
      </c>
      <c r="O118" s="6" t="s">
        <v>19</v>
      </c>
      <c r="P118" s="11" t="e">
        <f t="shared" si="3"/>
        <v>#VALUE!</v>
      </c>
      <c r="Q118" s="19" t="s">
        <v>632</v>
      </c>
      <c r="R118" s="19"/>
    </row>
    <row r="119" spans="1:19" ht="43.2" x14ac:dyDescent="0.3">
      <c r="A119" s="6" t="s">
        <v>633</v>
      </c>
      <c r="B119" s="7" t="s">
        <v>634</v>
      </c>
      <c r="C119" s="17" t="s">
        <v>635</v>
      </c>
      <c r="D119" s="17"/>
      <c r="E119" s="8">
        <v>16981</v>
      </c>
      <c r="F119" s="9">
        <v>76</v>
      </c>
      <c r="G119" s="6" t="s">
        <v>636</v>
      </c>
      <c r="H119" s="7" t="s">
        <v>39</v>
      </c>
      <c r="I119" s="6" t="s">
        <v>637</v>
      </c>
      <c r="J119" s="7" t="s">
        <v>41</v>
      </c>
      <c r="K119" s="7" t="s">
        <v>26</v>
      </c>
      <c r="L119" s="9">
        <v>69</v>
      </c>
      <c r="M119" s="10">
        <v>4.7600000000000003E-2</v>
      </c>
      <c r="N119" s="6" t="s">
        <v>638</v>
      </c>
      <c r="O119" s="11">
        <v>7250</v>
      </c>
      <c r="P119" s="11">
        <f t="shared" si="3"/>
        <v>4265.3</v>
      </c>
      <c r="Q119" s="18">
        <v>7250</v>
      </c>
      <c r="R119" s="19"/>
      <c r="S119" s="2" t="str">
        <f>IF(P127&lt;O127,"CATCHUP","NONE")</f>
        <v>CATCHUP</v>
      </c>
    </row>
    <row r="120" spans="1:19" ht="43.2" hidden="1" x14ac:dyDescent="0.3">
      <c r="A120" s="6" t="s">
        <v>639</v>
      </c>
      <c r="B120" s="7" t="s">
        <v>640</v>
      </c>
      <c r="C120" s="17" t="s">
        <v>641</v>
      </c>
      <c r="D120" s="17"/>
      <c r="E120" s="8">
        <v>18154</v>
      </c>
      <c r="F120" s="9">
        <v>73</v>
      </c>
      <c r="G120" s="6" t="s">
        <v>642</v>
      </c>
      <c r="H120" s="7" t="s">
        <v>39</v>
      </c>
      <c r="I120" s="6" t="s">
        <v>89</v>
      </c>
      <c r="J120" s="7" t="s">
        <v>20</v>
      </c>
      <c r="K120" s="7" t="s">
        <v>32</v>
      </c>
      <c r="L120" s="6"/>
      <c r="M120" s="10">
        <v>5.5300000000000002E-2</v>
      </c>
      <c r="N120" s="6" t="s">
        <v>643</v>
      </c>
      <c r="O120" s="11">
        <v>1200</v>
      </c>
      <c r="P120" s="11">
        <f t="shared" si="3"/>
        <v>1107.05</v>
      </c>
      <c r="Q120" s="18">
        <v>1200</v>
      </c>
      <c r="R120" s="19"/>
    </row>
    <row r="121" spans="1:19" ht="43.2" hidden="1" x14ac:dyDescent="0.3">
      <c r="A121" s="6" t="s">
        <v>644</v>
      </c>
      <c r="B121" s="7" t="s">
        <v>645</v>
      </c>
      <c r="C121" s="17" t="s">
        <v>646</v>
      </c>
      <c r="D121" s="17"/>
      <c r="E121" s="8">
        <v>15358</v>
      </c>
      <c r="F121" s="9">
        <v>80</v>
      </c>
      <c r="G121" s="6" t="s">
        <v>647</v>
      </c>
      <c r="H121" s="7" t="s">
        <v>39</v>
      </c>
      <c r="I121" s="6" t="s">
        <v>648</v>
      </c>
      <c r="J121" s="7" t="s">
        <v>20</v>
      </c>
      <c r="K121" s="7" t="s">
        <v>26</v>
      </c>
      <c r="L121" s="6"/>
      <c r="M121" s="10">
        <v>6.8199999999999997E-2</v>
      </c>
      <c r="N121" s="6" t="s">
        <v>649</v>
      </c>
      <c r="O121" s="11">
        <v>23746.400000000001</v>
      </c>
      <c r="P121" s="11">
        <f t="shared" si="3"/>
        <v>21260.84</v>
      </c>
      <c r="Q121" s="18">
        <v>2968.3</v>
      </c>
      <c r="R121" s="19"/>
    </row>
    <row r="122" spans="1:19" hidden="1" x14ac:dyDescent="0.3">
      <c r="A122" s="6" t="s">
        <v>650</v>
      </c>
      <c r="B122" s="7" t="s">
        <v>476</v>
      </c>
      <c r="C122" s="17" t="s">
        <v>651</v>
      </c>
      <c r="D122" s="17"/>
      <c r="E122" s="8">
        <v>17442</v>
      </c>
      <c r="F122" s="9">
        <v>75</v>
      </c>
      <c r="G122" s="6" t="s">
        <v>652</v>
      </c>
      <c r="H122" s="7" t="s">
        <v>25</v>
      </c>
      <c r="I122" s="6"/>
      <c r="J122" s="7" t="s">
        <v>20</v>
      </c>
      <c r="K122" s="7" t="s">
        <v>26</v>
      </c>
      <c r="L122" s="6"/>
      <c r="M122" s="10">
        <v>5.8200000000000002E-2</v>
      </c>
      <c r="N122" s="6" t="s">
        <v>653</v>
      </c>
      <c r="O122" s="11">
        <v>6144.64</v>
      </c>
      <c r="P122" s="11">
        <f t="shared" si="3"/>
        <v>5376.56</v>
      </c>
      <c r="Q122" s="18">
        <v>768.08</v>
      </c>
      <c r="R122" s="19"/>
    </row>
    <row r="123" spans="1:19" ht="43.2" hidden="1" x14ac:dyDescent="0.3">
      <c r="A123" s="6" t="s">
        <v>654</v>
      </c>
      <c r="B123" s="7" t="s">
        <v>655</v>
      </c>
      <c r="C123" s="17" t="s">
        <v>656</v>
      </c>
      <c r="D123" s="17"/>
      <c r="E123" s="8">
        <v>16019</v>
      </c>
      <c r="F123" s="9">
        <v>79</v>
      </c>
      <c r="G123" s="6" t="s">
        <v>657</v>
      </c>
      <c r="H123" s="7" t="s">
        <v>39</v>
      </c>
      <c r="I123" s="6" t="s">
        <v>658</v>
      </c>
      <c r="J123" s="7" t="s">
        <v>20</v>
      </c>
      <c r="K123" s="7" t="s">
        <v>26</v>
      </c>
      <c r="L123" s="6"/>
      <c r="M123" s="10">
        <v>6.5799999999999997E-2</v>
      </c>
      <c r="N123" s="6" t="s">
        <v>659</v>
      </c>
      <c r="O123" s="11">
        <v>11686.4</v>
      </c>
      <c r="P123" s="11">
        <f t="shared" si="3"/>
        <v>10704.39</v>
      </c>
      <c r="Q123" s="18">
        <v>1460.8</v>
      </c>
      <c r="R123" s="19"/>
    </row>
    <row r="124" spans="1:19" ht="43.2" hidden="1" x14ac:dyDescent="0.3">
      <c r="A124" s="6" t="s">
        <v>660</v>
      </c>
      <c r="B124" s="7" t="s">
        <v>661</v>
      </c>
      <c r="C124" s="17" t="s">
        <v>662</v>
      </c>
      <c r="D124" s="17"/>
      <c r="E124" s="7" t="s">
        <v>663</v>
      </c>
      <c r="F124" s="9">
        <v>80</v>
      </c>
      <c r="G124" s="6" t="s">
        <v>664</v>
      </c>
      <c r="H124" s="7" t="s">
        <v>39</v>
      </c>
      <c r="I124" s="6" t="s">
        <v>122</v>
      </c>
      <c r="J124" s="7" t="s">
        <v>20</v>
      </c>
      <c r="K124" s="7" t="s">
        <v>32</v>
      </c>
      <c r="L124" s="6"/>
      <c r="M124" s="10">
        <v>6.8199999999999997E-2</v>
      </c>
      <c r="N124" s="6" t="s">
        <v>665</v>
      </c>
      <c r="O124" s="6" t="s">
        <v>19</v>
      </c>
      <c r="P124" s="11" t="e">
        <f t="shared" si="3"/>
        <v>#VALUE!</v>
      </c>
      <c r="Q124" s="19" t="s">
        <v>19</v>
      </c>
      <c r="R124" s="19"/>
    </row>
    <row r="125" spans="1:19" hidden="1" x14ac:dyDescent="0.3">
      <c r="A125" s="6" t="s">
        <v>666</v>
      </c>
      <c r="B125" s="7" t="s">
        <v>667</v>
      </c>
      <c r="C125" s="17" t="s">
        <v>668</v>
      </c>
      <c r="D125" s="17"/>
      <c r="E125" s="7" t="s">
        <v>669</v>
      </c>
      <c r="F125" s="9">
        <v>77</v>
      </c>
      <c r="G125" s="6" t="s">
        <v>670</v>
      </c>
      <c r="H125" s="7" t="s">
        <v>25</v>
      </c>
      <c r="I125" s="6" t="s">
        <v>19</v>
      </c>
      <c r="J125" s="7" t="s">
        <v>20</v>
      </c>
      <c r="K125" s="7" t="s">
        <v>26</v>
      </c>
      <c r="L125" s="6"/>
      <c r="M125" s="10">
        <v>6.1699999999999998E-2</v>
      </c>
      <c r="N125" s="6" t="s">
        <v>671</v>
      </c>
      <c r="O125" s="6" t="s">
        <v>19</v>
      </c>
      <c r="P125" s="11" t="e">
        <f t="shared" si="3"/>
        <v>#VALUE!</v>
      </c>
      <c r="Q125" s="19" t="s">
        <v>19</v>
      </c>
      <c r="R125" s="19"/>
    </row>
    <row r="126" spans="1:19" ht="28.8" hidden="1" x14ac:dyDescent="0.3">
      <c r="A126" s="6" t="s">
        <v>672</v>
      </c>
      <c r="B126" s="7" t="s">
        <v>673</v>
      </c>
      <c r="C126" s="17" t="s">
        <v>674</v>
      </c>
      <c r="D126" s="17"/>
      <c r="E126" s="8">
        <v>16913</v>
      </c>
      <c r="F126" s="9">
        <v>76</v>
      </c>
      <c r="G126" s="6" t="s">
        <v>675</v>
      </c>
      <c r="H126" s="7" t="s">
        <v>39</v>
      </c>
      <c r="I126" s="6" t="s">
        <v>176</v>
      </c>
      <c r="J126" s="7" t="s">
        <v>20</v>
      </c>
      <c r="K126" s="7" t="s">
        <v>26</v>
      </c>
      <c r="L126" s="6"/>
      <c r="M126" s="10">
        <v>5.9799999999999999E-2</v>
      </c>
      <c r="N126" s="6" t="s">
        <v>676</v>
      </c>
      <c r="O126" s="11">
        <v>4800</v>
      </c>
      <c r="P126" s="11">
        <f t="shared" si="3"/>
        <v>4317.55</v>
      </c>
      <c r="Q126" s="18">
        <v>600</v>
      </c>
      <c r="R126" s="19"/>
    </row>
    <row r="127" spans="1:19" ht="28.8" x14ac:dyDescent="0.3">
      <c r="A127" s="6" t="s">
        <v>677</v>
      </c>
      <c r="B127" s="7" t="s">
        <v>678</v>
      </c>
      <c r="C127" s="17" t="s">
        <v>679</v>
      </c>
      <c r="D127" s="17"/>
      <c r="E127" s="8">
        <v>18341</v>
      </c>
      <c r="F127" s="9">
        <v>72</v>
      </c>
      <c r="G127" s="6" t="s">
        <v>680</v>
      </c>
      <c r="H127" s="7" t="s">
        <v>39</v>
      </c>
      <c r="I127" s="6" t="s">
        <v>681</v>
      </c>
      <c r="J127" s="7" t="s">
        <v>41</v>
      </c>
      <c r="K127" s="7" t="s">
        <v>26</v>
      </c>
      <c r="L127" s="9">
        <v>71</v>
      </c>
      <c r="M127" s="10">
        <v>5.28E-2</v>
      </c>
      <c r="N127" s="6" t="s">
        <v>682</v>
      </c>
      <c r="O127" s="11">
        <v>5600</v>
      </c>
      <c r="P127" s="11">
        <f t="shared" si="3"/>
        <v>5249.78</v>
      </c>
      <c r="Q127" s="18">
        <v>700</v>
      </c>
      <c r="R127" s="19"/>
      <c r="S127" s="2" t="e">
        <f>IF(P135&lt;O135,"CATCHUP","NONE")</f>
        <v>#VALUE!</v>
      </c>
    </row>
    <row r="128" spans="1:19" ht="43.2" hidden="1" x14ac:dyDescent="0.3">
      <c r="A128" s="6" t="s">
        <v>683</v>
      </c>
      <c r="B128" s="7" t="s">
        <v>684</v>
      </c>
      <c r="C128" s="17" t="s">
        <v>685</v>
      </c>
      <c r="D128" s="17"/>
      <c r="E128" s="8">
        <v>18329</v>
      </c>
      <c r="F128" s="9">
        <v>72</v>
      </c>
      <c r="G128" s="6" t="s">
        <v>686</v>
      </c>
      <c r="H128" s="7" t="s">
        <v>39</v>
      </c>
      <c r="I128" s="6" t="s">
        <v>151</v>
      </c>
      <c r="J128" s="7" t="s">
        <v>20</v>
      </c>
      <c r="K128" s="7" t="s">
        <v>26</v>
      </c>
      <c r="L128" s="6"/>
      <c r="M128" s="10">
        <v>5.3999999999999999E-2</v>
      </c>
      <c r="N128" s="6" t="s">
        <v>687</v>
      </c>
      <c r="O128" s="11">
        <v>31000</v>
      </c>
      <c r="P128" s="11">
        <f t="shared" si="3"/>
        <v>29312.87</v>
      </c>
      <c r="Q128" s="18">
        <v>235.44</v>
      </c>
      <c r="R128" s="19"/>
    </row>
    <row r="129" spans="1:19" hidden="1" x14ac:dyDescent="0.3">
      <c r="A129" s="6" t="s">
        <v>688</v>
      </c>
      <c r="B129" s="7" t="s">
        <v>129</v>
      </c>
      <c r="C129" s="17" t="s">
        <v>689</v>
      </c>
      <c r="D129" s="17"/>
      <c r="E129" s="8">
        <v>18171</v>
      </c>
      <c r="F129" s="9">
        <v>73</v>
      </c>
      <c r="G129" s="6" t="s">
        <v>690</v>
      </c>
      <c r="H129" s="7" t="s">
        <v>25</v>
      </c>
      <c r="I129" s="6"/>
      <c r="J129" s="7" t="s">
        <v>20</v>
      </c>
      <c r="K129" s="7" t="s">
        <v>26</v>
      </c>
      <c r="L129" s="6"/>
      <c r="M129" s="10">
        <v>5.5300000000000002E-2</v>
      </c>
      <c r="N129" s="6" t="s">
        <v>691</v>
      </c>
      <c r="O129" s="11">
        <v>17115.2</v>
      </c>
      <c r="P129" s="11">
        <f t="shared" si="3"/>
        <v>14975.800000000001</v>
      </c>
      <c r="Q129" s="18">
        <v>2139.4</v>
      </c>
      <c r="R129" s="19"/>
    </row>
    <row r="130" spans="1:19" ht="43.2" hidden="1" x14ac:dyDescent="0.3">
      <c r="A130" s="6" t="s">
        <v>692</v>
      </c>
      <c r="B130" s="7" t="s">
        <v>693</v>
      </c>
      <c r="C130" s="17" t="s">
        <v>694</v>
      </c>
      <c r="D130" s="17"/>
      <c r="E130" s="8">
        <v>17320</v>
      </c>
      <c r="F130" s="9">
        <v>75</v>
      </c>
      <c r="G130" s="6" t="s">
        <v>695</v>
      </c>
      <c r="H130" s="7" t="s">
        <v>39</v>
      </c>
      <c r="I130" s="6" t="s">
        <v>106</v>
      </c>
      <c r="J130" s="7" t="s">
        <v>20</v>
      </c>
      <c r="K130" s="7" t="s">
        <v>26</v>
      </c>
      <c r="L130" s="6"/>
      <c r="M130" s="10">
        <v>5.8200000000000002E-2</v>
      </c>
      <c r="N130" s="6" t="s">
        <v>696</v>
      </c>
      <c r="O130" s="11">
        <v>32000</v>
      </c>
      <c r="P130" s="11">
        <f t="shared" si="3"/>
        <v>30001.9</v>
      </c>
      <c r="Q130" s="18">
        <v>4000</v>
      </c>
      <c r="R130" s="19"/>
    </row>
    <row r="131" spans="1:19" hidden="1" x14ac:dyDescent="0.3">
      <c r="A131" s="6" t="s">
        <v>697</v>
      </c>
      <c r="B131" s="7" t="s">
        <v>55</v>
      </c>
      <c r="C131" s="17" t="s">
        <v>698</v>
      </c>
      <c r="D131" s="17"/>
      <c r="E131" s="8">
        <v>18293</v>
      </c>
      <c r="F131" s="9">
        <v>72</v>
      </c>
      <c r="G131" s="6" t="s">
        <v>699</v>
      </c>
      <c r="H131" s="7" t="s">
        <v>25</v>
      </c>
      <c r="I131" s="6"/>
      <c r="J131" s="7" t="s">
        <v>20</v>
      </c>
      <c r="K131" s="7" t="s">
        <v>26</v>
      </c>
      <c r="L131" s="6"/>
      <c r="M131" s="10">
        <v>5.3999999999999999E-2</v>
      </c>
      <c r="N131" s="6" t="s">
        <v>700</v>
      </c>
      <c r="O131" s="11">
        <v>8395.84</v>
      </c>
      <c r="P131" s="11">
        <f t="shared" si="3"/>
        <v>7346.3600000000006</v>
      </c>
      <c r="Q131" s="18">
        <v>1049.48</v>
      </c>
      <c r="R131" s="19"/>
    </row>
    <row r="132" spans="1:19" ht="43.2" hidden="1" x14ac:dyDescent="0.3">
      <c r="A132" s="6" t="s">
        <v>701</v>
      </c>
      <c r="B132" s="7" t="s">
        <v>125</v>
      </c>
      <c r="C132" s="17" t="s">
        <v>702</v>
      </c>
      <c r="D132" s="17"/>
      <c r="E132" s="8">
        <v>16499</v>
      </c>
      <c r="F132" s="9">
        <v>77</v>
      </c>
      <c r="G132" s="6" t="s">
        <v>703</v>
      </c>
      <c r="H132" s="7" t="s">
        <v>39</v>
      </c>
      <c r="I132" s="6" t="s">
        <v>704</v>
      </c>
      <c r="J132" s="7" t="s">
        <v>20</v>
      </c>
      <c r="K132" s="7" t="s">
        <v>26</v>
      </c>
      <c r="L132" s="6"/>
      <c r="M132" s="10">
        <v>6.1699999999999998E-2</v>
      </c>
      <c r="N132" s="6" t="s">
        <v>705</v>
      </c>
      <c r="O132" s="11">
        <v>10000</v>
      </c>
      <c r="P132" s="11">
        <f t="shared" ref="P132:P195" si="5">O132-N132</f>
        <v>9224.0300000000007</v>
      </c>
      <c r="Q132" s="18">
        <v>1250</v>
      </c>
      <c r="R132" s="19"/>
    </row>
    <row r="133" spans="1:19" ht="43.2" hidden="1" x14ac:dyDescent="0.3">
      <c r="A133" s="6" t="s">
        <v>706</v>
      </c>
      <c r="B133" s="7" t="s">
        <v>707</v>
      </c>
      <c r="C133" s="17" t="s">
        <v>708</v>
      </c>
      <c r="D133" s="17"/>
      <c r="E133" s="8">
        <v>16932</v>
      </c>
      <c r="F133" s="9">
        <v>76</v>
      </c>
      <c r="G133" s="6" t="s">
        <v>709</v>
      </c>
      <c r="H133" s="7" t="s">
        <v>39</v>
      </c>
      <c r="I133" s="6" t="s">
        <v>40</v>
      </c>
      <c r="J133" s="7" t="s">
        <v>20</v>
      </c>
      <c r="K133" s="7" t="s">
        <v>26</v>
      </c>
      <c r="L133" s="6"/>
      <c r="M133" s="10">
        <v>5.9799999999999999E-2</v>
      </c>
      <c r="N133" s="6" t="s">
        <v>710</v>
      </c>
      <c r="O133" s="11">
        <v>24000</v>
      </c>
      <c r="P133" s="11">
        <f t="shared" si="5"/>
        <v>21038.35</v>
      </c>
      <c r="Q133" s="18">
        <v>3000</v>
      </c>
      <c r="R133" s="19"/>
    </row>
    <row r="134" spans="1:19" ht="43.2" hidden="1" x14ac:dyDescent="0.3">
      <c r="A134" s="6" t="s">
        <v>711</v>
      </c>
      <c r="B134" s="7" t="s">
        <v>406</v>
      </c>
      <c r="C134" s="17" t="s">
        <v>712</v>
      </c>
      <c r="D134" s="17"/>
      <c r="E134" s="8">
        <v>18123</v>
      </c>
      <c r="F134" s="9">
        <v>73</v>
      </c>
      <c r="G134" s="6" t="s">
        <v>713</v>
      </c>
      <c r="H134" s="7" t="s">
        <v>39</v>
      </c>
      <c r="I134" s="6" t="s">
        <v>533</v>
      </c>
      <c r="J134" s="7" t="s">
        <v>20</v>
      </c>
      <c r="K134" s="7" t="s">
        <v>32</v>
      </c>
      <c r="L134" s="6"/>
      <c r="M134" s="10">
        <v>5.5300000000000002E-2</v>
      </c>
      <c r="N134" s="6" t="s">
        <v>714</v>
      </c>
      <c r="O134" s="11">
        <v>10000</v>
      </c>
      <c r="P134" s="11">
        <f t="shared" si="5"/>
        <v>8595.4599999999991</v>
      </c>
      <c r="Q134" s="18">
        <v>10000</v>
      </c>
      <c r="R134" s="19"/>
    </row>
    <row r="135" spans="1:19" hidden="1" x14ac:dyDescent="0.3">
      <c r="A135" s="6" t="s">
        <v>715</v>
      </c>
      <c r="B135" s="7" t="s">
        <v>716</v>
      </c>
      <c r="C135" s="17" t="s">
        <v>717</v>
      </c>
      <c r="D135" s="17"/>
      <c r="E135" s="7" t="s">
        <v>718</v>
      </c>
      <c r="F135" s="9">
        <v>72</v>
      </c>
      <c r="G135" s="6" t="s">
        <v>719</v>
      </c>
      <c r="H135" s="7" t="s">
        <v>19</v>
      </c>
      <c r="I135" s="6" t="s">
        <v>19</v>
      </c>
      <c r="J135" s="7" t="s">
        <v>20</v>
      </c>
      <c r="K135" s="7"/>
      <c r="L135" s="6"/>
      <c r="M135" s="10">
        <v>5.3999999999999999E-2</v>
      </c>
      <c r="N135" s="6" t="s">
        <v>720</v>
      </c>
      <c r="O135" s="6" t="s">
        <v>19</v>
      </c>
      <c r="P135" s="11" t="e">
        <f t="shared" si="5"/>
        <v>#VALUE!</v>
      </c>
      <c r="Q135" s="19" t="s">
        <v>19</v>
      </c>
      <c r="R135" s="19"/>
    </row>
    <row r="136" spans="1:19" ht="43.2" hidden="1" x14ac:dyDescent="0.3">
      <c r="A136" s="6" t="s">
        <v>721</v>
      </c>
      <c r="B136" s="7" t="s">
        <v>29</v>
      </c>
      <c r="C136" s="17" t="s">
        <v>722</v>
      </c>
      <c r="D136" s="17"/>
      <c r="E136" s="8">
        <v>17961</v>
      </c>
      <c r="F136" s="9">
        <v>73</v>
      </c>
      <c r="G136" s="6" t="s">
        <v>723</v>
      </c>
      <c r="H136" s="7" t="s">
        <v>39</v>
      </c>
      <c r="I136" s="6" t="s">
        <v>724</v>
      </c>
      <c r="J136" s="7" t="s">
        <v>20</v>
      </c>
      <c r="K136" s="7" t="s">
        <v>26</v>
      </c>
      <c r="L136" s="6"/>
      <c r="M136" s="10">
        <v>5.5300000000000002E-2</v>
      </c>
      <c r="N136" s="6" t="s">
        <v>725</v>
      </c>
      <c r="O136" s="11">
        <v>84750</v>
      </c>
      <c r="P136" s="11">
        <f t="shared" si="5"/>
        <v>74164.320000000007</v>
      </c>
      <c r="Q136" s="18">
        <v>10500</v>
      </c>
      <c r="R136" s="19"/>
    </row>
    <row r="137" spans="1:19" ht="43.2" x14ac:dyDescent="0.3">
      <c r="A137" s="6" t="s">
        <v>726</v>
      </c>
      <c r="B137" s="7" t="s">
        <v>60</v>
      </c>
      <c r="C137" s="17" t="s">
        <v>722</v>
      </c>
      <c r="D137" s="17"/>
      <c r="E137" s="8">
        <v>17486</v>
      </c>
      <c r="F137" s="9">
        <v>75</v>
      </c>
      <c r="G137" s="6" t="s">
        <v>727</v>
      </c>
      <c r="H137" s="7" t="s">
        <v>39</v>
      </c>
      <c r="I137" s="6" t="s">
        <v>728</v>
      </c>
      <c r="J137" s="7" t="s">
        <v>41</v>
      </c>
      <c r="K137" s="7" t="s">
        <v>26</v>
      </c>
      <c r="L137" s="9">
        <v>68</v>
      </c>
      <c r="M137" s="10">
        <v>4.5499999999999999E-2</v>
      </c>
      <c r="N137" s="6" t="s">
        <v>729</v>
      </c>
      <c r="O137" s="11">
        <v>28000</v>
      </c>
      <c r="P137" s="11">
        <f t="shared" si="5"/>
        <v>26812.54</v>
      </c>
      <c r="Q137" s="18">
        <v>3500</v>
      </c>
      <c r="R137" s="19"/>
      <c r="S137" s="2" t="str">
        <f>IF(P145&lt;O145,"CATCHUP","NONE")</f>
        <v>CATCHUP</v>
      </c>
    </row>
    <row r="138" spans="1:19" hidden="1" x14ac:dyDescent="0.3">
      <c r="A138" s="6" t="s">
        <v>730</v>
      </c>
      <c r="B138" s="7" t="s">
        <v>707</v>
      </c>
      <c r="C138" s="17" t="s">
        <v>731</v>
      </c>
      <c r="D138" s="17"/>
      <c r="E138" s="8">
        <v>16647</v>
      </c>
      <c r="F138" s="9">
        <v>77</v>
      </c>
      <c r="G138" s="6" t="s">
        <v>732</v>
      </c>
      <c r="H138" s="7" t="s">
        <v>25</v>
      </c>
      <c r="I138" s="6"/>
      <c r="J138" s="7" t="s">
        <v>20</v>
      </c>
      <c r="K138" s="7" t="s">
        <v>26</v>
      </c>
      <c r="L138" s="6"/>
      <c r="M138" s="10">
        <v>6.1699999999999998E-2</v>
      </c>
      <c r="N138" s="6" t="s">
        <v>733</v>
      </c>
      <c r="O138" s="11">
        <v>19952.560000000001</v>
      </c>
      <c r="P138" s="11">
        <f t="shared" si="5"/>
        <v>17458.490000000002</v>
      </c>
      <c r="Q138" s="18">
        <v>2494.0700000000002</v>
      </c>
      <c r="R138" s="19"/>
    </row>
    <row r="139" spans="1:19" ht="43.2" hidden="1" x14ac:dyDescent="0.3">
      <c r="A139" s="6" t="s">
        <v>734</v>
      </c>
      <c r="B139" s="7" t="s">
        <v>252</v>
      </c>
      <c r="C139" s="17" t="s">
        <v>735</v>
      </c>
      <c r="D139" s="17"/>
      <c r="E139" s="8">
        <v>17994</v>
      </c>
      <c r="F139" s="9">
        <v>73</v>
      </c>
      <c r="G139" s="6" t="s">
        <v>736</v>
      </c>
      <c r="H139" s="7" t="s">
        <v>39</v>
      </c>
      <c r="I139" s="6" t="s">
        <v>151</v>
      </c>
      <c r="J139" s="7" t="s">
        <v>20</v>
      </c>
      <c r="K139" s="7" t="s">
        <v>26</v>
      </c>
      <c r="L139" s="6"/>
      <c r="M139" s="10">
        <v>5.5300000000000002E-2</v>
      </c>
      <c r="N139" s="6" t="s">
        <v>737</v>
      </c>
      <c r="O139" s="11">
        <v>20000</v>
      </c>
      <c r="P139" s="11">
        <f t="shared" si="5"/>
        <v>18307.53</v>
      </c>
      <c r="Q139" s="18">
        <v>2500</v>
      </c>
      <c r="R139" s="19"/>
    </row>
    <row r="140" spans="1:19" hidden="1" x14ac:dyDescent="0.3">
      <c r="A140" s="6" t="s">
        <v>738</v>
      </c>
      <c r="B140" s="7" t="s">
        <v>29</v>
      </c>
      <c r="C140" s="17" t="s">
        <v>739</v>
      </c>
      <c r="D140" s="17"/>
      <c r="E140" s="8">
        <v>18021</v>
      </c>
      <c r="F140" s="9">
        <v>73</v>
      </c>
      <c r="G140" s="6" t="s">
        <v>740</v>
      </c>
      <c r="H140" s="7" t="s">
        <v>25</v>
      </c>
      <c r="I140" s="6"/>
      <c r="J140" s="7" t="s">
        <v>20</v>
      </c>
      <c r="K140" s="7" t="s">
        <v>26</v>
      </c>
      <c r="L140" s="6"/>
      <c r="M140" s="10">
        <v>5.5300000000000002E-2</v>
      </c>
      <c r="N140" s="6" t="s">
        <v>741</v>
      </c>
      <c r="O140" s="11">
        <v>11453</v>
      </c>
      <c r="P140" s="11">
        <f t="shared" si="5"/>
        <v>11367.13</v>
      </c>
      <c r="Q140" s="18">
        <v>11453</v>
      </c>
      <c r="R140" s="19"/>
    </row>
    <row r="141" spans="1:19" ht="43.2" x14ac:dyDescent="0.3">
      <c r="A141" s="6" t="s">
        <v>742</v>
      </c>
      <c r="B141" s="7" t="s">
        <v>498</v>
      </c>
      <c r="C141" s="17" t="s">
        <v>743</v>
      </c>
      <c r="D141" s="17"/>
      <c r="E141" s="8">
        <v>17728</v>
      </c>
      <c r="F141" s="9">
        <v>74</v>
      </c>
      <c r="G141" s="6" t="s">
        <v>744</v>
      </c>
      <c r="H141" s="7" t="s">
        <v>39</v>
      </c>
      <c r="I141" s="6" t="s">
        <v>745</v>
      </c>
      <c r="J141" s="7" t="s">
        <v>41</v>
      </c>
      <c r="K141" s="7" t="s">
        <v>26</v>
      </c>
      <c r="L141" s="9">
        <v>63</v>
      </c>
      <c r="M141" s="10">
        <v>3.6999999999999998E-2</v>
      </c>
      <c r="N141" s="6" t="s">
        <v>746</v>
      </c>
      <c r="O141" s="11">
        <v>11200</v>
      </c>
      <c r="P141" s="11">
        <f t="shared" si="5"/>
        <v>10052.44</v>
      </c>
      <c r="Q141" s="18">
        <v>1400</v>
      </c>
      <c r="R141" s="19"/>
      <c r="S141" s="2" t="str">
        <f>IF(P149&lt;O149,"CATCHUP","NONE")</f>
        <v>CATCHUP</v>
      </c>
    </row>
    <row r="142" spans="1:19" ht="43.2" hidden="1" x14ac:dyDescent="0.3">
      <c r="A142" s="6" t="s">
        <v>747</v>
      </c>
      <c r="B142" s="7" t="s">
        <v>748</v>
      </c>
      <c r="C142" s="17" t="s">
        <v>749</v>
      </c>
      <c r="D142" s="17"/>
      <c r="E142" s="8">
        <v>18269</v>
      </c>
      <c r="F142" s="9">
        <v>72</v>
      </c>
      <c r="G142" s="6" t="s">
        <v>750</v>
      </c>
      <c r="H142" s="7" t="s">
        <v>39</v>
      </c>
      <c r="I142" s="6" t="s">
        <v>728</v>
      </c>
      <c r="J142" s="7" t="s">
        <v>20</v>
      </c>
      <c r="K142" s="7" t="s">
        <v>26</v>
      </c>
      <c r="L142" s="6"/>
      <c r="M142" s="10">
        <v>5.3999999999999999E-2</v>
      </c>
      <c r="N142" s="6" t="s">
        <v>751</v>
      </c>
      <c r="O142" s="11">
        <v>28000</v>
      </c>
      <c r="P142" s="11">
        <f t="shared" si="5"/>
        <v>24745.69</v>
      </c>
      <c r="Q142" s="18">
        <v>3500</v>
      </c>
      <c r="R142" s="19"/>
    </row>
    <row r="143" spans="1:19" ht="43.2" hidden="1" x14ac:dyDescent="0.3">
      <c r="A143" s="6" t="s">
        <v>752</v>
      </c>
      <c r="B143" s="7" t="s">
        <v>753</v>
      </c>
      <c r="C143" s="17" t="s">
        <v>754</v>
      </c>
      <c r="D143" s="17"/>
      <c r="E143" s="8">
        <v>15074</v>
      </c>
      <c r="F143" s="9">
        <v>81</v>
      </c>
      <c r="G143" s="6" t="s">
        <v>755</v>
      </c>
      <c r="H143" s="7" t="s">
        <v>39</v>
      </c>
      <c r="I143" s="6" t="s">
        <v>122</v>
      </c>
      <c r="J143" s="7" t="s">
        <v>20</v>
      </c>
      <c r="K143" s="7" t="s">
        <v>26</v>
      </c>
      <c r="L143" s="6"/>
      <c r="M143" s="10">
        <v>7.0800000000000002E-2</v>
      </c>
      <c r="N143" s="6" t="s">
        <v>756</v>
      </c>
      <c r="O143" s="11">
        <v>16000</v>
      </c>
      <c r="P143" s="11">
        <f t="shared" si="5"/>
        <v>14655.69</v>
      </c>
      <c r="Q143" s="18">
        <v>2000</v>
      </c>
      <c r="R143" s="19"/>
    </row>
    <row r="144" spans="1:19" hidden="1" x14ac:dyDescent="0.3">
      <c r="A144" s="6" t="s">
        <v>757</v>
      </c>
      <c r="B144" s="7" t="s">
        <v>758</v>
      </c>
      <c r="C144" s="17" t="s">
        <v>759</v>
      </c>
      <c r="D144" s="17"/>
      <c r="E144" s="8">
        <v>18160</v>
      </c>
      <c r="F144" s="9">
        <v>73</v>
      </c>
      <c r="G144" s="6" t="s">
        <v>760</v>
      </c>
      <c r="H144" s="7" t="s">
        <v>25</v>
      </c>
      <c r="I144" s="6"/>
      <c r="J144" s="7" t="s">
        <v>20</v>
      </c>
      <c r="K144" s="7" t="s">
        <v>26</v>
      </c>
      <c r="L144" s="6"/>
      <c r="M144" s="10">
        <v>5.5300000000000002E-2</v>
      </c>
      <c r="N144" s="6" t="s">
        <v>761</v>
      </c>
      <c r="O144" s="11">
        <v>33359.839999999997</v>
      </c>
      <c r="P144" s="11">
        <f t="shared" si="5"/>
        <v>29189.859999999997</v>
      </c>
      <c r="Q144" s="18">
        <v>4169.9799999999996</v>
      </c>
      <c r="R144" s="19"/>
    </row>
    <row r="145" spans="1:19" ht="28.8" hidden="1" x14ac:dyDescent="0.3">
      <c r="A145" s="6" t="s">
        <v>762</v>
      </c>
      <c r="B145" s="7" t="s">
        <v>401</v>
      </c>
      <c r="C145" s="17" t="s">
        <v>759</v>
      </c>
      <c r="D145" s="17"/>
      <c r="E145" s="8">
        <v>18467</v>
      </c>
      <c r="F145" s="9">
        <v>72</v>
      </c>
      <c r="G145" s="6" t="s">
        <v>763</v>
      </c>
      <c r="H145" s="7" t="s">
        <v>39</v>
      </c>
      <c r="I145" s="6" t="s">
        <v>284</v>
      </c>
      <c r="J145" s="7" t="s">
        <v>20</v>
      </c>
      <c r="K145" s="7" t="s">
        <v>26</v>
      </c>
      <c r="L145" s="6"/>
      <c r="M145" s="10">
        <v>5.3999999999999999E-2</v>
      </c>
      <c r="N145" s="6" t="s">
        <v>764</v>
      </c>
      <c r="O145" s="11">
        <v>2000</v>
      </c>
      <c r="P145" s="11">
        <f t="shared" si="5"/>
        <v>1930.79</v>
      </c>
      <c r="Q145" s="18">
        <v>250</v>
      </c>
      <c r="R145" s="19"/>
    </row>
    <row r="146" spans="1:19" ht="43.2" hidden="1" x14ac:dyDescent="0.3">
      <c r="A146" s="6" t="s">
        <v>765</v>
      </c>
      <c r="B146" s="7" t="s">
        <v>766</v>
      </c>
      <c r="C146" s="17" t="s">
        <v>759</v>
      </c>
      <c r="D146" s="17"/>
      <c r="E146" s="8">
        <v>18227</v>
      </c>
      <c r="F146" s="9">
        <v>73</v>
      </c>
      <c r="G146" s="6" t="s">
        <v>767</v>
      </c>
      <c r="H146" s="7" t="s">
        <v>39</v>
      </c>
      <c r="I146" s="6" t="s">
        <v>132</v>
      </c>
      <c r="J146" s="7" t="s">
        <v>20</v>
      </c>
      <c r="K146" s="7" t="s">
        <v>26</v>
      </c>
      <c r="L146" s="6"/>
      <c r="M146" s="10">
        <v>5.5300000000000002E-2</v>
      </c>
      <c r="N146" s="6" t="s">
        <v>768</v>
      </c>
      <c r="O146" s="11">
        <v>12000</v>
      </c>
      <c r="P146" s="11">
        <f t="shared" si="5"/>
        <v>10865.81</v>
      </c>
      <c r="Q146" s="18">
        <v>1500</v>
      </c>
      <c r="R146" s="19"/>
    </row>
    <row r="147" spans="1:19" hidden="1" x14ac:dyDescent="0.3">
      <c r="A147" s="6" t="s">
        <v>769</v>
      </c>
      <c r="B147" s="7" t="s">
        <v>770</v>
      </c>
      <c r="C147" s="17" t="s">
        <v>759</v>
      </c>
      <c r="D147" s="17"/>
      <c r="E147" s="7" t="s">
        <v>771</v>
      </c>
      <c r="F147" s="9">
        <v>78</v>
      </c>
      <c r="G147" s="6" t="s">
        <v>772</v>
      </c>
      <c r="H147" s="7" t="s">
        <v>25</v>
      </c>
      <c r="I147" s="6" t="s">
        <v>19</v>
      </c>
      <c r="J147" s="7" t="s">
        <v>20</v>
      </c>
      <c r="K147" s="7" t="s">
        <v>32</v>
      </c>
      <c r="L147" s="6"/>
      <c r="M147" s="10">
        <v>6.3600000000000004E-2</v>
      </c>
      <c r="N147" s="6" t="s">
        <v>773</v>
      </c>
      <c r="O147" s="6" t="s">
        <v>19</v>
      </c>
      <c r="P147" s="11" t="e">
        <f t="shared" si="5"/>
        <v>#VALUE!</v>
      </c>
      <c r="Q147" s="19" t="s">
        <v>19</v>
      </c>
      <c r="R147" s="19"/>
    </row>
    <row r="148" spans="1:19" ht="43.2" hidden="1" x14ac:dyDescent="0.3">
      <c r="A148" s="6" t="s">
        <v>774</v>
      </c>
      <c r="B148" s="7" t="s">
        <v>678</v>
      </c>
      <c r="C148" s="17" t="s">
        <v>759</v>
      </c>
      <c r="D148" s="17"/>
      <c r="E148" s="8">
        <v>18538</v>
      </c>
      <c r="F148" s="9">
        <v>72</v>
      </c>
      <c r="G148" s="6" t="s">
        <v>775</v>
      </c>
      <c r="H148" s="7" t="s">
        <v>39</v>
      </c>
      <c r="I148" s="6" t="s">
        <v>40</v>
      </c>
      <c r="J148" s="7" t="s">
        <v>20</v>
      </c>
      <c r="K148" s="7" t="s">
        <v>26</v>
      </c>
      <c r="L148" s="6"/>
      <c r="M148" s="10">
        <v>5.3999999999999999E-2</v>
      </c>
      <c r="N148" s="6" t="s">
        <v>776</v>
      </c>
      <c r="O148" s="11">
        <v>24000</v>
      </c>
      <c r="P148" s="11">
        <f t="shared" si="5"/>
        <v>23570.22</v>
      </c>
      <c r="Q148" s="18">
        <v>3000</v>
      </c>
      <c r="R148" s="19"/>
    </row>
    <row r="149" spans="1:19" ht="43.2" x14ac:dyDescent="0.3">
      <c r="A149" s="6" t="s">
        <v>777</v>
      </c>
      <c r="B149" s="7" t="s">
        <v>778</v>
      </c>
      <c r="C149" s="17" t="s">
        <v>779</v>
      </c>
      <c r="D149" s="17"/>
      <c r="E149" s="8">
        <v>16979</v>
      </c>
      <c r="F149" s="9">
        <v>76</v>
      </c>
      <c r="G149" s="6" t="s">
        <v>780</v>
      </c>
      <c r="H149" s="7" t="s">
        <v>39</v>
      </c>
      <c r="I149" s="6" t="s">
        <v>47</v>
      </c>
      <c r="J149" s="7" t="s">
        <v>41</v>
      </c>
      <c r="K149" s="7" t="s">
        <v>26</v>
      </c>
      <c r="L149" s="9">
        <v>72</v>
      </c>
      <c r="M149" s="10">
        <v>5.3999999999999999E-2</v>
      </c>
      <c r="N149" s="6" t="s">
        <v>781</v>
      </c>
      <c r="O149" s="11">
        <v>8000</v>
      </c>
      <c r="P149" s="11">
        <f t="shared" si="5"/>
        <v>7600.23</v>
      </c>
      <c r="Q149" s="18">
        <v>1000</v>
      </c>
      <c r="R149" s="19"/>
      <c r="S149" s="2" t="e">
        <f>IF(P157&lt;O157,"CATCHUP","NONE")</f>
        <v>#VALUE!</v>
      </c>
    </row>
    <row r="150" spans="1:19" hidden="1" x14ac:dyDescent="0.3">
      <c r="A150" s="6" t="s">
        <v>782</v>
      </c>
      <c r="B150" s="7" t="s">
        <v>678</v>
      </c>
      <c r="C150" s="17" t="s">
        <v>783</v>
      </c>
      <c r="D150" s="17"/>
      <c r="E150" s="8">
        <v>17389</v>
      </c>
      <c r="F150" s="9">
        <v>75</v>
      </c>
      <c r="G150" s="6" t="s">
        <v>785</v>
      </c>
      <c r="H150" s="7" t="s">
        <v>25</v>
      </c>
      <c r="I150" s="6"/>
      <c r="J150" s="7" t="s">
        <v>20</v>
      </c>
      <c r="K150" s="7" t="s">
        <v>26</v>
      </c>
      <c r="L150" s="6"/>
      <c r="M150" s="10">
        <v>5.8200000000000002E-2</v>
      </c>
      <c r="N150" s="6" t="s">
        <v>786</v>
      </c>
      <c r="O150" s="11">
        <v>31500</v>
      </c>
      <c r="P150" s="11">
        <f t="shared" si="5"/>
        <v>28914.38</v>
      </c>
      <c r="Q150" s="18">
        <v>15502.44</v>
      </c>
      <c r="R150" s="19"/>
    </row>
    <row r="151" spans="1:19" ht="43.2" hidden="1" x14ac:dyDescent="0.3">
      <c r="A151" s="6" t="s">
        <v>787</v>
      </c>
      <c r="B151" s="7" t="s">
        <v>246</v>
      </c>
      <c r="C151" s="17" t="s">
        <v>788</v>
      </c>
      <c r="D151" s="17"/>
      <c r="E151" s="8">
        <v>17412</v>
      </c>
      <c r="F151" s="9">
        <v>75</v>
      </c>
      <c r="G151" s="6" t="s">
        <v>790</v>
      </c>
      <c r="H151" s="7" t="s">
        <v>39</v>
      </c>
      <c r="I151" s="6" t="s">
        <v>47</v>
      </c>
      <c r="J151" s="7" t="s">
        <v>20</v>
      </c>
      <c r="K151" s="7" t="s">
        <v>26</v>
      </c>
      <c r="L151" s="6"/>
      <c r="M151" s="10">
        <v>5.8200000000000002E-2</v>
      </c>
      <c r="N151" s="6" t="s">
        <v>791</v>
      </c>
      <c r="O151" s="11">
        <v>8000</v>
      </c>
      <c r="P151" s="11">
        <f t="shared" si="5"/>
        <v>7481.61</v>
      </c>
      <c r="Q151" s="18">
        <v>1000</v>
      </c>
      <c r="R151" s="19"/>
    </row>
    <row r="152" spans="1:19" ht="43.2" hidden="1" x14ac:dyDescent="0.3">
      <c r="A152" s="6" t="s">
        <v>792</v>
      </c>
      <c r="B152" s="7" t="s">
        <v>793</v>
      </c>
      <c r="C152" s="17" t="s">
        <v>794</v>
      </c>
      <c r="D152" s="17"/>
      <c r="E152" s="8">
        <v>17875</v>
      </c>
      <c r="F152" s="9">
        <v>74</v>
      </c>
      <c r="G152" s="6" t="s">
        <v>795</v>
      </c>
      <c r="H152" s="7" t="s">
        <v>39</v>
      </c>
      <c r="I152" s="6" t="s">
        <v>40</v>
      </c>
      <c r="J152" s="7" t="s">
        <v>20</v>
      </c>
      <c r="K152" s="7" t="s">
        <v>26</v>
      </c>
      <c r="L152" s="6"/>
      <c r="M152" s="10">
        <v>5.67E-2</v>
      </c>
      <c r="N152" s="6" t="s">
        <v>796</v>
      </c>
      <c r="O152" s="11">
        <v>34000</v>
      </c>
      <c r="P152" s="11">
        <f t="shared" si="5"/>
        <v>31247.29</v>
      </c>
      <c r="Q152" s="18">
        <v>3000</v>
      </c>
      <c r="R152" s="19"/>
    </row>
    <row r="153" spans="1:19" ht="28.8" hidden="1" x14ac:dyDescent="0.3">
      <c r="A153" s="6" t="s">
        <v>797</v>
      </c>
      <c r="B153" s="7" t="s">
        <v>798</v>
      </c>
      <c r="C153" s="17" t="s">
        <v>799</v>
      </c>
      <c r="D153" s="17"/>
      <c r="E153" s="8">
        <v>17814</v>
      </c>
      <c r="F153" s="9">
        <v>74</v>
      </c>
      <c r="G153" s="6" t="s">
        <v>800</v>
      </c>
      <c r="H153" s="7" t="s">
        <v>39</v>
      </c>
      <c r="I153" s="6" t="s">
        <v>801</v>
      </c>
      <c r="J153" s="7" t="s">
        <v>20</v>
      </c>
      <c r="K153" s="7" t="s">
        <v>26</v>
      </c>
      <c r="L153" s="6"/>
      <c r="M153" s="10">
        <v>5.67E-2</v>
      </c>
      <c r="N153" s="6" t="s">
        <v>802</v>
      </c>
      <c r="O153" s="11">
        <v>1000</v>
      </c>
      <c r="P153" s="11">
        <f t="shared" si="5"/>
        <v>952.56</v>
      </c>
      <c r="Q153" s="18">
        <v>125</v>
      </c>
      <c r="R153" s="19"/>
    </row>
    <row r="154" spans="1:19" ht="43.2" hidden="1" x14ac:dyDescent="0.3">
      <c r="A154" s="6" t="s">
        <v>803</v>
      </c>
      <c r="B154" s="7" t="s">
        <v>140</v>
      </c>
      <c r="C154" s="17" t="s">
        <v>799</v>
      </c>
      <c r="D154" s="17"/>
      <c r="E154" s="8">
        <v>18114</v>
      </c>
      <c r="F154" s="9">
        <v>73</v>
      </c>
      <c r="G154" s="6" t="s">
        <v>804</v>
      </c>
      <c r="H154" s="7" t="s">
        <v>39</v>
      </c>
      <c r="I154" s="6" t="s">
        <v>805</v>
      </c>
      <c r="J154" s="7" t="s">
        <v>20</v>
      </c>
      <c r="K154" s="7" t="s">
        <v>26</v>
      </c>
      <c r="L154" s="6"/>
      <c r="M154" s="10">
        <v>5.5300000000000002E-2</v>
      </c>
      <c r="N154" s="6" t="s">
        <v>806</v>
      </c>
      <c r="O154" s="11">
        <v>18560</v>
      </c>
      <c r="P154" s="11">
        <f t="shared" si="5"/>
        <v>15820.86</v>
      </c>
      <c r="Q154" s="18">
        <v>2320</v>
      </c>
      <c r="R154" s="19"/>
    </row>
    <row r="155" spans="1:19" hidden="1" x14ac:dyDescent="0.3">
      <c r="A155" s="6" t="s">
        <v>807</v>
      </c>
      <c r="B155" s="7" t="s">
        <v>224</v>
      </c>
      <c r="C155" s="17" t="s">
        <v>808</v>
      </c>
      <c r="D155" s="17"/>
      <c r="E155" s="8">
        <v>16109</v>
      </c>
      <c r="F155" s="9">
        <v>78</v>
      </c>
      <c r="G155" s="6" t="s">
        <v>809</v>
      </c>
      <c r="H155" s="7" t="s">
        <v>25</v>
      </c>
      <c r="I155" s="6"/>
      <c r="J155" s="7" t="s">
        <v>20</v>
      </c>
      <c r="K155" s="7" t="s">
        <v>26</v>
      </c>
      <c r="L155" s="6"/>
      <c r="M155" s="10">
        <v>6.3600000000000004E-2</v>
      </c>
      <c r="N155" s="6" t="s">
        <v>810</v>
      </c>
      <c r="O155" s="11">
        <v>3545.44</v>
      </c>
      <c r="P155" s="11">
        <f t="shared" si="5"/>
        <v>3102.26</v>
      </c>
      <c r="Q155" s="18">
        <v>443.18</v>
      </c>
      <c r="R155" s="19"/>
    </row>
    <row r="156" spans="1:19" x14ac:dyDescent="0.3">
      <c r="A156" s="6" t="s">
        <v>811</v>
      </c>
      <c r="B156" s="7" t="s">
        <v>140</v>
      </c>
      <c r="C156" s="17" t="s">
        <v>812</v>
      </c>
      <c r="D156" s="17"/>
      <c r="E156" s="8">
        <v>16546</v>
      </c>
      <c r="F156" s="9">
        <v>77</v>
      </c>
      <c r="G156" s="6" t="s">
        <v>813</v>
      </c>
      <c r="H156" s="7" t="s">
        <v>25</v>
      </c>
      <c r="I156" s="6"/>
      <c r="J156" s="7" t="s">
        <v>41</v>
      </c>
      <c r="K156" s="7" t="s">
        <v>26</v>
      </c>
      <c r="L156" s="9">
        <v>71</v>
      </c>
      <c r="M156" s="10">
        <v>5.28E-2</v>
      </c>
      <c r="N156" s="6" t="s">
        <v>814</v>
      </c>
      <c r="O156" s="11">
        <v>8175.2</v>
      </c>
      <c r="P156" s="11">
        <f t="shared" si="5"/>
        <v>7153.3</v>
      </c>
      <c r="Q156" s="18">
        <v>1021.9</v>
      </c>
      <c r="R156" s="19"/>
      <c r="S156" s="2" t="e">
        <f>IF(P164&lt;O164,"CATCHUP","NONE")</f>
        <v>#VALUE!</v>
      </c>
    </row>
    <row r="157" spans="1:19" hidden="1" x14ac:dyDescent="0.3">
      <c r="A157" s="6" t="s">
        <v>815</v>
      </c>
      <c r="B157" s="7" t="s">
        <v>140</v>
      </c>
      <c r="C157" s="17" t="s">
        <v>816</v>
      </c>
      <c r="D157" s="17"/>
      <c r="E157" s="7" t="s">
        <v>817</v>
      </c>
      <c r="F157" s="9">
        <v>79</v>
      </c>
      <c r="G157" s="6" t="s">
        <v>818</v>
      </c>
      <c r="H157" s="7" t="s">
        <v>25</v>
      </c>
      <c r="I157" s="6" t="s">
        <v>19</v>
      </c>
      <c r="J157" s="7" t="s">
        <v>20</v>
      </c>
      <c r="K157" s="7" t="s">
        <v>32</v>
      </c>
      <c r="L157" s="6"/>
      <c r="M157" s="10">
        <v>6.5799999999999997E-2</v>
      </c>
      <c r="N157" s="6" t="s">
        <v>819</v>
      </c>
      <c r="O157" s="6" t="s">
        <v>19</v>
      </c>
      <c r="P157" s="11" t="e">
        <f t="shared" si="5"/>
        <v>#VALUE!</v>
      </c>
      <c r="Q157" s="19" t="s">
        <v>19</v>
      </c>
      <c r="R157" s="19"/>
    </row>
    <row r="158" spans="1:19" x14ac:dyDescent="0.3">
      <c r="A158" s="6" t="s">
        <v>820</v>
      </c>
      <c r="B158" s="7" t="s">
        <v>60</v>
      </c>
      <c r="C158" s="17" t="s">
        <v>816</v>
      </c>
      <c r="D158" s="17"/>
      <c r="E158" s="8">
        <v>15131</v>
      </c>
      <c r="F158" s="9">
        <v>81</v>
      </c>
      <c r="G158" s="6" t="s">
        <v>821</v>
      </c>
      <c r="H158" s="7" t="s">
        <v>25</v>
      </c>
      <c r="I158" s="6"/>
      <c r="J158" s="7" t="s">
        <v>41</v>
      </c>
      <c r="K158" s="7" t="s">
        <v>32</v>
      </c>
      <c r="L158" s="9">
        <v>80</v>
      </c>
      <c r="M158" s="10">
        <v>6.8199999999999997E-2</v>
      </c>
      <c r="N158" s="6" t="s">
        <v>822</v>
      </c>
      <c r="O158" s="11">
        <v>2266.11</v>
      </c>
      <c r="P158" s="11">
        <f t="shared" si="5"/>
        <v>2077.27</v>
      </c>
      <c r="Q158" s="18">
        <v>2266.11</v>
      </c>
      <c r="R158" s="19"/>
      <c r="S158" s="2" t="str">
        <f>IF(P166&lt;O166,"CATCHUP","NONE")</f>
        <v>CATCHUP</v>
      </c>
    </row>
    <row r="159" spans="1:19" ht="43.2" hidden="1" x14ac:dyDescent="0.3">
      <c r="A159" s="6" t="s">
        <v>823</v>
      </c>
      <c r="B159" s="7" t="s">
        <v>824</v>
      </c>
      <c r="C159" s="17" t="s">
        <v>825</v>
      </c>
      <c r="D159" s="17"/>
      <c r="E159" s="8">
        <v>16885</v>
      </c>
      <c r="F159" s="9">
        <v>76</v>
      </c>
      <c r="G159" s="6" t="s">
        <v>826</v>
      </c>
      <c r="H159" s="7" t="s">
        <v>39</v>
      </c>
      <c r="I159" s="6" t="s">
        <v>827</v>
      </c>
      <c r="J159" s="7" t="s">
        <v>20</v>
      </c>
      <c r="K159" s="7" t="s">
        <v>26</v>
      </c>
      <c r="L159" s="6"/>
      <c r="M159" s="10">
        <v>5.9799999999999999E-2</v>
      </c>
      <c r="N159" s="6" t="s">
        <v>828</v>
      </c>
      <c r="O159" s="11">
        <v>36800</v>
      </c>
      <c r="P159" s="11">
        <f t="shared" si="5"/>
        <v>33385.15</v>
      </c>
      <c r="Q159" s="18">
        <v>4600</v>
      </c>
      <c r="R159" s="19"/>
    </row>
    <row r="160" spans="1:19" hidden="1" x14ac:dyDescent="0.3">
      <c r="A160" s="6" t="s">
        <v>829</v>
      </c>
      <c r="B160" s="7" t="s">
        <v>830</v>
      </c>
      <c r="C160" s="17" t="s">
        <v>831</v>
      </c>
      <c r="D160" s="17"/>
      <c r="E160" s="8">
        <v>18347</v>
      </c>
      <c r="F160" s="9">
        <v>72</v>
      </c>
      <c r="G160" s="6" t="s">
        <v>832</v>
      </c>
      <c r="H160" s="7" t="s">
        <v>25</v>
      </c>
      <c r="I160" s="6"/>
      <c r="J160" s="7" t="s">
        <v>20</v>
      </c>
      <c r="K160" s="7" t="s">
        <v>32</v>
      </c>
      <c r="L160" s="6"/>
      <c r="M160" s="10">
        <v>5.3999999999999999E-2</v>
      </c>
      <c r="N160" s="6" t="s">
        <v>833</v>
      </c>
      <c r="O160" s="11">
        <v>4993.7700000000004</v>
      </c>
      <c r="P160" s="11">
        <f t="shared" si="5"/>
        <v>4577.6200000000008</v>
      </c>
      <c r="Q160" s="18">
        <v>4993.7700000000004</v>
      </c>
      <c r="R160" s="19"/>
    </row>
    <row r="161" spans="1:19" ht="43.2" x14ac:dyDescent="0.3">
      <c r="A161" s="6" t="s">
        <v>834</v>
      </c>
      <c r="B161" s="7" t="s">
        <v>678</v>
      </c>
      <c r="C161" s="17" t="s">
        <v>835</v>
      </c>
      <c r="D161" s="17"/>
      <c r="E161" s="8">
        <v>17251</v>
      </c>
      <c r="F161" s="9">
        <v>75</v>
      </c>
      <c r="G161" s="6" t="s">
        <v>836</v>
      </c>
      <c r="H161" s="7" t="s">
        <v>39</v>
      </c>
      <c r="I161" s="6" t="s">
        <v>47</v>
      </c>
      <c r="J161" s="7" t="s">
        <v>41</v>
      </c>
      <c r="K161" s="7" t="s">
        <v>26</v>
      </c>
      <c r="L161" s="6"/>
      <c r="M161" s="6"/>
      <c r="N161" s="6" t="s">
        <v>837</v>
      </c>
      <c r="O161" s="11">
        <v>8000</v>
      </c>
      <c r="P161" s="11">
        <f t="shared" si="5"/>
        <v>7014.77</v>
      </c>
      <c r="Q161" s="18">
        <v>6.61</v>
      </c>
      <c r="R161" s="19"/>
      <c r="S161" s="2" t="str">
        <f>IF(P169&lt;O169,"CATCHUP","NONE")</f>
        <v>CATCHUP</v>
      </c>
    </row>
    <row r="162" spans="1:19" ht="43.2" hidden="1" x14ac:dyDescent="0.3">
      <c r="A162" s="6" t="s">
        <v>838</v>
      </c>
      <c r="B162" s="7" t="s">
        <v>330</v>
      </c>
      <c r="C162" s="17" t="s">
        <v>839</v>
      </c>
      <c r="D162" s="17"/>
      <c r="E162" s="8">
        <v>15905</v>
      </c>
      <c r="F162" s="9">
        <v>79</v>
      </c>
      <c r="G162" s="6" t="s">
        <v>840</v>
      </c>
      <c r="H162" s="7" t="s">
        <v>39</v>
      </c>
      <c r="I162" s="6" t="s">
        <v>267</v>
      </c>
      <c r="J162" s="7" t="s">
        <v>20</v>
      </c>
      <c r="K162" s="7" t="s">
        <v>26</v>
      </c>
      <c r="L162" s="6"/>
      <c r="M162" s="10">
        <v>6.5799999999999997E-2</v>
      </c>
      <c r="N162" s="6" t="s">
        <v>841</v>
      </c>
      <c r="O162" s="11">
        <v>17600</v>
      </c>
      <c r="P162" s="11">
        <f t="shared" si="5"/>
        <v>17158.419999999998</v>
      </c>
      <c r="Q162" s="18">
        <v>2200</v>
      </c>
      <c r="R162" s="19"/>
    </row>
    <row r="163" spans="1:19" hidden="1" x14ac:dyDescent="0.3">
      <c r="A163" s="6" t="s">
        <v>842</v>
      </c>
      <c r="B163" s="7" t="s">
        <v>843</v>
      </c>
      <c r="C163" s="17" t="s">
        <v>844</v>
      </c>
      <c r="D163" s="17"/>
      <c r="E163" s="7" t="s">
        <v>845</v>
      </c>
      <c r="F163" s="9">
        <v>75</v>
      </c>
      <c r="G163" s="6" t="s">
        <v>846</v>
      </c>
      <c r="H163" s="7" t="s">
        <v>25</v>
      </c>
      <c r="I163" s="6" t="s">
        <v>19</v>
      </c>
      <c r="J163" s="7" t="s">
        <v>20</v>
      </c>
      <c r="K163" s="7" t="s">
        <v>26</v>
      </c>
      <c r="L163" s="6"/>
      <c r="M163" s="10">
        <v>5.8200000000000002E-2</v>
      </c>
      <c r="N163" s="6" t="s">
        <v>847</v>
      </c>
      <c r="O163" s="6" t="s">
        <v>19</v>
      </c>
      <c r="P163" s="11" t="e">
        <f t="shared" si="5"/>
        <v>#VALUE!</v>
      </c>
      <c r="Q163" s="19" t="s">
        <v>19</v>
      </c>
      <c r="R163" s="19"/>
    </row>
    <row r="164" spans="1:19" ht="43.2" hidden="1" x14ac:dyDescent="0.3">
      <c r="A164" s="6" t="s">
        <v>848</v>
      </c>
      <c r="B164" s="7" t="s">
        <v>849</v>
      </c>
      <c r="C164" s="17" t="s">
        <v>850</v>
      </c>
      <c r="D164" s="17"/>
      <c r="E164" s="7" t="s">
        <v>851</v>
      </c>
      <c r="F164" s="9">
        <v>75</v>
      </c>
      <c r="G164" s="6" t="s">
        <v>852</v>
      </c>
      <c r="H164" s="7" t="s">
        <v>39</v>
      </c>
      <c r="I164" s="6" t="s">
        <v>279</v>
      </c>
      <c r="J164" s="7" t="s">
        <v>20</v>
      </c>
      <c r="K164" s="7" t="s">
        <v>32</v>
      </c>
      <c r="L164" s="6"/>
      <c r="M164" s="10">
        <v>5.8200000000000002E-2</v>
      </c>
      <c r="N164" s="6" t="s">
        <v>853</v>
      </c>
      <c r="O164" s="6" t="s">
        <v>19</v>
      </c>
      <c r="P164" s="11" t="e">
        <f t="shared" si="5"/>
        <v>#VALUE!</v>
      </c>
      <c r="Q164" s="19" t="s">
        <v>19</v>
      </c>
      <c r="R164" s="19"/>
    </row>
    <row r="165" spans="1:19" hidden="1" x14ac:dyDescent="0.3">
      <c r="A165" s="6" t="s">
        <v>854</v>
      </c>
      <c r="B165" s="7" t="s">
        <v>678</v>
      </c>
      <c r="C165" s="17" t="s">
        <v>855</v>
      </c>
      <c r="D165" s="17"/>
      <c r="E165" s="8">
        <v>16908</v>
      </c>
      <c r="F165" s="9">
        <v>76</v>
      </c>
      <c r="G165" s="6" t="s">
        <v>856</v>
      </c>
      <c r="H165" s="7" t="s">
        <v>25</v>
      </c>
      <c r="I165" s="6"/>
      <c r="J165" s="7" t="s">
        <v>20</v>
      </c>
      <c r="K165" s="7" t="s">
        <v>26</v>
      </c>
      <c r="L165" s="6"/>
      <c r="M165" s="10">
        <v>5.9799999999999999E-2</v>
      </c>
      <c r="N165" s="6" t="s">
        <v>857</v>
      </c>
      <c r="O165" s="11">
        <v>50000</v>
      </c>
      <c r="P165" s="11">
        <f t="shared" si="5"/>
        <v>47289.33</v>
      </c>
      <c r="Q165" s="18">
        <v>50000</v>
      </c>
      <c r="R165" s="19"/>
    </row>
    <row r="166" spans="1:19" ht="43.2" hidden="1" x14ac:dyDescent="0.3">
      <c r="A166" s="6" t="s">
        <v>858</v>
      </c>
      <c r="B166" s="7" t="s">
        <v>859</v>
      </c>
      <c r="C166" s="17" t="s">
        <v>860</v>
      </c>
      <c r="D166" s="17"/>
      <c r="E166" s="8">
        <v>15586</v>
      </c>
      <c r="F166" s="9">
        <v>80</v>
      </c>
      <c r="G166" s="6" t="s">
        <v>861</v>
      </c>
      <c r="H166" s="7" t="s">
        <v>39</v>
      </c>
      <c r="I166" s="6" t="s">
        <v>47</v>
      </c>
      <c r="J166" s="7" t="s">
        <v>20</v>
      </c>
      <c r="K166" s="7" t="s">
        <v>26</v>
      </c>
      <c r="L166" s="6"/>
      <c r="M166" s="10">
        <v>6.8199999999999997E-2</v>
      </c>
      <c r="N166" s="6" t="s">
        <v>862</v>
      </c>
      <c r="O166" s="11">
        <v>4000</v>
      </c>
      <c r="P166" s="11">
        <f t="shared" si="5"/>
        <v>3637.2799999999997</v>
      </c>
      <c r="Q166" s="18">
        <v>1000</v>
      </c>
      <c r="R166" s="19"/>
    </row>
    <row r="167" spans="1:19" ht="43.2" x14ac:dyDescent="0.3">
      <c r="A167" s="6" t="s">
        <v>863</v>
      </c>
      <c r="B167" s="7" t="s">
        <v>864</v>
      </c>
      <c r="C167" s="17" t="s">
        <v>865</v>
      </c>
      <c r="D167" s="17"/>
      <c r="E167" s="8">
        <v>16028</v>
      </c>
      <c r="F167" s="9">
        <v>79</v>
      </c>
      <c r="G167" s="6" t="s">
        <v>866</v>
      </c>
      <c r="H167" s="7" t="s">
        <v>39</v>
      </c>
      <c r="I167" s="6" t="s">
        <v>132</v>
      </c>
      <c r="J167" s="7" t="s">
        <v>41</v>
      </c>
      <c r="K167" s="7" t="s">
        <v>26</v>
      </c>
      <c r="L167" s="9">
        <v>85</v>
      </c>
      <c r="M167" s="10">
        <v>8.5099999999999995E-2</v>
      </c>
      <c r="N167" s="6" t="s">
        <v>867</v>
      </c>
      <c r="O167" s="11">
        <v>25000</v>
      </c>
      <c r="P167" s="11">
        <f t="shared" si="5"/>
        <v>23930.1</v>
      </c>
      <c r="Q167" s="18">
        <v>1500</v>
      </c>
      <c r="R167" s="19"/>
      <c r="S167" s="2" t="str">
        <f>IF(P175&lt;O175,"CATCHUP","NONE")</f>
        <v>CATCHUP</v>
      </c>
    </row>
    <row r="168" spans="1:19" ht="43.2" hidden="1" x14ac:dyDescent="0.3">
      <c r="A168" s="6" t="s">
        <v>868</v>
      </c>
      <c r="B168" s="7" t="s">
        <v>869</v>
      </c>
      <c r="C168" s="17" t="s">
        <v>870</v>
      </c>
      <c r="D168" s="17"/>
      <c r="E168" s="8">
        <v>18146</v>
      </c>
      <c r="F168" s="9">
        <v>73</v>
      </c>
      <c r="G168" s="6" t="s">
        <v>871</v>
      </c>
      <c r="H168" s="7" t="s">
        <v>39</v>
      </c>
      <c r="I168" s="6" t="s">
        <v>122</v>
      </c>
      <c r="J168" s="7" t="s">
        <v>20</v>
      </c>
      <c r="K168" s="7" t="s">
        <v>26</v>
      </c>
      <c r="L168" s="6"/>
      <c r="M168" s="10">
        <v>5.5300000000000002E-2</v>
      </c>
      <c r="N168" s="6" t="s">
        <v>872</v>
      </c>
      <c r="O168" s="11">
        <v>16000</v>
      </c>
      <c r="P168" s="11">
        <f t="shared" si="5"/>
        <v>15715.37</v>
      </c>
      <c r="Q168" s="18">
        <v>2000</v>
      </c>
      <c r="R168" s="19"/>
    </row>
    <row r="169" spans="1:19" ht="43.2" hidden="1" x14ac:dyDescent="0.3">
      <c r="A169" s="6" t="s">
        <v>873</v>
      </c>
      <c r="B169" s="7" t="s">
        <v>874</v>
      </c>
      <c r="C169" s="17" t="s">
        <v>875</v>
      </c>
      <c r="D169" s="17"/>
      <c r="E169" s="8">
        <v>16873</v>
      </c>
      <c r="F169" s="9">
        <v>76</v>
      </c>
      <c r="G169" s="6" t="s">
        <v>876</v>
      </c>
      <c r="H169" s="7" t="s">
        <v>39</v>
      </c>
      <c r="I169" s="6" t="s">
        <v>877</v>
      </c>
      <c r="J169" s="7" t="s">
        <v>20</v>
      </c>
      <c r="K169" s="7" t="s">
        <v>32</v>
      </c>
      <c r="L169" s="6"/>
      <c r="M169" s="10">
        <v>5.9799999999999999E-2</v>
      </c>
      <c r="N169" s="6" t="s">
        <v>878</v>
      </c>
      <c r="O169" s="11">
        <v>40000</v>
      </c>
      <c r="P169" s="11">
        <f t="shared" si="5"/>
        <v>37039.620000000003</v>
      </c>
      <c r="Q169" s="18">
        <v>40000</v>
      </c>
      <c r="R169" s="19"/>
    </row>
    <row r="170" spans="1:19" hidden="1" x14ac:dyDescent="0.3">
      <c r="A170" s="6" t="s">
        <v>879</v>
      </c>
      <c r="B170" s="7" t="s">
        <v>880</v>
      </c>
      <c r="C170" s="17" t="s">
        <v>881</v>
      </c>
      <c r="D170" s="17"/>
      <c r="E170" s="7" t="s">
        <v>882</v>
      </c>
      <c r="F170" s="9">
        <v>73</v>
      </c>
      <c r="G170" s="6" t="s">
        <v>883</v>
      </c>
      <c r="H170" s="7" t="s">
        <v>25</v>
      </c>
      <c r="I170" s="6" t="s">
        <v>19</v>
      </c>
      <c r="J170" s="7" t="s">
        <v>20</v>
      </c>
      <c r="K170" s="7" t="s">
        <v>32</v>
      </c>
      <c r="L170" s="6"/>
      <c r="M170" s="10">
        <v>5.5300000000000002E-2</v>
      </c>
      <c r="N170" s="6" t="s">
        <v>884</v>
      </c>
      <c r="O170" s="6" t="s">
        <v>19</v>
      </c>
      <c r="P170" s="11" t="e">
        <f t="shared" si="5"/>
        <v>#VALUE!</v>
      </c>
      <c r="Q170" s="19" t="s">
        <v>19</v>
      </c>
      <c r="R170" s="19"/>
    </row>
    <row r="171" spans="1:19" hidden="1" x14ac:dyDescent="0.3">
      <c r="A171" s="6" t="s">
        <v>885</v>
      </c>
      <c r="B171" s="7" t="s">
        <v>886</v>
      </c>
      <c r="C171" s="17" t="s">
        <v>881</v>
      </c>
      <c r="D171" s="17"/>
      <c r="E171" s="7" t="s">
        <v>887</v>
      </c>
      <c r="F171" s="9">
        <v>73</v>
      </c>
      <c r="G171" s="6" t="s">
        <v>888</v>
      </c>
      <c r="H171" s="7" t="s">
        <v>25</v>
      </c>
      <c r="I171" s="6" t="s">
        <v>19</v>
      </c>
      <c r="J171" s="7" t="s">
        <v>20</v>
      </c>
      <c r="K171" s="7" t="s">
        <v>32</v>
      </c>
      <c r="L171" s="6"/>
      <c r="M171" s="10">
        <v>5.5300000000000002E-2</v>
      </c>
      <c r="N171" s="6" t="s">
        <v>889</v>
      </c>
      <c r="O171" s="6" t="s">
        <v>19</v>
      </c>
      <c r="P171" s="11" t="e">
        <f t="shared" si="5"/>
        <v>#VALUE!</v>
      </c>
      <c r="Q171" s="19" t="s">
        <v>19</v>
      </c>
      <c r="R171" s="19"/>
    </row>
    <row r="172" spans="1:19" ht="28.8" hidden="1" x14ac:dyDescent="0.3">
      <c r="A172" s="6" t="s">
        <v>890</v>
      </c>
      <c r="B172" s="7" t="s">
        <v>114</v>
      </c>
      <c r="C172" s="17" t="s">
        <v>881</v>
      </c>
      <c r="D172" s="17"/>
      <c r="E172" s="7" t="s">
        <v>891</v>
      </c>
      <c r="F172" s="9">
        <v>74</v>
      </c>
      <c r="G172" s="6" t="s">
        <v>892</v>
      </c>
      <c r="H172" s="7" t="s">
        <v>39</v>
      </c>
      <c r="I172" s="6" t="s">
        <v>321</v>
      </c>
      <c r="J172" s="7" t="s">
        <v>20</v>
      </c>
      <c r="K172" s="7" t="s">
        <v>26</v>
      </c>
      <c r="L172" s="6"/>
      <c r="M172" s="10">
        <v>5.67E-2</v>
      </c>
      <c r="N172" s="6" t="s">
        <v>893</v>
      </c>
      <c r="O172" s="6" t="s">
        <v>19</v>
      </c>
      <c r="P172" s="11" t="e">
        <f t="shared" si="5"/>
        <v>#VALUE!</v>
      </c>
      <c r="Q172" s="19" t="s">
        <v>19</v>
      </c>
      <c r="R172" s="19"/>
    </row>
    <row r="173" spans="1:19" hidden="1" x14ac:dyDescent="0.3">
      <c r="A173" s="6" t="s">
        <v>894</v>
      </c>
      <c r="B173" s="7" t="s">
        <v>895</v>
      </c>
      <c r="C173" s="17" t="s">
        <v>881</v>
      </c>
      <c r="D173" s="17"/>
      <c r="E173" s="8">
        <v>17698</v>
      </c>
      <c r="F173" s="9">
        <v>74</v>
      </c>
      <c r="G173" s="6" t="s">
        <v>896</v>
      </c>
      <c r="H173" s="7" t="s">
        <v>25</v>
      </c>
      <c r="I173" s="6"/>
      <c r="J173" s="7" t="s">
        <v>20</v>
      </c>
      <c r="K173" s="7" t="s">
        <v>26</v>
      </c>
      <c r="L173" s="6"/>
      <c r="M173" s="10">
        <v>5.67E-2</v>
      </c>
      <c r="N173" s="6" t="s">
        <v>897</v>
      </c>
      <c r="O173" s="11">
        <v>8265.0400000000009</v>
      </c>
      <c r="P173" s="11">
        <f t="shared" si="5"/>
        <v>7231.9100000000008</v>
      </c>
      <c r="Q173" s="18">
        <v>1033.1300000000001</v>
      </c>
      <c r="R173" s="19"/>
    </row>
    <row r="174" spans="1:19" hidden="1" x14ac:dyDescent="0.3">
      <c r="A174" s="6" t="s">
        <v>898</v>
      </c>
      <c r="B174" s="7" t="s">
        <v>899</v>
      </c>
      <c r="C174" s="17" t="s">
        <v>881</v>
      </c>
      <c r="D174" s="17"/>
      <c r="E174" s="7" t="s">
        <v>900</v>
      </c>
      <c r="F174" s="9">
        <v>83</v>
      </c>
      <c r="G174" s="6" t="s">
        <v>901</v>
      </c>
      <c r="H174" s="7" t="s">
        <v>25</v>
      </c>
      <c r="I174" s="6" t="s">
        <v>19</v>
      </c>
      <c r="J174" s="7" t="s">
        <v>20</v>
      </c>
      <c r="K174" s="7" t="s">
        <v>32</v>
      </c>
      <c r="L174" s="6"/>
      <c r="M174" s="10">
        <v>7.7100000000000002E-2</v>
      </c>
      <c r="N174" s="6" t="s">
        <v>902</v>
      </c>
      <c r="O174" s="6" t="s">
        <v>19</v>
      </c>
      <c r="P174" s="11" t="e">
        <f t="shared" si="5"/>
        <v>#VALUE!</v>
      </c>
      <c r="Q174" s="19" t="s">
        <v>19</v>
      </c>
      <c r="R174" s="19"/>
    </row>
    <row r="175" spans="1:19" ht="28.8" x14ac:dyDescent="0.3">
      <c r="A175" s="6" t="s">
        <v>903</v>
      </c>
      <c r="B175" s="7" t="s">
        <v>904</v>
      </c>
      <c r="C175" s="17" t="s">
        <v>905</v>
      </c>
      <c r="D175" s="17"/>
      <c r="E175" s="8">
        <v>17767</v>
      </c>
      <c r="F175" s="9">
        <v>74</v>
      </c>
      <c r="G175" s="6" t="s">
        <v>906</v>
      </c>
      <c r="H175" s="7" t="s">
        <v>39</v>
      </c>
      <c r="I175" s="6" t="s">
        <v>321</v>
      </c>
      <c r="J175" s="7" t="s">
        <v>41</v>
      </c>
      <c r="K175" s="7" t="s">
        <v>26</v>
      </c>
      <c r="L175" s="9">
        <v>71</v>
      </c>
      <c r="M175" s="10">
        <v>5.28E-2</v>
      </c>
      <c r="N175" s="6" t="s">
        <v>907</v>
      </c>
      <c r="O175" s="11">
        <v>4000</v>
      </c>
      <c r="P175" s="11">
        <f t="shared" si="5"/>
        <v>3767.11</v>
      </c>
      <c r="Q175" s="18">
        <v>500</v>
      </c>
      <c r="R175" s="19"/>
      <c r="S175" s="2" t="str">
        <f>IF(P183&lt;O183,"CATCHUP","NONE")</f>
        <v>CATCHUP</v>
      </c>
    </row>
    <row r="176" spans="1:19" hidden="1" x14ac:dyDescent="0.3">
      <c r="A176" s="6" t="s">
        <v>908</v>
      </c>
      <c r="B176" s="7" t="s">
        <v>909</v>
      </c>
      <c r="C176" s="17" t="s">
        <v>905</v>
      </c>
      <c r="D176" s="17"/>
      <c r="E176" s="7" t="s">
        <v>910</v>
      </c>
      <c r="F176" s="9">
        <v>81</v>
      </c>
      <c r="G176" s="6" t="s">
        <v>911</v>
      </c>
      <c r="H176" s="7" t="s">
        <v>25</v>
      </c>
      <c r="I176" s="6" t="s">
        <v>19</v>
      </c>
      <c r="J176" s="7" t="s">
        <v>20</v>
      </c>
      <c r="K176" s="7" t="s">
        <v>32</v>
      </c>
      <c r="L176" s="6"/>
      <c r="M176" s="10">
        <v>7.0800000000000002E-2</v>
      </c>
      <c r="N176" s="6" t="s">
        <v>912</v>
      </c>
      <c r="O176" s="6" t="s">
        <v>19</v>
      </c>
      <c r="P176" s="11" t="e">
        <f t="shared" si="5"/>
        <v>#VALUE!</v>
      </c>
      <c r="Q176" s="19" t="s">
        <v>19</v>
      </c>
      <c r="R176" s="19"/>
    </row>
    <row r="177" spans="1:19" ht="43.2" hidden="1" x14ac:dyDescent="0.3">
      <c r="A177" s="6" t="s">
        <v>913</v>
      </c>
      <c r="B177" s="7" t="s">
        <v>401</v>
      </c>
      <c r="C177" s="17" t="s">
        <v>914</v>
      </c>
      <c r="D177" s="17"/>
      <c r="E177" s="8">
        <v>17916</v>
      </c>
      <c r="F177" s="9">
        <v>73</v>
      </c>
      <c r="G177" s="6" t="s">
        <v>915</v>
      </c>
      <c r="H177" s="7" t="s">
        <v>39</v>
      </c>
      <c r="I177" s="6" t="s">
        <v>132</v>
      </c>
      <c r="J177" s="7" t="s">
        <v>20</v>
      </c>
      <c r="K177" s="7" t="s">
        <v>26</v>
      </c>
      <c r="L177" s="6"/>
      <c r="M177" s="10">
        <v>5.5300000000000002E-2</v>
      </c>
      <c r="N177" s="6" t="s">
        <v>916</v>
      </c>
      <c r="O177" s="11">
        <v>12000</v>
      </c>
      <c r="P177" s="11">
        <f t="shared" si="5"/>
        <v>11238.62</v>
      </c>
      <c r="Q177" s="18">
        <v>1500</v>
      </c>
      <c r="R177" s="19"/>
    </row>
    <row r="178" spans="1:19" hidden="1" x14ac:dyDescent="0.3">
      <c r="A178" s="6" t="s">
        <v>917</v>
      </c>
      <c r="B178" s="7" t="s">
        <v>918</v>
      </c>
      <c r="C178" s="17" t="s">
        <v>919</v>
      </c>
      <c r="D178" s="17"/>
      <c r="E178" s="7" t="s">
        <v>920</v>
      </c>
      <c r="F178" s="9">
        <v>73</v>
      </c>
      <c r="G178" s="6" t="s">
        <v>921</v>
      </c>
      <c r="H178" s="7" t="s">
        <v>25</v>
      </c>
      <c r="I178" s="6" t="s">
        <v>19</v>
      </c>
      <c r="J178" s="7" t="s">
        <v>20</v>
      </c>
      <c r="K178" s="7" t="s">
        <v>32</v>
      </c>
      <c r="L178" s="6"/>
      <c r="M178" s="10">
        <v>5.5300000000000002E-2</v>
      </c>
      <c r="N178" s="6" t="s">
        <v>922</v>
      </c>
      <c r="O178" s="6" t="s">
        <v>19</v>
      </c>
      <c r="P178" s="11" t="e">
        <f t="shared" si="5"/>
        <v>#VALUE!</v>
      </c>
      <c r="Q178" s="19" t="s">
        <v>19</v>
      </c>
      <c r="R178" s="19"/>
    </row>
    <row r="179" spans="1:19" hidden="1" x14ac:dyDescent="0.3">
      <c r="A179" s="6" t="s">
        <v>923</v>
      </c>
      <c r="B179" s="7" t="s">
        <v>924</v>
      </c>
      <c r="C179" s="17" t="s">
        <v>925</v>
      </c>
      <c r="D179" s="17"/>
      <c r="E179" s="7" t="s">
        <v>926</v>
      </c>
      <c r="F179" s="9">
        <v>74</v>
      </c>
      <c r="G179" s="6" t="s">
        <v>927</v>
      </c>
      <c r="H179" s="7" t="s">
        <v>25</v>
      </c>
      <c r="I179" s="6" t="s">
        <v>19</v>
      </c>
      <c r="J179" s="7" t="s">
        <v>20</v>
      </c>
      <c r="K179" s="7" t="s">
        <v>26</v>
      </c>
      <c r="L179" s="6"/>
      <c r="M179" s="10">
        <v>5.67E-2</v>
      </c>
      <c r="N179" s="6" t="s">
        <v>928</v>
      </c>
      <c r="O179" s="6" t="s">
        <v>19</v>
      </c>
      <c r="P179" s="11" t="e">
        <f t="shared" si="5"/>
        <v>#VALUE!</v>
      </c>
      <c r="Q179" s="19" t="s">
        <v>19</v>
      </c>
      <c r="R179" s="19"/>
    </row>
    <row r="180" spans="1:19" x14ac:dyDescent="0.3">
      <c r="A180" s="6" t="s">
        <v>929</v>
      </c>
      <c r="B180" s="7" t="s">
        <v>930</v>
      </c>
      <c r="C180" s="17" t="s">
        <v>931</v>
      </c>
      <c r="D180" s="17"/>
      <c r="E180" s="8">
        <v>15088</v>
      </c>
      <c r="F180" s="9">
        <v>81</v>
      </c>
      <c r="G180" s="6" t="s">
        <v>932</v>
      </c>
      <c r="H180" s="7" t="s">
        <v>25</v>
      </c>
      <c r="I180" s="6"/>
      <c r="J180" s="7" t="s">
        <v>41</v>
      </c>
      <c r="K180" s="7" t="s">
        <v>32</v>
      </c>
      <c r="L180" s="9">
        <v>79</v>
      </c>
      <c r="M180" s="10">
        <v>6.5799999999999997E-2</v>
      </c>
      <c r="N180" s="6" t="s">
        <v>933</v>
      </c>
      <c r="O180" s="11">
        <v>18743.490000000002</v>
      </c>
      <c r="P180" s="11">
        <f t="shared" si="5"/>
        <v>17181.530000000002</v>
      </c>
      <c r="Q180" s="18">
        <v>18743.490000000002</v>
      </c>
      <c r="R180" s="19"/>
      <c r="S180" s="2" t="str">
        <f>IF(P188&lt;O188,"CATCHUP","NONE")</f>
        <v>CATCHUP</v>
      </c>
    </row>
    <row r="181" spans="1:19" hidden="1" x14ac:dyDescent="0.3">
      <c r="A181" s="6" t="s">
        <v>934</v>
      </c>
      <c r="B181" s="7" t="s">
        <v>935</v>
      </c>
      <c r="C181" s="17" t="s">
        <v>931</v>
      </c>
      <c r="D181" s="17"/>
      <c r="E181" s="7" t="s">
        <v>936</v>
      </c>
      <c r="F181" s="9">
        <v>75</v>
      </c>
      <c r="G181" s="6" t="s">
        <v>937</v>
      </c>
      <c r="H181" s="7" t="s">
        <v>25</v>
      </c>
      <c r="I181" s="6" t="s">
        <v>19</v>
      </c>
      <c r="J181" s="7" t="s">
        <v>41</v>
      </c>
      <c r="K181" s="7" t="s">
        <v>26</v>
      </c>
      <c r="L181" s="9">
        <v>73</v>
      </c>
      <c r="M181" s="10">
        <v>5.5300000000000002E-2</v>
      </c>
      <c r="N181" s="6" t="s">
        <v>938</v>
      </c>
      <c r="O181" s="6" t="s">
        <v>19</v>
      </c>
      <c r="P181" s="11" t="e">
        <f t="shared" si="5"/>
        <v>#VALUE!</v>
      </c>
      <c r="Q181" s="19" t="s">
        <v>19</v>
      </c>
      <c r="R181" s="19"/>
    </row>
    <row r="182" spans="1:19" ht="28.8" hidden="1" x14ac:dyDescent="0.3">
      <c r="A182" s="6" t="s">
        <v>939</v>
      </c>
      <c r="B182" s="7" t="s">
        <v>125</v>
      </c>
      <c r="C182" s="17" t="s">
        <v>931</v>
      </c>
      <c r="D182" s="17"/>
      <c r="E182" s="8">
        <v>18381</v>
      </c>
      <c r="F182" s="9">
        <v>72</v>
      </c>
      <c r="G182" s="6" t="s">
        <v>940</v>
      </c>
      <c r="H182" s="7" t="s">
        <v>39</v>
      </c>
      <c r="I182" s="6" t="s">
        <v>941</v>
      </c>
      <c r="J182" s="7" t="s">
        <v>20</v>
      </c>
      <c r="K182" s="7" t="s">
        <v>26</v>
      </c>
      <c r="L182" s="6"/>
      <c r="M182" s="10">
        <v>5.3999999999999999E-2</v>
      </c>
      <c r="N182" s="6" t="s">
        <v>942</v>
      </c>
      <c r="O182" s="11">
        <v>2400</v>
      </c>
      <c r="P182" s="11">
        <f t="shared" si="5"/>
        <v>2266.7800000000002</v>
      </c>
      <c r="Q182" s="18">
        <v>300</v>
      </c>
      <c r="R182" s="19"/>
    </row>
    <row r="183" spans="1:19" ht="43.2" hidden="1" x14ac:dyDescent="0.3">
      <c r="A183" s="6" t="s">
        <v>943</v>
      </c>
      <c r="B183" s="7" t="s">
        <v>944</v>
      </c>
      <c r="C183" s="17" t="s">
        <v>945</v>
      </c>
      <c r="D183" s="17"/>
      <c r="E183" s="8">
        <v>17456</v>
      </c>
      <c r="F183" s="9">
        <v>75</v>
      </c>
      <c r="G183" s="6" t="s">
        <v>946</v>
      </c>
      <c r="H183" s="7" t="s">
        <v>39</v>
      </c>
      <c r="I183" s="6" t="s">
        <v>47</v>
      </c>
      <c r="J183" s="7" t="s">
        <v>20</v>
      </c>
      <c r="K183" s="7" t="s">
        <v>26</v>
      </c>
      <c r="L183" s="6"/>
      <c r="M183" s="10">
        <v>5.8200000000000002E-2</v>
      </c>
      <c r="N183" s="6" t="s">
        <v>947</v>
      </c>
      <c r="O183" s="11">
        <v>8000</v>
      </c>
      <c r="P183" s="11">
        <f t="shared" si="5"/>
        <v>7553.97</v>
      </c>
      <c r="Q183" s="18">
        <v>1000</v>
      </c>
      <c r="R183" s="19"/>
    </row>
    <row r="184" spans="1:19" ht="28.8" hidden="1" x14ac:dyDescent="0.3">
      <c r="A184" s="6" t="s">
        <v>948</v>
      </c>
      <c r="B184" s="7" t="s">
        <v>874</v>
      </c>
      <c r="C184" s="17" t="s">
        <v>949</v>
      </c>
      <c r="D184" s="17"/>
      <c r="E184" s="8">
        <v>18438</v>
      </c>
      <c r="F184" s="9">
        <v>72</v>
      </c>
      <c r="G184" s="6" t="s">
        <v>950</v>
      </c>
      <c r="H184" s="7" t="s">
        <v>39</v>
      </c>
      <c r="I184" s="6" t="s">
        <v>951</v>
      </c>
      <c r="J184" s="7" t="s">
        <v>20</v>
      </c>
      <c r="K184" s="7" t="s">
        <v>26</v>
      </c>
      <c r="L184" s="6"/>
      <c r="M184" s="10">
        <v>5.3999999999999999E-2</v>
      </c>
      <c r="N184" s="6" t="s">
        <v>952</v>
      </c>
      <c r="O184" s="11">
        <v>6000</v>
      </c>
      <c r="P184" s="11">
        <f t="shared" si="5"/>
        <v>5368.98</v>
      </c>
      <c r="Q184" s="18">
        <v>750</v>
      </c>
      <c r="R184" s="19"/>
    </row>
    <row r="185" spans="1:19" ht="43.2" hidden="1" x14ac:dyDescent="0.3">
      <c r="A185" s="6" t="s">
        <v>953</v>
      </c>
      <c r="B185" s="7" t="s">
        <v>140</v>
      </c>
      <c r="C185" s="17" t="s">
        <v>954</v>
      </c>
      <c r="D185" s="17"/>
      <c r="E185" s="8">
        <v>17626</v>
      </c>
      <c r="F185" s="9">
        <v>74</v>
      </c>
      <c r="G185" s="6" t="s">
        <v>955</v>
      </c>
      <c r="H185" s="7" t="s">
        <v>39</v>
      </c>
      <c r="I185" s="6" t="s">
        <v>132</v>
      </c>
      <c r="J185" s="7" t="s">
        <v>20</v>
      </c>
      <c r="K185" s="7" t="s">
        <v>26</v>
      </c>
      <c r="L185" s="6"/>
      <c r="M185" s="10">
        <v>5.67E-2</v>
      </c>
      <c r="N185" s="6" t="s">
        <v>956</v>
      </c>
      <c r="O185" s="11">
        <v>12000</v>
      </c>
      <c r="P185" s="11">
        <f t="shared" si="5"/>
        <v>11369.22</v>
      </c>
      <c r="Q185" s="18">
        <v>1500</v>
      </c>
      <c r="R185" s="19"/>
    </row>
    <row r="186" spans="1:19" ht="43.2" hidden="1" x14ac:dyDescent="0.3">
      <c r="A186" s="6" t="s">
        <v>957</v>
      </c>
      <c r="B186" s="7" t="s">
        <v>958</v>
      </c>
      <c r="C186" s="17" t="s">
        <v>959</v>
      </c>
      <c r="D186" s="17"/>
      <c r="E186" s="8">
        <v>18015</v>
      </c>
      <c r="F186" s="9">
        <v>73</v>
      </c>
      <c r="G186" s="6" t="s">
        <v>960</v>
      </c>
      <c r="H186" s="7" t="s">
        <v>39</v>
      </c>
      <c r="I186" s="6" t="s">
        <v>961</v>
      </c>
      <c r="J186" s="7" t="s">
        <v>20</v>
      </c>
      <c r="K186" s="7" t="s">
        <v>26</v>
      </c>
      <c r="L186" s="6"/>
      <c r="M186" s="10">
        <v>5.5300000000000002E-2</v>
      </c>
      <c r="N186" s="6" t="s">
        <v>962</v>
      </c>
      <c r="O186" s="11">
        <v>17200</v>
      </c>
      <c r="P186" s="11">
        <f t="shared" si="5"/>
        <v>16363.22</v>
      </c>
      <c r="Q186" s="18">
        <v>2150</v>
      </c>
      <c r="R186" s="19"/>
    </row>
    <row r="187" spans="1:19" hidden="1" x14ac:dyDescent="0.3">
      <c r="A187" s="6" t="s">
        <v>963</v>
      </c>
      <c r="B187" s="7" t="s">
        <v>964</v>
      </c>
      <c r="C187" s="17" t="s">
        <v>965</v>
      </c>
      <c r="D187" s="17"/>
      <c r="E187" s="8">
        <v>17288</v>
      </c>
      <c r="F187" s="9">
        <v>75</v>
      </c>
      <c r="G187" s="6" t="s">
        <v>966</v>
      </c>
      <c r="H187" s="7" t="s">
        <v>25</v>
      </c>
      <c r="I187" s="6"/>
      <c r="J187" s="7" t="s">
        <v>20</v>
      </c>
      <c r="K187" s="7" t="s">
        <v>26</v>
      </c>
      <c r="L187" s="6"/>
      <c r="M187" s="10">
        <v>5.8200000000000002E-2</v>
      </c>
      <c r="N187" s="6" t="s">
        <v>967</v>
      </c>
      <c r="O187" s="11">
        <v>13000</v>
      </c>
      <c r="P187" s="11">
        <f t="shared" si="5"/>
        <v>11997.2</v>
      </c>
      <c r="Q187" s="18">
        <v>13000</v>
      </c>
      <c r="R187" s="19"/>
    </row>
    <row r="188" spans="1:19" hidden="1" x14ac:dyDescent="0.3">
      <c r="A188" s="6" t="s">
        <v>968</v>
      </c>
      <c r="B188" s="7" t="s">
        <v>22</v>
      </c>
      <c r="C188" s="17" t="s">
        <v>965</v>
      </c>
      <c r="D188" s="17"/>
      <c r="E188" s="8">
        <v>16254</v>
      </c>
      <c r="F188" s="9">
        <v>78</v>
      </c>
      <c r="G188" s="6" t="s">
        <v>969</v>
      </c>
      <c r="H188" s="7" t="s">
        <v>25</v>
      </c>
      <c r="I188" s="6"/>
      <c r="J188" s="7" t="s">
        <v>20</v>
      </c>
      <c r="K188" s="7" t="s">
        <v>26</v>
      </c>
      <c r="L188" s="6"/>
      <c r="M188" s="10">
        <v>6.3600000000000004E-2</v>
      </c>
      <c r="N188" s="6" t="s">
        <v>970</v>
      </c>
      <c r="O188" s="11">
        <v>5694.08</v>
      </c>
      <c r="P188" s="11">
        <f t="shared" si="5"/>
        <v>4982.32</v>
      </c>
      <c r="Q188" s="18">
        <v>711.76</v>
      </c>
      <c r="R188" s="19"/>
    </row>
    <row r="189" spans="1:19" hidden="1" x14ac:dyDescent="0.3">
      <c r="A189" s="6" t="s">
        <v>971</v>
      </c>
      <c r="B189" s="7" t="s">
        <v>81</v>
      </c>
      <c r="C189" s="17" t="s">
        <v>972</v>
      </c>
      <c r="D189" s="17"/>
      <c r="E189" s="7" t="s">
        <v>973</v>
      </c>
      <c r="F189" s="9">
        <v>78</v>
      </c>
      <c r="G189" s="6" t="s">
        <v>974</v>
      </c>
      <c r="H189" s="7" t="s">
        <v>25</v>
      </c>
      <c r="I189" s="6" t="s">
        <v>19</v>
      </c>
      <c r="J189" s="7" t="s">
        <v>41</v>
      </c>
      <c r="K189" s="7" t="s">
        <v>32</v>
      </c>
      <c r="L189" s="9">
        <v>75</v>
      </c>
      <c r="M189" s="10">
        <v>5.8200000000000002E-2</v>
      </c>
      <c r="N189" s="6" t="s">
        <v>975</v>
      </c>
      <c r="O189" s="6" t="s">
        <v>19</v>
      </c>
      <c r="P189" s="11" t="e">
        <f t="shared" si="5"/>
        <v>#VALUE!</v>
      </c>
      <c r="Q189" s="19" t="s">
        <v>19</v>
      </c>
      <c r="R189" s="19"/>
    </row>
    <row r="190" spans="1:19" hidden="1" x14ac:dyDescent="0.3">
      <c r="A190" s="6" t="s">
        <v>976</v>
      </c>
      <c r="B190" s="7" t="s">
        <v>977</v>
      </c>
      <c r="C190" s="17" t="s">
        <v>978</v>
      </c>
      <c r="D190" s="17"/>
      <c r="E190" s="7" t="s">
        <v>979</v>
      </c>
      <c r="F190" s="9">
        <v>75</v>
      </c>
      <c r="G190" s="6" t="s">
        <v>980</v>
      </c>
      <c r="H190" s="7" t="s">
        <v>25</v>
      </c>
      <c r="I190" s="6" t="s">
        <v>19</v>
      </c>
      <c r="J190" s="7" t="s">
        <v>20</v>
      </c>
      <c r="K190" s="7" t="s">
        <v>32</v>
      </c>
      <c r="L190" s="6"/>
      <c r="M190" s="10">
        <v>5.8200000000000002E-2</v>
      </c>
      <c r="N190" s="6" t="s">
        <v>981</v>
      </c>
      <c r="O190" s="6" t="s">
        <v>19</v>
      </c>
      <c r="P190" s="11" t="e">
        <f t="shared" si="5"/>
        <v>#VALUE!</v>
      </c>
      <c r="Q190" s="19" t="s">
        <v>19</v>
      </c>
      <c r="R190" s="19"/>
    </row>
    <row r="191" spans="1:19" ht="43.2" hidden="1" x14ac:dyDescent="0.3">
      <c r="A191" s="6" t="s">
        <v>982</v>
      </c>
      <c r="B191" s="7" t="s">
        <v>983</v>
      </c>
      <c r="C191" s="17" t="s">
        <v>984</v>
      </c>
      <c r="D191" s="17"/>
      <c r="E191" s="8">
        <v>17047</v>
      </c>
      <c r="F191" s="9">
        <v>76</v>
      </c>
      <c r="G191" s="6" t="s">
        <v>985</v>
      </c>
      <c r="H191" s="7" t="s">
        <v>39</v>
      </c>
      <c r="I191" s="6" t="s">
        <v>986</v>
      </c>
      <c r="J191" s="7" t="s">
        <v>20</v>
      </c>
      <c r="K191" s="7" t="s">
        <v>26</v>
      </c>
      <c r="L191" s="6"/>
      <c r="M191" s="10">
        <v>5.9799999999999999E-2</v>
      </c>
      <c r="N191" s="6" t="s">
        <v>987</v>
      </c>
      <c r="O191" s="11">
        <v>17440</v>
      </c>
      <c r="P191" s="11">
        <f t="shared" si="5"/>
        <v>17272.439999999999</v>
      </c>
      <c r="Q191" s="18">
        <v>2180</v>
      </c>
      <c r="R191" s="19"/>
    </row>
    <row r="192" spans="1:19" ht="43.2" x14ac:dyDescent="0.3">
      <c r="A192" s="6" t="s">
        <v>988</v>
      </c>
      <c r="B192" s="7" t="s">
        <v>989</v>
      </c>
      <c r="C192" s="17" t="s">
        <v>984</v>
      </c>
      <c r="D192" s="17"/>
      <c r="E192" s="8">
        <v>15350</v>
      </c>
      <c r="F192" s="9">
        <v>80</v>
      </c>
      <c r="G192" s="6" t="s">
        <v>990</v>
      </c>
      <c r="H192" s="7" t="s">
        <v>39</v>
      </c>
      <c r="I192" s="6" t="s">
        <v>986</v>
      </c>
      <c r="J192" s="7" t="s">
        <v>41</v>
      </c>
      <c r="K192" s="7" t="s">
        <v>26</v>
      </c>
      <c r="L192" s="9">
        <v>76</v>
      </c>
      <c r="M192" s="10">
        <v>5.9799999999999999E-2</v>
      </c>
      <c r="N192" s="6" t="s">
        <v>991</v>
      </c>
      <c r="O192" s="11">
        <v>17440</v>
      </c>
      <c r="P192" s="11">
        <f t="shared" si="5"/>
        <v>17307.11</v>
      </c>
      <c r="Q192" s="18">
        <v>2180</v>
      </c>
      <c r="R192" s="19"/>
      <c r="S192" s="2" t="str">
        <f>IF(P200&lt;O200,"CATCHUP","NONE")</f>
        <v>CATCHUP</v>
      </c>
    </row>
    <row r="193" spans="1:19" hidden="1" x14ac:dyDescent="0.3">
      <c r="A193" s="6" t="s">
        <v>992</v>
      </c>
      <c r="B193" s="7" t="s">
        <v>993</v>
      </c>
      <c r="C193" s="17" t="s">
        <v>994</v>
      </c>
      <c r="D193" s="17"/>
      <c r="E193" s="7" t="s">
        <v>995</v>
      </c>
      <c r="F193" s="9">
        <v>73</v>
      </c>
      <c r="G193" s="6" t="s">
        <v>996</v>
      </c>
      <c r="H193" s="7" t="s">
        <v>25</v>
      </c>
      <c r="I193" s="6" t="s">
        <v>19</v>
      </c>
      <c r="J193" s="7" t="s">
        <v>41</v>
      </c>
      <c r="K193" s="7" t="s">
        <v>32</v>
      </c>
      <c r="L193" s="9">
        <v>64</v>
      </c>
      <c r="M193" s="10">
        <v>3.85E-2</v>
      </c>
      <c r="N193" s="6" t="s">
        <v>997</v>
      </c>
      <c r="O193" s="6" t="s">
        <v>19</v>
      </c>
      <c r="P193" s="11" t="e">
        <f t="shared" si="5"/>
        <v>#VALUE!</v>
      </c>
      <c r="Q193" s="19" t="s">
        <v>19</v>
      </c>
      <c r="R193" s="19"/>
    </row>
    <row r="194" spans="1:19" ht="43.2" hidden="1" x14ac:dyDescent="0.3">
      <c r="A194" s="6" t="s">
        <v>998</v>
      </c>
      <c r="B194" s="7" t="s">
        <v>999</v>
      </c>
      <c r="C194" s="17" t="s">
        <v>994</v>
      </c>
      <c r="D194" s="17"/>
      <c r="E194" s="8">
        <v>17838</v>
      </c>
      <c r="F194" s="9">
        <v>74</v>
      </c>
      <c r="G194" s="6" t="s">
        <v>1000</v>
      </c>
      <c r="H194" s="7" t="s">
        <v>39</v>
      </c>
      <c r="I194" s="6" t="s">
        <v>47</v>
      </c>
      <c r="J194" s="7" t="s">
        <v>20</v>
      </c>
      <c r="K194" s="7" t="s">
        <v>26</v>
      </c>
      <c r="L194" s="6"/>
      <c r="M194" s="10">
        <v>5.67E-2</v>
      </c>
      <c r="N194" s="6" t="s">
        <v>1001</v>
      </c>
      <c r="O194" s="11">
        <v>8000</v>
      </c>
      <c r="P194" s="11">
        <f t="shared" si="5"/>
        <v>7605.49</v>
      </c>
      <c r="Q194" s="18">
        <v>1000</v>
      </c>
      <c r="R194" s="19"/>
    </row>
    <row r="195" spans="1:19" hidden="1" x14ac:dyDescent="0.3">
      <c r="A195" s="6" t="s">
        <v>1002</v>
      </c>
      <c r="B195" s="7" t="s">
        <v>1003</v>
      </c>
      <c r="C195" s="17" t="s">
        <v>994</v>
      </c>
      <c r="D195" s="17"/>
      <c r="E195" s="7" t="s">
        <v>1004</v>
      </c>
      <c r="F195" s="9">
        <v>72</v>
      </c>
      <c r="G195" s="6" t="s">
        <v>1005</v>
      </c>
      <c r="H195" s="7" t="s">
        <v>25</v>
      </c>
      <c r="I195" s="6" t="s">
        <v>19</v>
      </c>
      <c r="J195" s="7" t="s">
        <v>20</v>
      </c>
      <c r="K195" s="7" t="s">
        <v>26</v>
      </c>
      <c r="L195" s="6"/>
      <c r="M195" s="10">
        <v>5.3999999999999999E-2</v>
      </c>
      <c r="N195" s="6" t="s">
        <v>1006</v>
      </c>
      <c r="O195" s="6" t="s">
        <v>19</v>
      </c>
      <c r="P195" s="11" t="e">
        <f t="shared" si="5"/>
        <v>#VALUE!</v>
      </c>
      <c r="Q195" s="19" t="s">
        <v>19</v>
      </c>
      <c r="R195" s="19"/>
    </row>
    <row r="196" spans="1:19" hidden="1" x14ac:dyDescent="0.3">
      <c r="A196" s="6" t="s">
        <v>1007</v>
      </c>
      <c r="B196" s="7" t="s">
        <v>983</v>
      </c>
      <c r="C196" s="17" t="s">
        <v>1008</v>
      </c>
      <c r="D196" s="17"/>
      <c r="E196" s="7" t="s">
        <v>1009</v>
      </c>
      <c r="F196" s="9">
        <v>75</v>
      </c>
      <c r="G196" s="6" t="s">
        <v>1010</v>
      </c>
      <c r="H196" s="7" t="s">
        <v>25</v>
      </c>
      <c r="I196" s="6" t="s">
        <v>19</v>
      </c>
      <c r="J196" s="7" t="s">
        <v>20</v>
      </c>
      <c r="K196" s="7" t="s">
        <v>26</v>
      </c>
      <c r="L196" s="6"/>
      <c r="M196" s="10">
        <v>5.8200000000000002E-2</v>
      </c>
      <c r="N196" s="6" t="s">
        <v>1011</v>
      </c>
      <c r="O196" s="6" t="s">
        <v>19</v>
      </c>
      <c r="P196" s="11" t="e">
        <f t="shared" ref="P196:P259" si="6">O196-N196</f>
        <v>#VALUE!</v>
      </c>
      <c r="Q196" s="19" t="s">
        <v>19</v>
      </c>
      <c r="R196" s="19"/>
    </row>
    <row r="197" spans="1:19" ht="43.2" hidden="1" x14ac:dyDescent="0.3">
      <c r="A197" s="6" t="s">
        <v>1012</v>
      </c>
      <c r="B197" s="7" t="s">
        <v>1013</v>
      </c>
      <c r="C197" s="17" t="s">
        <v>1014</v>
      </c>
      <c r="D197" s="17"/>
      <c r="E197" s="8">
        <v>17533</v>
      </c>
      <c r="F197" s="9">
        <v>74</v>
      </c>
      <c r="G197" s="6" t="s">
        <v>1015</v>
      </c>
      <c r="H197" s="7" t="s">
        <v>39</v>
      </c>
      <c r="I197" s="6" t="s">
        <v>1016</v>
      </c>
      <c r="J197" s="7" t="s">
        <v>20</v>
      </c>
      <c r="K197" s="7" t="s">
        <v>26</v>
      </c>
      <c r="L197" s="6"/>
      <c r="M197" s="10">
        <v>5.67E-2</v>
      </c>
      <c r="N197" s="6" t="s">
        <v>1017</v>
      </c>
      <c r="O197" s="11">
        <v>9880</v>
      </c>
      <c r="P197" s="11">
        <f t="shared" si="6"/>
        <v>8445.44</v>
      </c>
      <c r="Q197" s="18">
        <v>1235</v>
      </c>
      <c r="R197" s="19"/>
    </row>
    <row r="198" spans="1:19" ht="43.2" hidden="1" x14ac:dyDescent="0.3">
      <c r="A198" s="6" t="s">
        <v>1018</v>
      </c>
      <c r="B198" s="7" t="s">
        <v>401</v>
      </c>
      <c r="C198" s="17" t="s">
        <v>1019</v>
      </c>
      <c r="D198" s="17"/>
      <c r="E198" s="8">
        <v>18193</v>
      </c>
      <c r="F198" s="9">
        <v>73</v>
      </c>
      <c r="G198" s="6" t="s">
        <v>1020</v>
      </c>
      <c r="H198" s="7" t="s">
        <v>39</v>
      </c>
      <c r="I198" s="6" t="s">
        <v>1021</v>
      </c>
      <c r="J198" s="7" t="s">
        <v>20</v>
      </c>
      <c r="K198" s="7" t="s">
        <v>32</v>
      </c>
      <c r="L198" s="6"/>
      <c r="M198" s="10">
        <v>5.5300000000000002E-2</v>
      </c>
      <c r="N198" s="6" t="s">
        <v>1022</v>
      </c>
      <c r="O198" s="11">
        <v>8255</v>
      </c>
      <c r="P198" s="11">
        <f t="shared" si="6"/>
        <v>7576.45</v>
      </c>
      <c r="Q198" s="18">
        <v>8255</v>
      </c>
      <c r="R198" s="19"/>
    </row>
    <row r="199" spans="1:19" ht="43.2" x14ac:dyDescent="0.3">
      <c r="A199" s="6" t="s">
        <v>1023</v>
      </c>
      <c r="B199" s="7" t="s">
        <v>1024</v>
      </c>
      <c r="C199" s="17" t="s">
        <v>1019</v>
      </c>
      <c r="D199" s="17"/>
      <c r="E199" s="8">
        <v>17848</v>
      </c>
      <c r="F199" s="9">
        <v>74</v>
      </c>
      <c r="G199" s="6" t="s">
        <v>1025</v>
      </c>
      <c r="H199" s="7" t="s">
        <v>39</v>
      </c>
      <c r="I199" s="6" t="s">
        <v>1026</v>
      </c>
      <c r="J199" s="7" t="s">
        <v>41</v>
      </c>
      <c r="K199" s="7" t="s">
        <v>26</v>
      </c>
      <c r="L199" s="9">
        <v>69</v>
      </c>
      <c r="M199" s="10">
        <v>4.7600000000000003E-2</v>
      </c>
      <c r="N199" s="6" t="s">
        <v>1027</v>
      </c>
      <c r="O199" s="11">
        <v>8800</v>
      </c>
      <c r="P199" s="11">
        <f t="shared" si="6"/>
        <v>7414.02</v>
      </c>
      <c r="Q199" s="18">
        <v>1100</v>
      </c>
      <c r="R199" s="19"/>
      <c r="S199" s="2" t="str">
        <f>IF(P207&lt;O207,"CATCHUP","NONE")</f>
        <v>CATCHUP</v>
      </c>
    </row>
    <row r="200" spans="1:19" ht="43.2" hidden="1" x14ac:dyDescent="0.3">
      <c r="A200" s="6" t="s">
        <v>1028</v>
      </c>
      <c r="B200" s="7" t="s">
        <v>556</v>
      </c>
      <c r="C200" s="17" t="s">
        <v>1029</v>
      </c>
      <c r="D200" s="17"/>
      <c r="E200" s="8">
        <v>17795</v>
      </c>
      <c r="F200" s="9">
        <v>74</v>
      </c>
      <c r="G200" s="6" t="s">
        <v>1030</v>
      </c>
      <c r="H200" s="7" t="s">
        <v>39</v>
      </c>
      <c r="I200" s="6" t="s">
        <v>1031</v>
      </c>
      <c r="J200" s="7" t="s">
        <v>20</v>
      </c>
      <c r="K200" s="7" t="s">
        <v>26</v>
      </c>
      <c r="L200" s="6"/>
      <c r="M200" s="10">
        <v>5.67E-2</v>
      </c>
      <c r="N200" s="6" t="s">
        <v>1032</v>
      </c>
      <c r="O200" s="11">
        <v>18000</v>
      </c>
      <c r="P200" s="11">
        <f t="shared" si="6"/>
        <v>15782.82</v>
      </c>
      <c r="Q200" s="18">
        <v>2250</v>
      </c>
      <c r="R200" s="19"/>
    </row>
    <row r="201" spans="1:19" ht="43.2" hidden="1" x14ac:dyDescent="0.3">
      <c r="A201" s="6" t="s">
        <v>1033</v>
      </c>
      <c r="B201" s="7" t="s">
        <v>342</v>
      </c>
      <c r="C201" s="17" t="s">
        <v>1034</v>
      </c>
      <c r="D201" s="17"/>
      <c r="E201" s="8">
        <v>18398</v>
      </c>
      <c r="F201" s="9">
        <v>72</v>
      </c>
      <c r="G201" s="6" t="s">
        <v>1035</v>
      </c>
      <c r="H201" s="7" t="s">
        <v>39</v>
      </c>
      <c r="I201" s="6" t="s">
        <v>151</v>
      </c>
      <c r="J201" s="7" t="s">
        <v>20</v>
      </c>
      <c r="K201" s="7" t="s">
        <v>26</v>
      </c>
      <c r="L201" s="6"/>
      <c r="M201" s="10">
        <v>5.3999999999999999E-2</v>
      </c>
      <c r="N201" s="6" t="s">
        <v>1036</v>
      </c>
      <c r="O201" s="11">
        <v>20000</v>
      </c>
      <c r="P201" s="11">
        <f t="shared" si="6"/>
        <v>19481.650000000001</v>
      </c>
      <c r="Q201" s="18">
        <v>2500</v>
      </c>
      <c r="R201" s="19"/>
    </row>
    <row r="202" spans="1:19" ht="43.2" hidden="1" x14ac:dyDescent="0.3">
      <c r="A202" s="6" t="s">
        <v>1037</v>
      </c>
      <c r="B202" s="7" t="s">
        <v>1038</v>
      </c>
      <c r="C202" s="17" t="s">
        <v>1039</v>
      </c>
      <c r="D202" s="17"/>
      <c r="E202" s="7" t="s">
        <v>1040</v>
      </c>
      <c r="F202" s="9">
        <v>77</v>
      </c>
      <c r="G202" s="6" t="s">
        <v>1041</v>
      </c>
      <c r="H202" s="7" t="s">
        <v>39</v>
      </c>
      <c r="I202" s="6" t="s">
        <v>40</v>
      </c>
      <c r="J202" s="7" t="s">
        <v>20</v>
      </c>
      <c r="K202" s="7" t="s">
        <v>32</v>
      </c>
      <c r="L202" s="6"/>
      <c r="M202" s="10">
        <v>6.1699999999999998E-2</v>
      </c>
      <c r="N202" s="6" t="s">
        <v>1042</v>
      </c>
      <c r="O202" s="6" t="s">
        <v>19</v>
      </c>
      <c r="P202" s="11" t="e">
        <f t="shared" si="6"/>
        <v>#VALUE!</v>
      </c>
      <c r="Q202" s="19" t="s">
        <v>19</v>
      </c>
      <c r="R202" s="19"/>
    </row>
    <row r="203" spans="1:19" ht="43.2" hidden="1" x14ac:dyDescent="0.3">
      <c r="A203" s="6" t="s">
        <v>1043</v>
      </c>
      <c r="B203" s="7" t="s">
        <v>140</v>
      </c>
      <c r="C203" s="17" t="s">
        <v>1044</v>
      </c>
      <c r="D203" s="17"/>
      <c r="E203" s="8">
        <v>17353</v>
      </c>
      <c r="F203" s="9">
        <v>75</v>
      </c>
      <c r="G203" s="6" t="s">
        <v>1045</v>
      </c>
      <c r="H203" s="7" t="s">
        <v>39</v>
      </c>
      <c r="I203" s="6" t="s">
        <v>522</v>
      </c>
      <c r="J203" s="7" t="s">
        <v>20</v>
      </c>
      <c r="K203" s="7" t="s">
        <v>26</v>
      </c>
      <c r="L203" s="6"/>
      <c r="M203" s="10">
        <v>5.8200000000000002E-2</v>
      </c>
      <c r="N203" s="6" t="s">
        <v>1046</v>
      </c>
      <c r="O203" s="11">
        <v>28800</v>
      </c>
      <c r="P203" s="11">
        <f t="shared" si="6"/>
        <v>24953.62</v>
      </c>
      <c r="Q203" s="18">
        <v>3600</v>
      </c>
      <c r="R203" s="19"/>
    </row>
    <row r="204" spans="1:19" ht="43.2" hidden="1" x14ac:dyDescent="0.3">
      <c r="A204" s="6" t="s">
        <v>1047</v>
      </c>
      <c r="B204" s="7" t="s">
        <v>1048</v>
      </c>
      <c r="C204" s="17" t="s">
        <v>1049</v>
      </c>
      <c r="D204" s="17"/>
      <c r="E204" s="8">
        <v>18491</v>
      </c>
      <c r="F204" s="9">
        <v>72</v>
      </c>
      <c r="G204" s="6" t="s">
        <v>1051</v>
      </c>
      <c r="H204" s="7" t="s">
        <v>39</v>
      </c>
      <c r="I204" s="6" t="s">
        <v>1052</v>
      </c>
      <c r="J204" s="7" t="s">
        <v>20</v>
      </c>
      <c r="K204" s="7" t="s">
        <v>26</v>
      </c>
      <c r="L204" s="6"/>
      <c r="M204" s="10">
        <v>5.3999999999999999E-2</v>
      </c>
      <c r="N204" s="6" t="s">
        <v>1053</v>
      </c>
      <c r="O204" s="11">
        <v>72000</v>
      </c>
      <c r="P204" s="11">
        <f t="shared" si="6"/>
        <v>64680.79</v>
      </c>
      <c r="Q204" s="18">
        <v>5119.1400000000003</v>
      </c>
      <c r="R204" s="19"/>
    </row>
    <row r="205" spans="1:19" hidden="1" x14ac:dyDescent="0.3">
      <c r="A205" s="6" t="s">
        <v>1054</v>
      </c>
      <c r="B205" s="7" t="s">
        <v>373</v>
      </c>
      <c r="C205" s="17" t="s">
        <v>1055</v>
      </c>
      <c r="D205" s="17"/>
      <c r="E205" s="8">
        <v>17938</v>
      </c>
      <c r="F205" s="9">
        <v>73</v>
      </c>
      <c r="G205" s="6" t="s">
        <v>1056</v>
      </c>
      <c r="H205" s="7" t="s">
        <v>25</v>
      </c>
      <c r="I205" s="6"/>
      <c r="J205" s="7" t="s">
        <v>20</v>
      </c>
      <c r="K205" s="7" t="s">
        <v>32</v>
      </c>
      <c r="L205" s="6"/>
      <c r="M205" s="10">
        <v>5.5300000000000002E-2</v>
      </c>
      <c r="N205" s="6" t="s">
        <v>1057</v>
      </c>
      <c r="O205" s="11">
        <v>21577.1</v>
      </c>
      <c r="P205" s="11">
        <f t="shared" si="6"/>
        <v>19779.009999999998</v>
      </c>
      <c r="Q205" s="18">
        <v>21577.1</v>
      </c>
      <c r="R205" s="19"/>
    </row>
    <row r="206" spans="1:19" ht="43.2" x14ac:dyDescent="0.3">
      <c r="A206" s="6" t="s">
        <v>1058</v>
      </c>
      <c r="B206" s="7" t="s">
        <v>598</v>
      </c>
      <c r="C206" s="17" t="s">
        <v>1059</v>
      </c>
      <c r="D206" s="17"/>
      <c r="E206" s="8">
        <v>17812</v>
      </c>
      <c r="F206" s="9">
        <v>74</v>
      </c>
      <c r="G206" s="6" t="s">
        <v>1060</v>
      </c>
      <c r="H206" s="7" t="s">
        <v>39</v>
      </c>
      <c r="I206" s="6" t="s">
        <v>40</v>
      </c>
      <c r="J206" s="7" t="s">
        <v>41</v>
      </c>
      <c r="K206" s="7" t="s">
        <v>26</v>
      </c>
      <c r="L206" s="9">
        <v>67</v>
      </c>
      <c r="M206" s="10">
        <v>4.3499999999999997E-2</v>
      </c>
      <c r="N206" s="6" t="s">
        <v>1061</v>
      </c>
      <c r="O206" s="11">
        <v>30000</v>
      </c>
      <c r="P206" s="11">
        <f t="shared" si="6"/>
        <v>27567.260000000002</v>
      </c>
      <c r="Q206" s="18">
        <v>3000</v>
      </c>
      <c r="R206" s="19"/>
      <c r="S206" s="2" t="e">
        <f t="shared" ref="S206:S207" si="7">IF(P214&lt;O214,"CATCHUP","NONE")</f>
        <v>#VALUE!</v>
      </c>
    </row>
    <row r="207" spans="1:19" ht="43.2" x14ac:dyDescent="0.3">
      <c r="A207" s="6" t="s">
        <v>1062</v>
      </c>
      <c r="B207" s="7" t="s">
        <v>1063</v>
      </c>
      <c r="C207" s="17" t="s">
        <v>1064</v>
      </c>
      <c r="D207" s="17"/>
      <c r="E207" s="8">
        <v>16397</v>
      </c>
      <c r="F207" s="9">
        <v>78</v>
      </c>
      <c r="G207" s="6" t="s">
        <v>1065</v>
      </c>
      <c r="H207" s="7" t="s">
        <v>39</v>
      </c>
      <c r="I207" s="6" t="s">
        <v>1066</v>
      </c>
      <c r="J207" s="7" t="s">
        <v>41</v>
      </c>
      <c r="K207" s="7" t="s">
        <v>26</v>
      </c>
      <c r="L207" s="9">
        <v>75</v>
      </c>
      <c r="M207" s="10">
        <v>5.8200000000000002E-2</v>
      </c>
      <c r="N207" s="6" t="s">
        <v>1067</v>
      </c>
      <c r="O207" s="11">
        <v>17524.96</v>
      </c>
      <c r="P207" s="11">
        <f t="shared" si="6"/>
        <v>16060.46</v>
      </c>
      <c r="Q207" s="18">
        <v>2190.62</v>
      </c>
      <c r="R207" s="19"/>
      <c r="S207" s="2" t="str">
        <f t="shared" si="7"/>
        <v>CATCHUP</v>
      </c>
    </row>
    <row r="208" spans="1:19" ht="43.2" hidden="1" x14ac:dyDescent="0.3">
      <c r="A208" s="6" t="s">
        <v>1068</v>
      </c>
      <c r="B208" s="7" t="s">
        <v>1069</v>
      </c>
      <c r="C208" s="17" t="s">
        <v>1070</v>
      </c>
      <c r="D208" s="17"/>
      <c r="E208" s="8">
        <v>13763</v>
      </c>
      <c r="F208" s="9">
        <v>85</v>
      </c>
      <c r="G208" s="6" t="s">
        <v>1071</v>
      </c>
      <c r="H208" s="7" t="s">
        <v>39</v>
      </c>
      <c r="I208" s="6" t="s">
        <v>100</v>
      </c>
      <c r="J208" s="7" t="s">
        <v>20</v>
      </c>
      <c r="K208" s="7" t="s">
        <v>26</v>
      </c>
      <c r="L208" s="6"/>
      <c r="M208" s="10">
        <v>8.5099999999999995E-2</v>
      </c>
      <c r="N208" s="6" t="s">
        <v>1072</v>
      </c>
      <c r="O208" s="11">
        <v>48000</v>
      </c>
      <c r="P208" s="11">
        <f t="shared" si="6"/>
        <v>42784.58</v>
      </c>
      <c r="Q208" s="18">
        <v>6000</v>
      </c>
      <c r="R208" s="19"/>
    </row>
    <row r="209" spans="1:19" hidden="1" x14ac:dyDescent="0.3">
      <c r="A209" s="6" t="s">
        <v>1073</v>
      </c>
      <c r="B209" s="7" t="s">
        <v>451</v>
      </c>
      <c r="C209" s="17" t="s">
        <v>1074</v>
      </c>
      <c r="D209" s="17"/>
      <c r="E209" s="7" t="s">
        <v>1075</v>
      </c>
      <c r="F209" s="9">
        <v>79</v>
      </c>
      <c r="G209" s="6" t="s">
        <v>1076</v>
      </c>
      <c r="H209" s="7" t="s">
        <v>25</v>
      </c>
      <c r="I209" s="6" t="s">
        <v>19</v>
      </c>
      <c r="J209" s="7" t="s">
        <v>20</v>
      </c>
      <c r="K209" s="7" t="s">
        <v>32</v>
      </c>
      <c r="L209" s="6"/>
      <c r="M209" s="10">
        <v>6.5799999999999997E-2</v>
      </c>
      <c r="N209" s="6" t="s">
        <v>1077</v>
      </c>
      <c r="O209" s="6" t="s">
        <v>19</v>
      </c>
      <c r="P209" s="11" t="e">
        <f t="shared" si="6"/>
        <v>#VALUE!</v>
      </c>
      <c r="Q209" s="19" t="s">
        <v>19</v>
      </c>
      <c r="R209" s="19"/>
    </row>
    <row r="210" spans="1:19" hidden="1" x14ac:dyDescent="0.3">
      <c r="A210" s="6" t="s">
        <v>1078</v>
      </c>
      <c r="B210" s="7" t="s">
        <v>778</v>
      </c>
      <c r="C210" s="17" t="s">
        <v>1079</v>
      </c>
      <c r="D210" s="17"/>
      <c r="E210" s="7" t="s">
        <v>1080</v>
      </c>
      <c r="F210" s="9">
        <v>77</v>
      </c>
      <c r="G210" s="6" t="s">
        <v>1081</v>
      </c>
      <c r="H210" s="7" t="s">
        <v>25</v>
      </c>
      <c r="I210" s="6" t="s">
        <v>19</v>
      </c>
      <c r="J210" s="7" t="s">
        <v>41</v>
      </c>
      <c r="K210" s="7" t="s">
        <v>32</v>
      </c>
      <c r="L210" s="9">
        <v>70</v>
      </c>
      <c r="M210" s="10">
        <v>0.05</v>
      </c>
      <c r="N210" s="6" t="s">
        <v>1082</v>
      </c>
      <c r="O210" s="6" t="s">
        <v>19</v>
      </c>
      <c r="P210" s="11" t="e">
        <f t="shared" si="6"/>
        <v>#VALUE!</v>
      </c>
      <c r="Q210" s="19" t="s">
        <v>19</v>
      </c>
      <c r="R210" s="19"/>
    </row>
    <row r="211" spans="1:19" ht="43.2" hidden="1" x14ac:dyDescent="0.3">
      <c r="A211" s="6" t="s">
        <v>1083</v>
      </c>
      <c r="B211" s="7" t="s">
        <v>330</v>
      </c>
      <c r="C211" s="17" t="s">
        <v>1084</v>
      </c>
      <c r="D211" s="17"/>
      <c r="E211" s="8">
        <v>17929</v>
      </c>
      <c r="F211" s="9">
        <v>73</v>
      </c>
      <c r="G211" s="6" t="s">
        <v>1085</v>
      </c>
      <c r="H211" s="7" t="s">
        <v>39</v>
      </c>
      <c r="I211" s="6" t="s">
        <v>1086</v>
      </c>
      <c r="J211" s="7" t="s">
        <v>20</v>
      </c>
      <c r="K211" s="7" t="s">
        <v>26</v>
      </c>
      <c r="L211" s="6"/>
      <c r="M211" s="10">
        <v>5.5300000000000002E-2</v>
      </c>
      <c r="N211" s="6" t="s">
        <v>1087</v>
      </c>
      <c r="O211" s="11">
        <v>12053.28</v>
      </c>
      <c r="P211" s="11">
        <f t="shared" si="6"/>
        <v>11764.01</v>
      </c>
      <c r="Q211" s="18">
        <v>1506.66</v>
      </c>
      <c r="R211" s="19"/>
    </row>
    <row r="212" spans="1:19" hidden="1" x14ac:dyDescent="0.3">
      <c r="A212" s="6" t="s">
        <v>1088</v>
      </c>
      <c r="B212" s="7" t="s">
        <v>1089</v>
      </c>
      <c r="C212" s="17" t="s">
        <v>1084</v>
      </c>
      <c r="D212" s="17"/>
      <c r="E212" s="7" t="s">
        <v>1090</v>
      </c>
      <c r="F212" s="9">
        <v>73</v>
      </c>
      <c r="G212" s="6" t="s">
        <v>1091</v>
      </c>
      <c r="H212" s="7" t="s">
        <v>25</v>
      </c>
      <c r="I212" s="6" t="s">
        <v>19</v>
      </c>
      <c r="J212" s="7" t="s">
        <v>20</v>
      </c>
      <c r="K212" s="7" t="s">
        <v>26</v>
      </c>
      <c r="L212" s="6"/>
      <c r="M212" s="10">
        <v>5.5300000000000002E-2</v>
      </c>
      <c r="N212" s="6" t="s">
        <v>1092</v>
      </c>
      <c r="O212" s="6" t="s">
        <v>19</v>
      </c>
      <c r="P212" s="11" t="e">
        <f t="shared" si="6"/>
        <v>#VALUE!</v>
      </c>
      <c r="Q212" s="19" t="s">
        <v>19</v>
      </c>
      <c r="R212" s="19"/>
    </row>
    <row r="213" spans="1:19" hidden="1" x14ac:dyDescent="0.3">
      <c r="A213" s="6" t="s">
        <v>1093</v>
      </c>
      <c r="B213" s="7" t="s">
        <v>1094</v>
      </c>
      <c r="C213" s="17" t="s">
        <v>1084</v>
      </c>
      <c r="D213" s="17"/>
      <c r="E213" s="7" t="s">
        <v>1095</v>
      </c>
      <c r="F213" s="9">
        <v>74</v>
      </c>
      <c r="G213" s="6" t="s">
        <v>1096</v>
      </c>
      <c r="H213" s="7" t="s">
        <v>25</v>
      </c>
      <c r="I213" s="6" t="s">
        <v>19</v>
      </c>
      <c r="J213" s="7" t="s">
        <v>20</v>
      </c>
      <c r="K213" s="7" t="s">
        <v>26</v>
      </c>
      <c r="L213" s="6"/>
      <c r="M213" s="10">
        <v>5.67E-2</v>
      </c>
      <c r="N213" s="6" t="s">
        <v>1097</v>
      </c>
      <c r="O213" s="6" t="s">
        <v>19</v>
      </c>
      <c r="P213" s="11" t="e">
        <f t="shared" si="6"/>
        <v>#VALUE!</v>
      </c>
      <c r="Q213" s="19" t="s">
        <v>19</v>
      </c>
      <c r="R213" s="19"/>
    </row>
    <row r="214" spans="1:19" hidden="1" x14ac:dyDescent="0.3">
      <c r="A214" s="6" t="s">
        <v>1098</v>
      </c>
      <c r="B214" s="7" t="s">
        <v>125</v>
      </c>
      <c r="C214" s="17" t="s">
        <v>1084</v>
      </c>
      <c r="D214" s="17"/>
      <c r="E214" s="7" t="s">
        <v>1099</v>
      </c>
      <c r="F214" s="9">
        <v>77</v>
      </c>
      <c r="G214" s="6" t="s">
        <v>1100</v>
      </c>
      <c r="H214" s="7" t="s">
        <v>25</v>
      </c>
      <c r="I214" s="6" t="s">
        <v>19</v>
      </c>
      <c r="J214" s="7" t="s">
        <v>20</v>
      </c>
      <c r="K214" s="7" t="s">
        <v>26</v>
      </c>
      <c r="L214" s="6"/>
      <c r="M214" s="10">
        <v>6.1699999999999998E-2</v>
      </c>
      <c r="N214" s="6" t="s">
        <v>1101</v>
      </c>
      <c r="O214" s="6" t="s">
        <v>19</v>
      </c>
      <c r="P214" s="11" t="e">
        <f t="shared" si="6"/>
        <v>#VALUE!</v>
      </c>
      <c r="Q214" s="19" t="s">
        <v>19</v>
      </c>
      <c r="R214" s="19"/>
    </row>
    <row r="215" spans="1:19" ht="43.2" hidden="1" x14ac:dyDescent="0.3">
      <c r="A215" s="6" t="s">
        <v>1102</v>
      </c>
      <c r="B215" s="7" t="s">
        <v>1103</v>
      </c>
      <c r="C215" s="17" t="s">
        <v>1084</v>
      </c>
      <c r="D215" s="17"/>
      <c r="E215" s="8">
        <v>16011</v>
      </c>
      <c r="F215" s="9">
        <v>79</v>
      </c>
      <c r="G215" s="6" t="s">
        <v>1104</v>
      </c>
      <c r="H215" s="7" t="s">
        <v>39</v>
      </c>
      <c r="I215" s="6" t="s">
        <v>1105</v>
      </c>
      <c r="J215" s="7" t="s">
        <v>20</v>
      </c>
      <c r="K215" s="7" t="s">
        <v>26</v>
      </c>
      <c r="L215" s="6"/>
      <c r="M215" s="10">
        <v>6.5799999999999997E-2</v>
      </c>
      <c r="N215" s="6" t="s">
        <v>1106</v>
      </c>
      <c r="O215" s="11">
        <v>10400</v>
      </c>
      <c r="P215" s="11">
        <f t="shared" si="6"/>
        <v>9857.43</v>
      </c>
      <c r="Q215" s="18">
        <v>1300</v>
      </c>
      <c r="R215" s="19"/>
    </row>
    <row r="216" spans="1:19" ht="43.2" x14ac:dyDescent="0.3">
      <c r="A216" s="6" t="s">
        <v>1107</v>
      </c>
      <c r="B216" s="7" t="s">
        <v>140</v>
      </c>
      <c r="C216" s="17" t="s">
        <v>1108</v>
      </c>
      <c r="D216" s="17"/>
      <c r="E216" s="8">
        <v>17307</v>
      </c>
      <c r="F216" s="9">
        <v>75</v>
      </c>
      <c r="G216" s="6" t="s">
        <v>1109</v>
      </c>
      <c r="H216" s="7" t="s">
        <v>39</v>
      </c>
      <c r="I216" s="6" t="s">
        <v>745</v>
      </c>
      <c r="J216" s="7" t="s">
        <v>41</v>
      </c>
      <c r="K216" s="7" t="s">
        <v>26</v>
      </c>
      <c r="L216" s="9">
        <v>69</v>
      </c>
      <c r="M216" s="10">
        <v>4.7600000000000003E-2</v>
      </c>
      <c r="N216" s="6" t="s">
        <v>1110</v>
      </c>
      <c r="O216" s="11">
        <v>11200</v>
      </c>
      <c r="P216" s="11">
        <f t="shared" si="6"/>
        <v>9383.74</v>
      </c>
      <c r="Q216" s="18">
        <v>1400</v>
      </c>
      <c r="R216" s="19"/>
      <c r="S216" s="2" t="str">
        <f>IF(P224&lt;O224,"CATCHUP","NONE")</f>
        <v>CATCHUP</v>
      </c>
    </row>
    <row r="217" spans="1:19" hidden="1" x14ac:dyDescent="0.3">
      <c r="A217" s="6" t="s">
        <v>1111</v>
      </c>
      <c r="B217" s="7" t="s">
        <v>125</v>
      </c>
      <c r="C217" s="17" t="s">
        <v>1108</v>
      </c>
      <c r="D217" s="17"/>
      <c r="E217" s="8">
        <v>17404</v>
      </c>
      <c r="F217" s="9">
        <v>75</v>
      </c>
      <c r="G217" s="6" t="s">
        <v>1112</v>
      </c>
      <c r="H217" s="7" t="s">
        <v>25</v>
      </c>
      <c r="I217" s="6"/>
      <c r="J217" s="7" t="s">
        <v>20</v>
      </c>
      <c r="K217" s="7" t="s">
        <v>26</v>
      </c>
      <c r="L217" s="6"/>
      <c r="M217" s="10">
        <v>5.8200000000000002E-2</v>
      </c>
      <c r="N217" s="6" t="s">
        <v>1113</v>
      </c>
      <c r="O217" s="11">
        <v>51484.160000000003</v>
      </c>
      <c r="P217" s="11">
        <f t="shared" si="6"/>
        <v>45048.639999999999</v>
      </c>
      <c r="Q217" s="18">
        <v>6435.52</v>
      </c>
      <c r="R217" s="19"/>
    </row>
    <row r="218" spans="1:19" ht="43.2" hidden="1" x14ac:dyDescent="0.3">
      <c r="A218" s="6" t="s">
        <v>1114</v>
      </c>
      <c r="B218" s="7" t="s">
        <v>1115</v>
      </c>
      <c r="C218" s="17" t="s">
        <v>1108</v>
      </c>
      <c r="D218" s="17"/>
      <c r="E218" s="8">
        <v>17165</v>
      </c>
      <c r="F218" s="9">
        <v>76</v>
      </c>
      <c r="G218" s="6" t="s">
        <v>1116</v>
      </c>
      <c r="H218" s="7" t="s">
        <v>39</v>
      </c>
      <c r="I218" s="6" t="s">
        <v>728</v>
      </c>
      <c r="J218" s="7" t="s">
        <v>20</v>
      </c>
      <c r="K218" s="7" t="s">
        <v>26</v>
      </c>
      <c r="L218" s="6"/>
      <c r="M218" s="10">
        <v>5.9799999999999999E-2</v>
      </c>
      <c r="N218" s="6" t="s">
        <v>1117</v>
      </c>
      <c r="O218" s="11">
        <v>28000</v>
      </c>
      <c r="P218" s="11">
        <f t="shared" si="6"/>
        <v>25853.16</v>
      </c>
      <c r="Q218" s="18">
        <v>3500</v>
      </c>
      <c r="R218" s="19"/>
    </row>
    <row r="219" spans="1:19" ht="43.2" x14ac:dyDescent="0.3">
      <c r="A219" s="6" t="s">
        <v>1118</v>
      </c>
      <c r="B219" s="7" t="s">
        <v>120</v>
      </c>
      <c r="C219" s="17" t="s">
        <v>1119</v>
      </c>
      <c r="D219" s="17"/>
      <c r="E219" s="8">
        <v>16881</v>
      </c>
      <c r="F219" s="9">
        <v>76</v>
      </c>
      <c r="G219" s="6" t="s">
        <v>1121</v>
      </c>
      <c r="H219" s="7" t="s">
        <v>39</v>
      </c>
      <c r="I219" s="6" t="s">
        <v>1122</v>
      </c>
      <c r="J219" s="7" t="s">
        <v>41</v>
      </c>
      <c r="K219" s="7" t="s">
        <v>32</v>
      </c>
      <c r="L219" s="9">
        <v>75</v>
      </c>
      <c r="M219" s="10">
        <v>5.8200000000000002E-2</v>
      </c>
      <c r="N219" s="6" t="s">
        <v>1123</v>
      </c>
      <c r="O219" s="11">
        <v>12640</v>
      </c>
      <c r="P219" s="11">
        <f t="shared" si="6"/>
        <v>11439.1</v>
      </c>
      <c r="Q219" s="18">
        <v>12640</v>
      </c>
      <c r="R219" s="19"/>
      <c r="S219" s="2" t="str">
        <f t="shared" ref="S219:S220" si="8">IF(P227&lt;O227,"CATCHUP","NONE")</f>
        <v>CATCHUP</v>
      </c>
    </row>
    <row r="220" spans="1:19" ht="43.2" x14ac:dyDescent="0.3">
      <c r="A220" s="6" t="s">
        <v>1124</v>
      </c>
      <c r="B220" s="7" t="s">
        <v>1125</v>
      </c>
      <c r="C220" s="17" t="s">
        <v>1119</v>
      </c>
      <c r="D220" s="17"/>
      <c r="E220" s="8">
        <v>15651</v>
      </c>
      <c r="F220" s="9">
        <v>80</v>
      </c>
      <c r="G220" s="6" t="s">
        <v>1126</v>
      </c>
      <c r="H220" s="7" t="s">
        <v>39</v>
      </c>
      <c r="I220" s="6" t="s">
        <v>1052</v>
      </c>
      <c r="J220" s="7" t="s">
        <v>41</v>
      </c>
      <c r="K220" s="7" t="s">
        <v>26</v>
      </c>
      <c r="L220" s="9">
        <v>55</v>
      </c>
      <c r="M220" s="10">
        <v>2.86E-2</v>
      </c>
      <c r="N220" s="6" t="s">
        <v>1127</v>
      </c>
      <c r="O220" s="11">
        <v>72000</v>
      </c>
      <c r="P220" s="11">
        <f t="shared" si="6"/>
        <v>67871.63</v>
      </c>
      <c r="Q220" s="18">
        <v>9000</v>
      </c>
      <c r="R220" s="19"/>
      <c r="S220" s="2" t="e">
        <f t="shared" si="8"/>
        <v>#VALUE!</v>
      </c>
    </row>
    <row r="221" spans="1:19" ht="43.2" hidden="1" x14ac:dyDescent="0.3">
      <c r="A221" s="6" t="s">
        <v>1128</v>
      </c>
      <c r="B221" s="7" t="s">
        <v>1129</v>
      </c>
      <c r="C221" s="17" t="s">
        <v>1130</v>
      </c>
      <c r="D221" s="17"/>
      <c r="E221" s="8">
        <v>18252</v>
      </c>
      <c r="F221" s="9">
        <v>73</v>
      </c>
      <c r="G221" s="6" t="s">
        <v>1131</v>
      </c>
      <c r="H221" s="7" t="s">
        <v>39</v>
      </c>
      <c r="I221" s="6" t="s">
        <v>47</v>
      </c>
      <c r="J221" s="7" t="s">
        <v>20</v>
      </c>
      <c r="K221" s="7" t="s">
        <v>26</v>
      </c>
      <c r="L221" s="6"/>
      <c r="M221" s="10">
        <v>5.5300000000000002E-2</v>
      </c>
      <c r="N221" s="6" t="s">
        <v>1132</v>
      </c>
      <c r="O221" s="11">
        <v>8000</v>
      </c>
      <c r="P221" s="11">
        <f t="shared" si="6"/>
        <v>7490.32</v>
      </c>
      <c r="Q221" s="18">
        <v>1000</v>
      </c>
      <c r="R221" s="19"/>
    </row>
    <row r="222" spans="1:19" ht="43.2" hidden="1" x14ac:dyDescent="0.3">
      <c r="A222" s="6" t="s">
        <v>1133</v>
      </c>
      <c r="B222" s="7" t="s">
        <v>1134</v>
      </c>
      <c r="C222" s="17" t="s">
        <v>1135</v>
      </c>
      <c r="D222" s="17"/>
      <c r="E222" s="8">
        <v>18584</v>
      </c>
      <c r="F222" s="9">
        <v>72</v>
      </c>
      <c r="G222" s="6" t="s">
        <v>1136</v>
      </c>
      <c r="H222" s="7" t="s">
        <v>39</v>
      </c>
      <c r="I222" s="6" t="s">
        <v>728</v>
      </c>
      <c r="J222" s="7" t="s">
        <v>20</v>
      </c>
      <c r="K222" s="7" t="s">
        <v>26</v>
      </c>
      <c r="L222" s="6"/>
      <c r="M222" s="10">
        <v>5.3999999999999999E-2</v>
      </c>
      <c r="N222" s="6" t="s">
        <v>1137</v>
      </c>
      <c r="O222" s="11">
        <v>30000</v>
      </c>
      <c r="P222" s="11">
        <f t="shared" si="6"/>
        <v>26472.69</v>
      </c>
      <c r="Q222" s="18">
        <v>3500</v>
      </c>
      <c r="R222" s="19"/>
    </row>
    <row r="223" spans="1:19" ht="43.2" hidden="1" x14ac:dyDescent="0.3">
      <c r="A223" s="6" t="s">
        <v>1138</v>
      </c>
      <c r="B223" s="7" t="s">
        <v>210</v>
      </c>
      <c r="C223" s="17" t="s">
        <v>1139</v>
      </c>
      <c r="D223" s="17"/>
      <c r="E223" s="8">
        <v>17499</v>
      </c>
      <c r="F223" s="9">
        <v>75</v>
      </c>
      <c r="G223" s="6" t="s">
        <v>1140</v>
      </c>
      <c r="H223" s="7" t="s">
        <v>39</v>
      </c>
      <c r="I223" s="6" t="s">
        <v>310</v>
      </c>
      <c r="J223" s="7" t="s">
        <v>20</v>
      </c>
      <c r="K223" s="7" t="s">
        <v>26</v>
      </c>
      <c r="L223" s="6"/>
      <c r="M223" s="10">
        <v>5.8200000000000002E-2</v>
      </c>
      <c r="N223" s="6" t="s">
        <v>1141</v>
      </c>
      <c r="O223" s="11">
        <v>14000</v>
      </c>
      <c r="P223" s="11">
        <f t="shared" si="6"/>
        <v>13703.02</v>
      </c>
      <c r="Q223" s="18">
        <v>1750</v>
      </c>
      <c r="R223" s="19"/>
    </row>
    <row r="224" spans="1:19" ht="43.2" x14ac:dyDescent="0.3">
      <c r="A224" s="6" t="s">
        <v>1142</v>
      </c>
      <c r="B224" s="7" t="s">
        <v>1143</v>
      </c>
      <c r="C224" s="17" t="s">
        <v>1144</v>
      </c>
      <c r="D224" s="17"/>
      <c r="E224" s="8">
        <v>17813</v>
      </c>
      <c r="F224" s="9">
        <v>74</v>
      </c>
      <c r="G224" s="6" t="s">
        <v>1146</v>
      </c>
      <c r="H224" s="7" t="s">
        <v>39</v>
      </c>
      <c r="I224" s="6" t="s">
        <v>1147</v>
      </c>
      <c r="J224" s="7" t="s">
        <v>41</v>
      </c>
      <c r="K224" s="7" t="s">
        <v>26</v>
      </c>
      <c r="L224" s="9">
        <v>70</v>
      </c>
      <c r="M224" s="10">
        <v>0.05</v>
      </c>
      <c r="N224" s="6" t="s">
        <v>1148</v>
      </c>
      <c r="O224" s="11">
        <v>24800</v>
      </c>
      <c r="P224" s="11">
        <f t="shared" si="6"/>
        <v>21972.68</v>
      </c>
      <c r="Q224" s="18">
        <v>2698.66</v>
      </c>
      <c r="R224" s="19"/>
      <c r="S224" s="2" t="str">
        <f>IF(P232&lt;O232,"CATCHUP","NONE")</f>
        <v>CATCHUP</v>
      </c>
    </row>
    <row r="225" spans="1:19" ht="43.2" hidden="1" x14ac:dyDescent="0.3">
      <c r="A225" s="6" t="s">
        <v>1149</v>
      </c>
      <c r="B225" s="7" t="s">
        <v>29</v>
      </c>
      <c r="C225" s="17" t="s">
        <v>1150</v>
      </c>
      <c r="D225" s="17"/>
      <c r="E225" s="8">
        <v>16331</v>
      </c>
      <c r="F225" s="9">
        <v>78</v>
      </c>
      <c r="G225" s="6" t="s">
        <v>1151</v>
      </c>
      <c r="H225" s="7" t="s">
        <v>39</v>
      </c>
      <c r="I225" s="6" t="s">
        <v>1105</v>
      </c>
      <c r="J225" s="7" t="s">
        <v>20</v>
      </c>
      <c r="K225" s="7" t="s">
        <v>26</v>
      </c>
      <c r="L225" s="6"/>
      <c r="M225" s="10">
        <v>6.3600000000000004E-2</v>
      </c>
      <c r="N225" s="6" t="s">
        <v>1152</v>
      </c>
      <c r="O225" s="11">
        <v>10400</v>
      </c>
      <c r="P225" s="11">
        <f t="shared" si="6"/>
        <v>9558.48</v>
      </c>
      <c r="Q225" s="18">
        <v>1300</v>
      </c>
      <c r="R225" s="19"/>
    </row>
    <row r="226" spans="1:19" ht="43.2" x14ac:dyDescent="0.3">
      <c r="A226" s="6" t="s">
        <v>1153</v>
      </c>
      <c r="B226" s="7" t="s">
        <v>330</v>
      </c>
      <c r="C226" s="17" t="s">
        <v>1150</v>
      </c>
      <c r="D226" s="17"/>
      <c r="E226" s="8">
        <v>17794</v>
      </c>
      <c r="F226" s="9">
        <v>74</v>
      </c>
      <c r="G226" s="6" t="s">
        <v>1154</v>
      </c>
      <c r="H226" s="7" t="s">
        <v>39</v>
      </c>
      <c r="I226" s="6" t="s">
        <v>243</v>
      </c>
      <c r="J226" s="7" t="s">
        <v>41</v>
      </c>
      <c r="K226" s="7" t="s">
        <v>26</v>
      </c>
      <c r="L226" s="9">
        <v>72</v>
      </c>
      <c r="M226" s="10">
        <v>5.3999999999999999E-2</v>
      </c>
      <c r="N226" s="6" t="s">
        <v>1155</v>
      </c>
      <c r="O226" s="11">
        <v>14400</v>
      </c>
      <c r="P226" s="11">
        <f t="shared" si="6"/>
        <v>12247.28</v>
      </c>
      <c r="Q226" s="18">
        <v>1800</v>
      </c>
      <c r="R226" s="19"/>
      <c r="S226" s="2" t="str">
        <f>IF(P234&lt;O234,"CATCHUP","NONE")</f>
        <v>CATCHUP</v>
      </c>
    </row>
    <row r="227" spans="1:19" ht="28.8" hidden="1" x14ac:dyDescent="0.3">
      <c r="A227" s="6" t="s">
        <v>1156</v>
      </c>
      <c r="B227" s="7" t="s">
        <v>1157</v>
      </c>
      <c r="C227" s="17" t="s">
        <v>1158</v>
      </c>
      <c r="D227" s="17"/>
      <c r="E227" s="8">
        <v>18157</v>
      </c>
      <c r="F227" s="9">
        <v>73</v>
      </c>
      <c r="G227" s="6" t="s">
        <v>1159</v>
      </c>
      <c r="H227" s="7" t="s">
        <v>39</v>
      </c>
      <c r="I227" s="6" t="s">
        <v>1160</v>
      </c>
      <c r="J227" s="7" t="s">
        <v>20</v>
      </c>
      <c r="K227" s="7" t="s">
        <v>26</v>
      </c>
      <c r="L227" s="6"/>
      <c r="M227" s="10">
        <v>5.5300000000000002E-2</v>
      </c>
      <c r="N227" s="6" t="s">
        <v>1161</v>
      </c>
      <c r="O227" s="11">
        <v>3200</v>
      </c>
      <c r="P227" s="11">
        <f t="shared" si="6"/>
        <v>3133.82</v>
      </c>
      <c r="Q227" s="18">
        <v>400</v>
      </c>
      <c r="R227" s="19"/>
    </row>
    <row r="228" spans="1:19" hidden="1" x14ac:dyDescent="0.3">
      <c r="A228" s="6" t="s">
        <v>1162</v>
      </c>
      <c r="B228" s="7" t="s">
        <v>1163</v>
      </c>
      <c r="C228" s="17" t="s">
        <v>1164</v>
      </c>
      <c r="D228" s="17"/>
      <c r="E228" s="7" t="s">
        <v>1165</v>
      </c>
      <c r="F228" s="9">
        <v>74</v>
      </c>
      <c r="G228" s="6" t="s">
        <v>1166</v>
      </c>
      <c r="H228" s="7" t="s">
        <v>25</v>
      </c>
      <c r="I228" s="6" t="s">
        <v>19</v>
      </c>
      <c r="J228" s="7" t="s">
        <v>20</v>
      </c>
      <c r="K228" s="7" t="s">
        <v>26</v>
      </c>
      <c r="L228" s="6"/>
      <c r="M228" s="10">
        <v>5.67E-2</v>
      </c>
      <c r="N228" s="6" t="s">
        <v>1167</v>
      </c>
      <c r="O228" s="6" t="s">
        <v>19</v>
      </c>
      <c r="P228" s="11" t="e">
        <f t="shared" si="6"/>
        <v>#VALUE!</v>
      </c>
      <c r="Q228" s="19" t="s">
        <v>19</v>
      </c>
      <c r="R228" s="19"/>
    </row>
    <row r="229" spans="1:19" x14ac:dyDescent="0.3">
      <c r="A229" s="6" t="s">
        <v>1168</v>
      </c>
      <c r="B229" s="7" t="s">
        <v>1169</v>
      </c>
      <c r="C229" s="17" t="s">
        <v>1170</v>
      </c>
      <c r="D229" s="17"/>
      <c r="E229" s="8">
        <v>16812</v>
      </c>
      <c r="F229" s="9">
        <v>76</v>
      </c>
      <c r="G229" s="6" t="s">
        <v>1171</v>
      </c>
      <c r="H229" s="7" t="s">
        <v>25</v>
      </c>
      <c r="I229" s="6"/>
      <c r="J229" s="7" t="s">
        <v>41</v>
      </c>
      <c r="K229" s="7" t="s">
        <v>26</v>
      </c>
      <c r="L229" s="9">
        <v>69</v>
      </c>
      <c r="M229" s="10">
        <v>4.7600000000000003E-2</v>
      </c>
      <c r="N229" s="6" t="s">
        <v>1172</v>
      </c>
      <c r="O229" s="11">
        <v>42117.52</v>
      </c>
      <c r="P229" s="11">
        <f t="shared" si="6"/>
        <v>36852.829999999994</v>
      </c>
      <c r="Q229" s="18">
        <v>5264.69</v>
      </c>
      <c r="R229" s="19"/>
      <c r="S229" s="2" t="str">
        <f>IF(P237&lt;O237,"CATCHUP","NONE")</f>
        <v>CATCHUP</v>
      </c>
    </row>
    <row r="230" spans="1:19" hidden="1" x14ac:dyDescent="0.3">
      <c r="A230" s="6" t="s">
        <v>1173</v>
      </c>
      <c r="B230" s="7" t="s">
        <v>287</v>
      </c>
      <c r="C230" s="17" t="s">
        <v>1174</v>
      </c>
      <c r="D230" s="17"/>
      <c r="E230" s="7" t="s">
        <v>110</v>
      </c>
      <c r="F230" s="9">
        <v>72</v>
      </c>
      <c r="G230" s="6" t="s">
        <v>1175</v>
      </c>
      <c r="H230" s="7" t="s">
        <v>25</v>
      </c>
      <c r="I230" s="6" t="s">
        <v>19</v>
      </c>
      <c r="J230" s="7" t="s">
        <v>20</v>
      </c>
      <c r="K230" s="7" t="s">
        <v>26</v>
      </c>
      <c r="L230" s="6"/>
      <c r="M230" s="10">
        <v>5.3999999999999999E-2</v>
      </c>
      <c r="N230" s="6" t="s">
        <v>1176</v>
      </c>
      <c r="O230" s="6" t="s">
        <v>19</v>
      </c>
      <c r="P230" s="11" t="e">
        <f t="shared" si="6"/>
        <v>#VALUE!</v>
      </c>
      <c r="Q230" s="19" t="s">
        <v>19</v>
      </c>
      <c r="R230" s="19"/>
    </row>
    <row r="231" spans="1:19" ht="43.2" hidden="1" x14ac:dyDescent="0.3">
      <c r="A231" s="6" t="s">
        <v>1177</v>
      </c>
      <c r="B231" s="7" t="s">
        <v>1178</v>
      </c>
      <c r="C231" s="17" t="s">
        <v>1179</v>
      </c>
      <c r="D231" s="17"/>
      <c r="E231" s="8">
        <v>17848</v>
      </c>
      <c r="F231" s="9">
        <v>74</v>
      </c>
      <c r="G231" s="6" t="s">
        <v>1180</v>
      </c>
      <c r="H231" s="7" t="s">
        <v>39</v>
      </c>
      <c r="I231" s="6" t="s">
        <v>607</v>
      </c>
      <c r="J231" s="7" t="s">
        <v>20</v>
      </c>
      <c r="K231" s="7" t="s">
        <v>26</v>
      </c>
      <c r="L231" s="6"/>
      <c r="M231" s="10">
        <v>5.67E-2</v>
      </c>
      <c r="N231" s="6" t="s">
        <v>1181</v>
      </c>
      <c r="O231" s="11">
        <v>20800</v>
      </c>
      <c r="P231" s="11">
        <f t="shared" si="6"/>
        <v>20158.439999999999</v>
      </c>
      <c r="Q231" s="18">
        <v>2600</v>
      </c>
      <c r="R231" s="19"/>
    </row>
    <row r="232" spans="1:19" ht="43.2" hidden="1" x14ac:dyDescent="0.3">
      <c r="A232" s="6" t="s">
        <v>1182</v>
      </c>
      <c r="B232" s="7" t="s">
        <v>240</v>
      </c>
      <c r="C232" s="17" t="s">
        <v>1183</v>
      </c>
      <c r="D232" s="17"/>
      <c r="E232" s="8">
        <v>16483</v>
      </c>
      <c r="F232" s="9">
        <v>77</v>
      </c>
      <c r="G232" s="6" t="s">
        <v>1184</v>
      </c>
      <c r="H232" s="7" t="s">
        <v>39</v>
      </c>
      <c r="I232" s="6" t="s">
        <v>728</v>
      </c>
      <c r="J232" s="7" t="s">
        <v>20</v>
      </c>
      <c r="K232" s="7" t="s">
        <v>26</v>
      </c>
      <c r="L232" s="6"/>
      <c r="M232" s="10">
        <v>6.1699999999999998E-2</v>
      </c>
      <c r="N232" s="6" t="s">
        <v>1185</v>
      </c>
      <c r="O232" s="11">
        <v>28000</v>
      </c>
      <c r="P232" s="11">
        <f t="shared" si="6"/>
        <v>25973.43</v>
      </c>
      <c r="Q232" s="18">
        <v>3500</v>
      </c>
      <c r="R232" s="19"/>
    </row>
    <row r="233" spans="1:19" hidden="1" x14ac:dyDescent="0.3">
      <c r="A233" s="6" t="s">
        <v>1186</v>
      </c>
      <c r="B233" s="7" t="s">
        <v>1187</v>
      </c>
      <c r="C233" s="17" t="s">
        <v>1188</v>
      </c>
      <c r="D233" s="17"/>
      <c r="E233" s="7" t="s">
        <v>1189</v>
      </c>
      <c r="F233" s="9">
        <v>74</v>
      </c>
      <c r="G233" s="6" t="s">
        <v>1190</v>
      </c>
      <c r="H233" s="7" t="s">
        <v>25</v>
      </c>
      <c r="I233" s="6" t="s">
        <v>19</v>
      </c>
      <c r="J233" s="7" t="s">
        <v>20</v>
      </c>
      <c r="K233" s="7" t="s">
        <v>26</v>
      </c>
      <c r="L233" s="6"/>
      <c r="M233" s="10">
        <v>5.67E-2</v>
      </c>
      <c r="N233" s="6" t="s">
        <v>1191</v>
      </c>
      <c r="O233" s="6" t="s">
        <v>19</v>
      </c>
      <c r="P233" s="11" t="e">
        <f t="shared" si="6"/>
        <v>#VALUE!</v>
      </c>
      <c r="Q233" s="19" t="s">
        <v>19</v>
      </c>
      <c r="R233" s="19"/>
    </row>
    <row r="234" spans="1:19" hidden="1" x14ac:dyDescent="0.3">
      <c r="A234" s="6" t="s">
        <v>1192</v>
      </c>
      <c r="B234" s="7" t="s">
        <v>1193</v>
      </c>
      <c r="C234" s="17" t="s">
        <v>1194</v>
      </c>
      <c r="D234" s="17"/>
      <c r="E234" s="8">
        <v>17282</v>
      </c>
      <c r="F234" s="9">
        <v>75</v>
      </c>
      <c r="G234" s="6" t="s">
        <v>1196</v>
      </c>
      <c r="H234" s="7" t="s">
        <v>25</v>
      </c>
      <c r="I234" s="6"/>
      <c r="J234" s="7" t="s">
        <v>20</v>
      </c>
      <c r="K234" s="7" t="s">
        <v>32</v>
      </c>
      <c r="L234" s="6"/>
      <c r="M234" s="10">
        <v>5.8200000000000002E-2</v>
      </c>
      <c r="N234" s="6" t="s">
        <v>1197</v>
      </c>
      <c r="O234" s="11">
        <v>1325.16</v>
      </c>
      <c r="P234" s="11">
        <f t="shared" si="6"/>
        <v>1214.73</v>
      </c>
      <c r="Q234" s="18">
        <v>1325.16</v>
      </c>
      <c r="R234" s="19"/>
    </row>
    <row r="235" spans="1:19" ht="43.2" hidden="1" x14ac:dyDescent="0.3">
      <c r="A235" s="6" t="s">
        <v>1198</v>
      </c>
      <c r="B235" s="7" t="s">
        <v>1199</v>
      </c>
      <c r="C235" s="17" t="s">
        <v>1194</v>
      </c>
      <c r="D235" s="17"/>
      <c r="E235" s="8">
        <v>17498</v>
      </c>
      <c r="F235" s="9">
        <v>75</v>
      </c>
      <c r="G235" s="6" t="s">
        <v>1200</v>
      </c>
      <c r="H235" s="7" t="s">
        <v>39</v>
      </c>
      <c r="I235" s="6" t="s">
        <v>122</v>
      </c>
      <c r="J235" s="7" t="s">
        <v>20</v>
      </c>
      <c r="K235" s="7" t="s">
        <v>26</v>
      </c>
      <c r="L235" s="6"/>
      <c r="M235" s="10">
        <v>5.8200000000000002E-2</v>
      </c>
      <c r="N235" s="6" t="s">
        <v>1201</v>
      </c>
      <c r="O235" s="11">
        <v>16000</v>
      </c>
      <c r="P235" s="11">
        <f t="shared" si="6"/>
        <v>15503.48</v>
      </c>
      <c r="Q235" s="18">
        <v>2000</v>
      </c>
      <c r="R235" s="19"/>
    </row>
    <row r="236" spans="1:19" hidden="1" x14ac:dyDescent="0.3">
      <c r="A236" s="6" t="s">
        <v>1202</v>
      </c>
      <c r="B236" s="7" t="s">
        <v>509</v>
      </c>
      <c r="C236" s="17" t="s">
        <v>1203</v>
      </c>
      <c r="D236" s="17"/>
      <c r="E236" s="8">
        <v>17153</v>
      </c>
      <c r="F236" s="9">
        <v>76</v>
      </c>
      <c r="G236" s="6" t="s">
        <v>1204</v>
      </c>
      <c r="H236" s="7" t="s">
        <v>25</v>
      </c>
      <c r="I236" s="6"/>
      <c r="J236" s="7" t="s">
        <v>20</v>
      </c>
      <c r="K236" s="7" t="s">
        <v>26</v>
      </c>
      <c r="L236" s="6"/>
      <c r="M236" s="10">
        <v>5.9799999999999999E-2</v>
      </c>
      <c r="N236" s="6" t="s">
        <v>1205</v>
      </c>
      <c r="O236" s="11">
        <v>20000</v>
      </c>
      <c r="P236" s="11">
        <f t="shared" si="6"/>
        <v>18530.259999999998</v>
      </c>
      <c r="Q236" s="18">
        <v>20000</v>
      </c>
      <c r="R236" s="19"/>
    </row>
    <row r="237" spans="1:19" ht="43.2" x14ac:dyDescent="0.3">
      <c r="A237" s="6" t="s">
        <v>1206</v>
      </c>
      <c r="B237" s="7" t="s">
        <v>1207</v>
      </c>
      <c r="C237" s="17" t="s">
        <v>1208</v>
      </c>
      <c r="D237" s="17"/>
      <c r="E237" s="8">
        <v>16531</v>
      </c>
      <c r="F237" s="9">
        <v>77</v>
      </c>
      <c r="G237" s="6" t="s">
        <v>1209</v>
      </c>
      <c r="H237" s="7" t="s">
        <v>39</v>
      </c>
      <c r="I237" s="6" t="s">
        <v>1031</v>
      </c>
      <c r="J237" s="7" t="s">
        <v>41</v>
      </c>
      <c r="K237" s="7" t="s">
        <v>26</v>
      </c>
      <c r="L237" s="9">
        <v>74</v>
      </c>
      <c r="M237" s="10">
        <v>5.67E-2</v>
      </c>
      <c r="N237" s="6" t="s">
        <v>1210</v>
      </c>
      <c r="O237" s="11">
        <v>18000</v>
      </c>
      <c r="P237" s="11">
        <f t="shared" si="6"/>
        <v>17274.650000000001</v>
      </c>
      <c r="Q237" s="18">
        <v>2250</v>
      </c>
      <c r="R237" s="19"/>
      <c r="S237" s="2" t="str">
        <f>IF(P245&lt;O245,"CATCHUP","NONE")</f>
        <v>CATCHUP</v>
      </c>
    </row>
    <row r="238" spans="1:19" hidden="1" x14ac:dyDescent="0.3">
      <c r="A238" s="6" t="s">
        <v>1211</v>
      </c>
      <c r="B238" s="7" t="s">
        <v>509</v>
      </c>
      <c r="C238" s="17" t="s">
        <v>1212</v>
      </c>
      <c r="D238" s="17"/>
      <c r="E238" s="7" t="s">
        <v>1213</v>
      </c>
      <c r="F238" s="9">
        <v>75</v>
      </c>
      <c r="G238" s="6" t="s">
        <v>1214</v>
      </c>
      <c r="H238" s="7" t="s">
        <v>25</v>
      </c>
      <c r="I238" s="6" t="s">
        <v>19</v>
      </c>
      <c r="J238" s="7" t="s">
        <v>41</v>
      </c>
      <c r="K238" s="7" t="s">
        <v>26</v>
      </c>
      <c r="L238" s="9">
        <v>72</v>
      </c>
      <c r="M238" s="10">
        <v>5.3999999999999999E-2</v>
      </c>
      <c r="N238" s="6" t="s">
        <v>1215</v>
      </c>
      <c r="O238" s="6" t="s">
        <v>19</v>
      </c>
      <c r="P238" s="11" t="e">
        <f t="shared" si="6"/>
        <v>#VALUE!</v>
      </c>
      <c r="Q238" s="19" t="s">
        <v>19</v>
      </c>
      <c r="R238" s="19"/>
    </row>
    <row r="239" spans="1:19" ht="43.2" hidden="1" x14ac:dyDescent="0.3">
      <c r="A239" s="6" t="s">
        <v>1216</v>
      </c>
      <c r="B239" s="7" t="s">
        <v>276</v>
      </c>
      <c r="C239" s="17" t="s">
        <v>1217</v>
      </c>
      <c r="D239" s="17"/>
      <c r="E239" s="8">
        <v>17243</v>
      </c>
      <c r="F239" s="9">
        <v>75</v>
      </c>
      <c r="G239" s="6" t="s">
        <v>1218</v>
      </c>
      <c r="H239" s="7" t="s">
        <v>39</v>
      </c>
      <c r="I239" s="6" t="s">
        <v>522</v>
      </c>
      <c r="J239" s="7" t="s">
        <v>20</v>
      </c>
      <c r="K239" s="7" t="s">
        <v>26</v>
      </c>
      <c r="L239" s="6"/>
      <c r="M239" s="10">
        <v>5.8200000000000002E-2</v>
      </c>
      <c r="N239" s="6" t="s">
        <v>1219</v>
      </c>
      <c r="O239" s="11">
        <v>28800</v>
      </c>
      <c r="P239" s="11">
        <f t="shared" si="6"/>
        <v>22158.9</v>
      </c>
      <c r="Q239" s="18">
        <v>3600</v>
      </c>
      <c r="R239" s="19"/>
    </row>
    <row r="240" spans="1:19" ht="43.2" hidden="1" x14ac:dyDescent="0.3">
      <c r="A240" s="6" t="s">
        <v>1220</v>
      </c>
      <c r="B240" s="7" t="s">
        <v>224</v>
      </c>
      <c r="C240" s="17" t="s">
        <v>1221</v>
      </c>
      <c r="D240" s="17"/>
      <c r="E240" s="8">
        <v>16138</v>
      </c>
      <c r="F240" s="9">
        <v>78</v>
      </c>
      <c r="G240" s="6" t="s">
        <v>1222</v>
      </c>
      <c r="H240" s="7" t="s">
        <v>39</v>
      </c>
      <c r="I240" s="6" t="s">
        <v>745</v>
      </c>
      <c r="J240" s="7" t="s">
        <v>20</v>
      </c>
      <c r="K240" s="7" t="s">
        <v>26</v>
      </c>
      <c r="L240" s="6"/>
      <c r="M240" s="10">
        <v>6.3600000000000004E-2</v>
      </c>
      <c r="N240" s="6" t="s">
        <v>1223</v>
      </c>
      <c r="O240" s="11">
        <v>11200</v>
      </c>
      <c r="P240" s="11">
        <f t="shared" si="6"/>
        <v>9808.369999999999</v>
      </c>
      <c r="Q240" s="18">
        <v>1400</v>
      </c>
      <c r="R240" s="19"/>
    </row>
    <row r="241" spans="1:19" ht="43.2" hidden="1" x14ac:dyDescent="0.3">
      <c r="A241" s="6" t="s">
        <v>1224</v>
      </c>
      <c r="B241" s="7" t="s">
        <v>406</v>
      </c>
      <c r="C241" s="17" t="s">
        <v>1225</v>
      </c>
      <c r="D241" s="17"/>
      <c r="E241" s="7" t="s">
        <v>1226</v>
      </c>
      <c r="F241" s="9">
        <v>76</v>
      </c>
      <c r="G241" s="6" t="s">
        <v>1227</v>
      </c>
      <c r="H241" s="7" t="s">
        <v>39</v>
      </c>
      <c r="I241" s="6" t="s">
        <v>132</v>
      </c>
      <c r="J241" s="7" t="s">
        <v>20</v>
      </c>
      <c r="K241" s="7" t="s">
        <v>26</v>
      </c>
      <c r="L241" s="6"/>
      <c r="M241" s="10">
        <v>5.9799999999999999E-2</v>
      </c>
      <c r="N241" s="6" t="s">
        <v>1228</v>
      </c>
      <c r="O241" s="6" t="s">
        <v>19</v>
      </c>
      <c r="P241" s="11" t="e">
        <f t="shared" si="6"/>
        <v>#VALUE!</v>
      </c>
      <c r="Q241" s="19" t="s">
        <v>19</v>
      </c>
      <c r="R241" s="19"/>
    </row>
    <row r="242" spans="1:19" hidden="1" x14ac:dyDescent="0.3">
      <c r="A242" s="6" t="s">
        <v>1229</v>
      </c>
      <c r="B242" s="7" t="s">
        <v>1230</v>
      </c>
      <c r="C242" s="17" t="s">
        <v>1231</v>
      </c>
      <c r="D242" s="17"/>
      <c r="E242" s="8">
        <v>15553</v>
      </c>
      <c r="F242" s="9">
        <v>80</v>
      </c>
      <c r="G242" s="6" t="s">
        <v>1232</v>
      </c>
      <c r="H242" s="7" t="s">
        <v>25</v>
      </c>
      <c r="I242" s="6"/>
      <c r="J242" s="7" t="s">
        <v>20</v>
      </c>
      <c r="K242" s="7" t="s">
        <v>26</v>
      </c>
      <c r="L242" s="6"/>
      <c r="M242" s="10">
        <v>6.8199999999999997E-2</v>
      </c>
      <c r="N242" s="6" t="s">
        <v>1027</v>
      </c>
      <c r="O242" s="11">
        <v>11087.84</v>
      </c>
      <c r="P242" s="11">
        <f t="shared" si="6"/>
        <v>9701.86</v>
      </c>
      <c r="Q242" s="18">
        <v>1385.98</v>
      </c>
      <c r="R242" s="19"/>
    </row>
    <row r="243" spans="1:19" ht="28.8" hidden="1" x14ac:dyDescent="0.3">
      <c r="A243" s="6" t="s">
        <v>1233</v>
      </c>
      <c r="B243" s="7" t="s">
        <v>1234</v>
      </c>
      <c r="C243" s="17" t="s">
        <v>1235</v>
      </c>
      <c r="D243" s="17"/>
      <c r="E243" s="8">
        <v>17714</v>
      </c>
      <c r="F243" s="9">
        <v>74</v>
      </c>
      <c r="G243" s="6" t="s">
        <v>1236</v>
      </c>
      <c r="H243" s="7" t="s">
        <v>39</v>
      </c>
      <c r="I243" s="6" t="s">
        <v>1237</v>
      </c>
      <c r="J243" s="7" t="s">
        <v>20</v>
      </c>
      <c r="K243" s="7" t="s">
        <v>26</v>
      </c>
      <c r="L243" s="6"/>
      <c r="M243" s="10">
        <v>5.67E-2</v>
      </c>
      <c r="N243" s="6" t="s">
        <v>1238</v>
      </c>
      <c r="O243" s="11">
        <v>1750.96</v>
      </c>
      <c r="P243" s="11">
        <f t="shared" si="6"/>
        <v>1509.93</v>
      </c>
      <c r="Q243" s="18">
        <v>218.87</v>
      </c>
      <c r="R243" s="19"/>
    </row>
    <row r="244" spans="1:19" ht="43.2" hidden="1" x14ac:dyDescent="0.3">
      <c r="A244" s="6" t="s">
        <v>1239</v>
      </c>
      <c r="B244" s="7" t="s">
        <v>1240</v>
      </c>
      <c r="C244" s="17" t="s">
        <v>1241</v>
      </c>
      <c r="D244" s="17"/>
      <c r="E244" s="8">
        <v>18395</v>
      </c>
      <c r="F244" s="9">
        <v>72</v>
      </c>
      <c r="G244" s="6" t="s">
        <v>1242</v>
      </c>
      <c r="H244" s="7" t="s">
        <v>39</v>
      </c>
      <c r="I244" s="6" t="s">
        <v>40</v>
      </c>
      <c r="J244" s="7" t="s">
        <v>20</v>
      </c>
      <c r="K244" s="7" t="s">
        <v>26</v>
      </c>
      <c r="L244" s="6"/>
      <c r="M244" s="10">
        <v>5.3999999999999999E-2</v>
      </c>
      <c r="N244" s="6" t="s">
        <v>1243</v>
      </c>
      <c r="O244" s="11">
        <v>24000</v>
      </c>
      <c r="P244" s="11">
        <f t="shared" si="6"/>
        <v>20791.28</v>
      </c>
      <c r="Q244" s="18">
        <v>3000</v>
      </c>
      <c r="R244" s="19"/>
    </row>
    <row r="245" spans="1:19" ht="28.8" hidden="1" x14ac:dyDescent="0.3">
      <c r="A245" s="6" t="s">
        <v>1244</v>
      </c>
      <c r="B245" s="7" t="s">
        <v>1245</v>
      </c>
      <c r="C245" s="17" t="s">
        <v>1246</v>
      </c>
      <c r="D245" s="17"/>
      <c r="E245" s="8">
        <v>18591</v>
      </c>
      <c r="F245" s="9">
        <v>72</v>
      </c>
      <c r="G245" s="6" t="s">
        <v>1248</v>
      </c>
      <c r="H245" s="7" t="s">
        <v>39</v>
      </c>
      <c r="I245" s="6" t="s">
        <v>1249</v>
      </c>
      <c r="J245" s="7" t="s">
        <v>20</v>
      </c>
      <c r="K245" s="7" t="s">
        <v>26</v>
      </c>
      <c r="L245" s="6"/>
      <c r="M245" s="10">
        <v>5.3999999999999999E-2</v>
      </c>
      <c r="N245" s="6" t="s">
        <v>1250</v>
      </c>
      <c r="O245" s="11">
        <v>4320</v>
      </c>
      <c r="P245" s="11">
        <f t="shared" si="6"/>
        <v>3888.69</v>
      </c>
      <c r="Q245" s="18">
        <v>540</v>
      </c>
      <c r="R245" s="19"/>
    </row>
    <row r="246" spans="1:19" hidden="1" x14ac:dyDescent="0.3">
      <c r="A246" s="6" t="s">
        <v>1251</v>
      </c>
      <c r="B246" s="7" t="s">
        <v>1252</v>
      </c>
      <c r="C246" s="17" t="s">
        <v>1253</v>
      </c>
      <c r="D246" s="17"/>
      <c r="E246" s="8">
        <v>18230</v>
      </c>
      <c r="F246" s="9">
        <v>73</v>
      </c>
      <c r="G246" s="6" t="s">
        <v>1254</v>
      </c>
      <c r="H246" s="7" t="s">
        <v>25</v>
      </c>
      <c r="I246" s="6"/>
      <c r="J246" s="7" t="s">
        <v>20</v>
      </c>
      <c r="K246" s="7" t="s">
        <v>26</v>
      </c>
      <c r="L246" s="6"/>
      <c r="M246" s="10">
        <v>5.5300000000000002E-2</v>
      </c>
      <c r="N246" s="6" t="s">
        <v>1255</v>
      </c>
      <c r="O246" s="11">
        <v>16332.47</v>
      </c>
      <c r="P246" s="11">
        <f t="shared" si="6"/>
        <v>13999.259999999998</v>
      </c>
      <c r="Q246" s="18">
        <v>2333.21</v>
      </c>
      <c r="R246" s="19"/>
    </row>
    <row r="247" spans="1:19" ht="43.2" hidden="1" x14ac:dyDescent="0.3">
      <c r="A247" s="6" t="s">
        <v>1256</v>
      </c>
      <c r="B247" s="7" t="s">
        <v>1257</v>
      </c>
      <c r="C247" s="17" t="s">
        <v>1258</v>
      </c>
      <c r="D247" s="17"/>
      <c r="E247" s="8">
        <v>17312</v>
      </c>
      <c r="F247" s="9">
        <v>75</v>
      </c>
      <c r="G247" s="6" t="s">
        <v>1259</v>
      </c>
      <c r="H247" s="7" t="s">
        <v>39</v>
      </c>
      <c r="I247" s="6" t="s">
        <v>47</v>
      </c>
      <c r="J247" s="7" t="s">
        <v>20</v>
      </c>
      <c r="K247" s="7" t="s">
        <v>26</v>
      </c>
      <c r="L247" s="6"/>
      <c r="M247" s="10">
        <v>5.8200000000000002E-2</v>
      </c>
      <c r="N247" s="6" t="s">
        <v>1260</v>
      </c>
      <c r="O247" s="11">
        <v>8000</v>
      </c>
      <c r="P247" s="11">
        <f t="shared" si="6"/>
        <v>7227.12</v>
      </c>
      <c r="Q247" s="18">
        <v>1000</v>
      </c>
      <c r="R247" s="19"/>
    </row>
    <row r="248" spans="1:19" ht="43.2" x14ac:dyDescent="0.3">
      <c r="A248" s="6" t="s">
        <v>1261</v>
      </c>
      <c r="B248" s="7" t="s">
        <v>1262</v>
      </c>
      <c r="C248" s="17" t="s">
        <v>1263</v>
      </c>
      <c r="D248" s="17"/>
      <c r="E248" s="8">
        <v>18420</v>
      </c>
      <c r="F248" s="9">
        <v>72</v>
      </c>
      <c r="G248" s="6" t="s">
        <v>1264</v>
      </c>
      <c r="H248" s="7" t="s">
        <v>39</v>
      </c>
      <c r="I248" s="6" t="s">
        <v>533</v>
      </c>
      <c r="J248" s="7" t="s">
        <v>41</v>
      </c>
      <c r="K248" s="7" t="s">
        <v>32</v>
      </c>
      <c r="L248" s="9">
        <v>67</v>
      </c>
      <c r="M248" s="10">
        <v>4.3499999999999997E-2</v>
      </c>
      <c r="N248" s="6" t="s">
        <v>1265</v>
      </c>
      <c r="O248" s="11">
        <v>10000</v>
      </c>
      <c r="P248" s="11">
        <f t="shared" si="6"/>
        <v>9513.23</v>
      </c>
      <c r="Q248" s="18">
        <v>10000</v>
      </c>
      <c r="R248" s="19"/>
      <c r="S248" s="2" t="str">
        <f t="shared" ref="S248:S249" si="9">IF(P256&lt;O256,"CATCHUP","NONE")</f>
        <v>CATCHUP</v>
      </c>
    </row>
    <row r="249" spans="1:19" ht="43.2" x14ac:dyDescent="0.3">
      <c r="A249" s="6" t="s">
        <v>1266</v>
      </c>
      <c r="B249" s="7" t="s">
        <v>1267</v>
      </c>
      <c r="C249" s="17" t="s">
        <v>1268</v>
      </c>
      <c r="D249" s="17"/>
      <c r="E249" s="8">
        <v>16813</v>
      </c>
      <c r="F249" s="9">
        <v>76</v>
      </c>
      <c r="G249" s="6" t="s">
        <v>1269</v>
      </c>
      <c r="H249" s="7" t="s">
        <v>39</v>
      </c>
      <c r="I249" s="6" t="s">
        <v>1270</v>
      </c>
      <c r="J249" s="7" t="s">
        <v>41</v>
      </c>
      <c r="K249" s="7" t="s">
        <v>26</v>
      </c>
      <c r="L249" s="9">
        <v>76</v>
      </c>
      <c r="M249" s="10">
        <v>5.9799999999999999E-2</v>
      </c>
      <c r="N249" s="6" t="s">
        <v>1271</v>
      </c>
      <c r="O249" s="11">
        <v>38772.080000000002</v>
      </c>
      <c r="P249" s="11">
        <f t="shared" si="6"/>
        <v>35429.93</v>
      </c>
      <c r="Q249" s="18">
        <v>4846.51</v>
      </c>
      <c r="R249" s="19"/>
      <c r="S249" s="2" t="e">
        <f t="shared" si="9"/>
        <v>#VALUE!</v>
      </c>
    </row>
    <row r="250" spans="1:19" hidden="1" x14ac:dyDescent="0.3">
      <c r="A250" s="6" t="s">
        <v>1272</v>
      </c>
      <c r="B250" s="7" t="s">
        <v>1273</v>
      </c>
      <c r="C250" s="17" t="s">
        <v>1274</v>
      </c>
      <c r="D250" s="17"/>
      <c r="E250" s="7" t="s">
        <v>1275</v>
      </c>
      <c r="F250" s="9">
        <v>73</v>
      </c>
      <c r="G250" s="6" t="s">
        <v>1276</v>
      </c>
      <c r="H250" s="7" t="s">
        <v>25</v>
      </c>
      <c r="I250" s="6" t="s">
        <v>19</v>
      </c>
      <c r="J250" s="7" t="s">
        <v>41</v>
      </c>
      <c r="K250" s="7" t="s">
        <v>26</v>
      </c>
      <c r="L250" s="9">
        <v>70</v>
      </c>
      <c r="M250" s="10">
        <v>0.05</v>
      </c>
      <c r="N250" s="6" t="s">
        <v>1277</v>
      </c>
      <c r="O250" s="6" t="s">
        <v>19</v>
      </c>
      <c r="P250" s="11" t="e">
        <f t="shared" si="6"/>
        <v>#VALUE!</v>
      </c>
      <c r="Q250" s="19" t="s">
        <v>19</v>
      </c>
      <c r="R250" s="19"/>
    </row>
    <row r="251" spans="1:19" ht="28.8" hidden="1" x14ac:dyDescent="0.3">
      <c r="A251" s="6" t="s">
        <v>1278</v>
      </c>
      <c r="B251" s="7" t="s">
        <v>1279</v>
      </c>
      <c r="C251" s="17" t="s">
        <v>1274</v>
      </c>
      <c r="D251" s="17"/>
      <c r="E251" s="7" t="s">
        <v>1280</v>
      </c>
      <c r="F251" s="9">
        <v>74</v>
      </c>
      <c r="G251" s="6" t="s">
        <v>1281</v>
      </c>
      <c r="H251" s="7" t="s">
        <v>25</v>
      </c>
      <c r="I251" s="6" t="s">
        <v>19</v>
      </c>
      <c r="J251" s="7" t="s">
        <v>20</v>
      </c>
      <c r="K251" s="7" t="s">
        <v>32</v>
      </c>
      <c r="L251" s="6"/>
      <c r="M251" s="10">
        <v>5.67E-2</v>
      </c>
      <c r="N251" s="6" t="s">
        <v>1282</v>
      </c>
      <c r="O251" s="6" t="s">
        <v>19</v>
      </c>
      <c r="P251" s="11" t="e">
        <f t="shared" si="6"/>
        <v>#VALUE!</v>
      </c>
      <c r="Q251" s="19" t="s">
        <v>19</v>
      </c>
      <c r="R251" s="19"/>
    </row>
    <row r="252" spans="1:19" ht="43.2" hidden="1" x14ac:dyDescent="0.3">
      <c r="A252" s="6" t="s">
        <v>1283</v>
      </c>
      <c r="B252" s="7" t="s">
        <v>129</v>
      </c>
      <c r="C252" s="17" t="s">
        <v>1284</v>
      </c>
      <c r="D252" s="17"/>
      <c r="E252" s="8">
        <v>17173</v>
      </c>
      <c r="F252" s="9">
        <v>75</v>
      </c>
      <c r="G252" s="6" t="s">
        <v>1285</v>
      </c>
      <c r="H252" s="7" t="s">
        <v>39</v>
      </c>
      <c r="I252" s="6" t="s">
        <v>47</v>
      </c>
      <c r="J252" s="7" t="s">
        <v>20</v>
      </c>
      <c r="K252" s="7" t="s">
        <v>26</v>
      </c>
      <c r="L252" s="6"/>
      <c r="M252" s="10">
        <v>5.8200000000000002E-2</v>
      </c>
      <c r="N252" s="6" t="s">
        <v>1286</v>
      </c>
      <c r="O252" s="11">
        <v>8000</v>
      </c>
      <c r="P252" s="11">
        <f t="shared" si="6"/>
        <v>7333.89</v>
      </c>
      <c r="Q252" s="18">
        <v>1000</v>
      </c>
      <c r="R252" s="19"/>
    </row>
    <row r="253" spans="1:19" hidden="1" x14ac:dyDescent="0.3">
      <c r="A253" s="6" t="s">
        <v>1287</v>
      </c>
      <c r="B253" s="7" t="s">
        <v>1288</v>
      </c>
      <c r="C253" s="17" t="s">
        <v>1289</v>
      </c>
      <c r="D253" s="17"/>
      <c r="E253" s="7" t="s">
        <v>1290</v>
      </c>
      <c r="F253" s="9">
        <v>76</v>
      </c>
      <c r="G253" s="6" t="s">
        <v>1291</v>
      </c>
      <c r="H253" s="7" t="s">
        <v>25</v>
      </c>
      <c r="I253" s="6" t="s">
        <v>19</v>
      </c>
      <c r="J253" s="7" t="s">
        <v>20</v>
      </c>
      <c r="K253" s="7" t="s">
        <v>32</v>
      </c>
      <c r="L253" s="6"/>
      <c r="M253" s="10">
        <v>5.9799999999999999E-2</v>
      </c>
      <c r="N253" s="6" t="s">
        <v>1292</v>
      </c>
      <c r="O253" s="6" t="s">
        <v>19</v>
      </c>
      <c r="P253" s="11" t="e">
        <f t="shared" si="6"/>
        <v>#VALUE!</v>
      </c>
      <c r="Q253" s="19" t="s">
        <v>19</v>
      </c>
      <c r="R253" s="19"/>
    </row>
    <row r="254" spans="1:19" hidden="1" x14ac:dyDescent="0.3">
      <c r="A254" s="6" t="s">
        <v>1293</v>
      </c>
      <c r="B254" s="7" t="s">
        <v>1240</v>
      </c>
      <c r="C254" s="17" t="s">
        <v>1294</v>
      </c>
      <c r="D254" s="17"/>
      <c r="E254" s="7" t="s">
        <v>558</v>
      </c>
      <c r="F254" s="9">
        <v>74</v>
      </c>
      <c r="G254" s="6" t="s">
        <v>1295</v>
      </c>
      <c r="H254" s="7" t="s">
        <v>25</v>
      </c>
      <c r="I254" s="6" t="s">
        <v>19</v>
      </c>
      <c r="J254" s="7" t="s">
        <v>20</v>
      </c>
      <c r="K254" s="7" t="s">
        <v>32</v>
      </c>
      <c r="L254" s="6"/>
      <c r="M254" s="10">
        <v>5.67E-2</v>
      </c>
      <c r="N254" s="6" t="s">
        <v>1296</v>
      </c>
      <c r="O254" s="6" t="s">
        <v>19</v>
      </c>
      <c r="P254" s="11" t="e">
        <f t="shared" si="6"/>
        <v>#VALUE!</v>
      </c>
      <c r="Q254" s="19" t="s">
        <v>19</v>
      </c>
      <c r="R254" s="19"/>
    </row>
    <row r="255" spans="1:19" hidden="1" x14ac:dyDescent="0.3">
      <c r="A255" s="6" t="s">
        <v>1297</v>
      </c>
      <c r="B255" s="7" t="s">
        <v>125</v>
      </c>
      <c r="C255" s="17" t="s">
        <v>1298</v>
      </c>
      <c r="D255" s="17"/>
      <c r="E255" s="7" t="s">
        <v>1299</v>
      </c>
      <c r="F255" s="9">
        <v>80</v>
      </c>
      <c r="G255" s="6" t="s">
        <v>1300</v>
      </c>
      <c r="H255" s="7" t="s">
        <v>25</v>
      </c>
      <c r="I255" s="6" t="s">
        <v>19</v>
      </c>
      <c r="J255" s="7" t="s">
        <v>20</v>
      </c>
      <c r="K255" s="7" t="s">
        <v>32</v>
      </c>
      <c r="L255" s="6"/>
      <c r="M255" s="10">
        <v>6.8199999999999997E-2</v>
      </c>
      <c r="N255" s="6" t="s">
        <v>1301</v>
      </c>
      <c r="O255" s="6" t="s">
        <v>19</v>
      </c>
      <c r="P255" s="11" t="e">
        <f t="shared" si="6"/>
        <v>#VALUE!</v>
      </c>
      <c r="Q255" s="19" t="s">
        <v>19</v>
      </c>
      <c r="R255" s="19"/>
    </row>
    <row r="256" spans="1:19" ht="43.2" hidden="1" x14ac:dyDescent="0.3">
      <c r="A256" s="6" t="s">
        <v>1302</v>
      </c>
      <c r="B256" s="7" t="s">
        <v>1303</v>
      </c>
      <c r="C256" s="17" t="s">
        <v>1304</v>
      </c>
      <c r="D256" s="17"/>
      <c r="E256" s="8">
        <v>18625</v>
      </c>
      <c r="F256" s="9">
        <v>72</v>
      </c>
      <c r="G256" s="6" t="s">
        <v>1305</v>
      </c>
      <c r="H256" s="7" t="s">
        <v>39</v>
      </c>
      <c r="I256" s="6" t="s">
        <v>1306</v>
      </c>
      <c r="J256" s="7" t="s">
        <v>20</v>
      </c>
      <c r="K256" s="7" t="s">
        <v>26</v>
      </c>
      <c r="L256" s="6"/>
      <c r="M256" s="10">
        <v>5.3999999999999999E-2</v>
      </c>
      <c r="N256" s="6" t="s">
        <v>1307</v>
      </c>
      <c r="O256" s="11">
        <v>49620</v>
      </c>
      <c r="P256" s="11">
        <f t="shared" si="6"/>
        <v>43413.19</v>
      </c>
      <c r="Q256" s="18">
        <v>50.14</v>
      </c>
      <c r="R256" s="19"/>
    </row>
    <row r="257" spans="1:19" ht="43.2" hidden="1" x14ac:dyDescent="0.3">
      <c r="A257" s="6" t="s">
        <v>1308</v>
      </c>
      <c r="B257" s="7" t="s">
        <v>1309</v>
      </c>
      <c r="C257" s="17" t="s">
        <v>1310</v>
      </c>
      <c r="D257" s="17"/>
      <c r="E257" s="7" t="s">
        <v>1311</v>
      </c>
      <c r="F257" s="9">
        <v>73</v>
      </c>
      <c r="G257" s="6" t="s">
        <v>1312</v>
      </c>
      <c r="H257" s="7" t="s">
        <v>39</v>
      </c>
      <c r="I257" s="6" t="s">
        <v>1313</v>
      </c>
      <c r="J257" s="7" t="s">
        <v>20</v>
      </c>
      <c r="K257" s="7" t="s">
        <v>32</v>
      </c>
      <c r="L257" s="6"/>
      <c r="M257" s="10">
        <v>5.5300000000000002E-2</v>
      </c>
      <c r="N257" s="6" t="s">
        <v>1314</v>
      </c>
      <c r="O257" s="6" t="s">
        <v>19</v>
      </c>
      <c r="P257" s="11" t="e">
        <f t="shared" si="6"/>
        <v>#VALUE!</v>
      </c>
      <c r="Q257" s="19" t="s">
        <v>19</v>
      </c>
      <c r="R257" s="19"/>
    </row>
    <row r="258" spans="1:19" hidden="1" x14ac:dyDescent="0.3">
      <c r="A258" s="6" t="s">
        <v>1315</v>
      </c>
      <c r="B258" s="7" t="s">
        <v>1316</v>
      </c>
      <c r="C258" s="17" t="s">
        <v>1310</v>
      </c>
      <c r="D258" s="17"/>
      <c r="E258" s="7" t="s">
        <v>1317</v>
      </c>
      <c r="F258" s="9">
        <v>80</v>
      </c>
      <c r="G258" s="6" t="s">
        <v>1318</v>
      </c>
      <c r="H258" s="7" t="s">
        <v>25</v>
      </c>
      <c r="I258" s="6" t="s">
        <v>19</v>
      </c>
      <c r="J258" s="7" t="s">
        <v>41</v>
      </c>
      <c r="K258" s="7" t="s">
        <v>32</v>
      </c>
      <c r="L258" s="9">
        <v>73</v>
      </c>
      <c r="M258" s="10">
        <v>5.5300000000000002E-2</v>
      </c>
      <c r="N258" s="6" t="s">
        <v>1319</v>
      </c>
      <c r="O258" s="6" t="s">
        <v>19</v>
      </c>
      <c r="P258" s="11" t="e">
        <f t="shared" si="6"/>
        <v>#VALUE!</v>
      </c>
      <c r="Q258" s="19" t="s">
        <v>19</v>
      </c>
      <c r="R258" s="19"/>
    </row>
    <row r="259" spans="1:19" hidden="1" x14ac:dyDescent="0.3">
      <c r="A259" s="6" t="s">
        <v>1320</v>
      </c>
      <c r="B259" s="7" t="s">
        <v>503</v>
      </c>
      <c r="C259" s="17" t="s">
        <v>1321</v>
      </c>
      <c r="D259" s="17"/>
      <c r="E259" s="8">
        <v>18235</v>
      </c>
      <c r="F259" s="9">
        <v>73</v>
      </c>
      <c r="G259" s="6" t="s">
        <v>1322</v>
      </c>
      <c r="H259" s="7" t="s">
        <v>25</v>
      </c>
      <c r="I259" s="6"/>
      <c r="J259" s="7" t="s">
        <v>20</v>
      </c>
      <c r="K259" s="7" t="s">
        <v>26</v>
      </c>
      <c r="L259" s="6"/>
      <c r="M259" s="10">
        <v>5.5300000000000002E-2</v>
      </c>
      <c r="N259" s="6" t="s">
        <v>1323</v>
      </c>
      <c r="O259" s="11">
        <v>22934.880000000001</v>
      </c>
      <c r="P259" s="11">
        <f t="shared" si="6"/>
        <v>20068.02</v>
      </c>
      <c r="Q259" s="18">
        <v>2866.86</v>
      </c>
      <c r="R259" s="19"/>
    </row>
    <row r="260" spans="1:19" ht="43.2" hidden="1" x14ac:dyDescent="0.3">
      <c r="A260" s="6" t="s">
        <v>1324</v>
      </c>
      <c r="B260" s="7" t="s">
        <v>1325</v>
      </c>
      <c r="C260" s="17" t="s">
        <v>1326</v>
      </c>
      <c r="D260" s="17"/>
      <c r="E260" s="8">
        <v>16345</v>
      </c>
      <c r="F260" s="9">
        <v>78</v>
      </c>
      <c r="G260" s="6" t="s">
        <v>1327</v>
      </c>
      <c r="H260" s="7" t="s">
        <v>39</v>
      </c>
      <c r="I260" s="6" t="s">
        <v>144</v>
      </c>
      <c r="J260" s="7" t="s">
        <v>20</v>
      </c>
      <c r="K260" s="7" t="s">
        <v>26</v>
      </c>
      <c r="L260" s="6"/>
      <c r="M260" s="10">
        <v>6.3600000000000004E-2</v>
      </c>
      <c r="N260" s="6" t="s">
        <v>1328</v>
      </c>
      <c r="O260" s="11">
        <v>40000</v>
      </c>
      <c r="P260" s="11">
        <f t="shared" ref="P260:P323" si="10">O260-N260</f>
        <v>37433.47</v>
      </c>
      <c r="Q260" s="18">
        <v>5000</v>
      </c>
      <c r="R260" s="19"/>
    </row>
    <row r="261" spans="1:19" ht="43.2" hidden="1" x14ac:dyDescent="0.3">
      <c r="A261" s="6" t="s">
        <v>1329</v>
      </c>
      <c r="B261" s="7" t="s">
        <v>983</v>
      </c>
      <c r="C261" s="17" t="s">
        <v>1330</v>
      </c>
      <c r="D261" s="17"/>
      <c r="E261" s="8">
        <v>17896</v>
      </c>
      <c r="F261" s="9">
        <v>74</v>
      </c>
      <c r="G261" s="6" t="s">
        <v>1331</v>
      </c>
      <c r="H261" s="7" t="s">
        <v>39</v>
      </c>
      <c r="I261" s="6" t="s">
        <v>122</v>
      </c>
      <c r="J261" s="7" t="s">
        <v>20</v>
      </c>
      <c r="K261" s="7" t="s">
        <v>26</v>
      </c>
      <c r="L261" s="6"/>
      <c r="M261" s="10">
        <v>5.67E-2</v>
      </c>
      <c r="N261" s="6" t="s">
        <v>1332</v>
      </c>
      <c r="O261" s="11">
        <v>16000</v>
      </c>
      <c r="P261" s="11">
        <f t="shared" si="10"/>
        <v>15217.61</v>
      </c>
      <c r="Q261" s="18">
        <v>2000</v>
      </c>
      <c r="R261" s="19"/>
    </row>
    <row r="262" spans="1:19" hidden="1" x14ac:dyDescent="0.3">
      <c r="A262" s="6" t="s">
        <v>1333</v>
      </c>
      <c r="B262" s="7" t="s">
        <v>1240</v>
      </c>
      <c r="C262" s="17" t="s">
        <v>1334</v>
      </c>
      <c r="D262" s="17"/>
      <c r="E262" s="7" t="s">
        <v>1335</v>
      </c>
      <c r="F262" s="9">
        <v>75</v>
      </c>
      <c r="G262" s="6" t="s">
        <v>1336</v>
      </c>
      <c r="H262" s="7" t="s">
        <v>25</v>
      </c>
      <c r="I262" s="6" t="s">
        <v>19</v>
      </c>
      <c r="J262" s="7" t="s">
        <v>20</v>
      </c>
      <c r="K262" s="7" t="s">
        <v>26</v>
      </c>
      <c r="L262" s="6"/>
      <c r="M262" s="10">
        <v>5.8200000000000002E-2</v>
      </c>
      <c r="N262" s="6" t="s">
        <v>1337</v>
      </c>
      <c r="O262" s="6" t="s">
        <v>19</v>
      </c>
      <c r="P262" s="11" t="e">
        <f t="shared" si="10"/>
        <v>#VALUE!</v>
      </c>
      <c r="Q262" s="19" t="s">
        <v>19</v>
      </c>
      <c r="R262" s="19"/>
    </row>
    <row r="263" spans="1:19" x14ac:dyDescent="0.3">
      <c r="A263" s="6" t="s">
        <v>1338</v>
      </c>
      <c r="B263" s="7" t="s">
        <v>1339</v>
      </c>
      <c r="C263" s="17" t="s">
        <v>1340</v>
      </c>
      <c r="D263" s="17"/>
      <c r="E263" s="8">
        <v>15775</v>
      </c>
      <c r="F263" s="9">
        <v>79</v>
      </c>
      <c r="G263" s="6" t="s">
        <v>1341</v>
      </c>
      <c r="H263" s="7" t="s">
        <v>25</v>
      </c>
      <c r="I263" s="6"/>
      <c r="J263" s="7" t="s">
        <v>41</v>
      </c>
      <c r="K263" s="7" t="s">
        <v>32</v>
      </c>
      <c r="L263" s="9">
        <v>75</v>
      </c>
      <c r="M263" s="10">
        <v>5.8200000000000002E-2</v>
      </c>
      <c r="N263" s="6" t="s">
        <v>1342</v>
      </c>
      <c r="O263" s="11">
        <v>23950.94</v>
      </c>
      <c r="P263" s="11">
        <f t="shared" si="10"/>
        <v>21955.03</v>
      </c>
      <c r="Q263" s="18">
        <v>23950.94</v>
      </c>
      <c r="R263" s="19"/>
      <c r="S263" s="2" t="str">
        <f>IF(P271&lt;O271,"CATCHUP","NONE")</f>
        <v>CATCHUP</v>
      </c>
    </row>
    <row r="264" spans="1:19" hidden="1" x14ac:dyDescent="0.3">
      <c r="A264" s="6" t="s">
        <v>1343</v>
      </c>
      <c r="B264" s="7" t="s">
        <v>173</v>
      </c>
      <c r="C264" s="17" t="s">
        <v>1344</v>
      </c>
      <c r="D264" s="17"/>
      <c r="E264" s="8">
        <v>18021</v>
      </c>
      <c r="F264" s="9">
        <v>73</v>
      </c>
      <c r="G264" s="6" t="s">
        <v>1345</v>
      </c>
      <c r="H264" s="7" t="s">
        <v>25</v>
      </c>
      <c r="I264" s="6"/>
      <c r="J264" s="7" t="s">
        <v>20</v>
      </c>
      <c r="K264" s="7" t="s">
        <v>26</v>
      </c>
      <c r="L264" s="6"/>
      <c r="M264" s="10">
        <v>5.5300000000000002E-2</v>
      </c>
      <c r="N264" s="6" t="s">
        <v>1346</v>
      </c>
      <c r="O264" s="11">
        <v>69475.039999999994</v>
      </c>
      <c r="P264" s="11">
        <f t="shared" si="10"/>
        <v>60790.659999999996</v>
      </c>
      <c r="Q264" s="18">
        <v>8684.3799999999992</v>
      </c>
      <c r="R264" s="19"/>
    </row>
    <row r="265" spans="1:19" ht="43.2" hidden="1" x14ac:dyDescent="0.3">
      <c r="A265" s="6" t="s">
        <v>1347</v>
      </c>
      <c r="B265" s="7" t="s">
        <v>190</v>
      </c>
      <c r="C265" s="17" t="s">
        <v>1348</v>
      </c>
      <c r="D265" s="17"/>
      <c r="E265" s="8">
        <v>17362</v>
      </c>
      <c r="F265" s="9">
        <v>75</v>
      </c>
      <c r="G265" s="6" t="s">
        <v>1349</v>
      </c>
      <c r="H265" s="7" t="s">
        <v>39</v>
      </c>
      <c r="I265" s="6" t="s">
        <v>1350</v>
      </c>
      <c r="J265" s="7" t="s">
        <v>20</v>
      </c>
      <c r="K265" s="7" t="s">
        <v>26</v>
      </c>
      <c r="L265" s="6"/>
      <c r="M265" s="10">
        <v>5.8200000000000002E-2</v>
      </c>
      <c r="N265" s="6" t="s">
        <v>1351</v>
      </c>
      <c r="O265" s="11">
        <v>44000</v>
      </c>
      <c r="P265" s="11">
        <f t="shared" si="10"/>
        <v>41024.22</v>
      </c>
      <c r="Q265" s="18">
        <v>5500</v>
      </c>
      <c r="R265" s="19"/>
    </row>
    <row r="266" spans="1:19" x14ac:dyDescent="0.3">
      <c r="A266" s="6" t="s">
        <v>1352</v>
      </c>
      <c r="B266" s="7" t="s">
        <v>634</v>
      </c>
      <c r="C266" s="17" t="s">
        <v>1353</v>
      </c>
      <c r="D266" s="17"/>
      <c r="E266" s="8">
        <v>16284</v>
      </c>
      <c r="F266" s="9">
        <v>78</v>
      </c>
      <c r="G266" s="6" t="s">
        <v>1354</v>
      </c>
      <c r="H266" s="7" t="s">
        <v>25</v>
      </c>
      <c r="I266" s="6"/>
      <c r="J266" s="7" t="s">
        <v>41</v>
      </c>
      <c r="K266" s="7" t="s">
        <v>26</v>
      </c>
      <c r="L266" s="9">
        <v>70</v>
      </c>
      <c r="M266" s="10">
        <v>0.05</v>
      </c>
      <c r="N266" s="6" t="s">
        <v>1355</v>
      </c>
      <c r="O266" s="11">
        <v>23956.639999999999</v>
      </c>
      <c r="P266" s="11">
        <f t="shared" si="10"/>
        <v>20962.059999999998</v>
      </c>
      <c r="Q266" s="18">
        <v>2994.58</v>
      </c>
      <c r="R266" s="19"/>
      <c r="S266" s="2" t="str">
        <f>IF(P274&lt;O274,"CATCHUP","NONE")</f>
        <v>CATCHUP</v>
      </c>
    </row>
    <row r="267" spans="1:19" hidden="1" x14ac:dyDescent="0.3">
      <c r="A267" s="6" t="s">
        <v>1356</v>
      </c>
      <c r="B267" s="7" t="s">
        <v>456</v>
      </c>
      <c r="C267" s="17" t="s">
        <v>1357</v>
      </c>
      <c r="D267" s="17"/>
      <c r="E267" s="8">
        <v>17112</v>
      </c>
      <c r="F267" s="9">
        <v>76</v>
      </c>
      <c r="G267" s="6" t="s">
        <v>1358</v>
      </c>
      <c r="H267" s="7" t="s">
        <v>25</v>
      </c>
      <c r="I267" s="6"/>
      <c r="J267" s="7" t="s">
        <v>20</v>
      </c>
      <c r="K267" s="7" t="s">
        <v>26</v>
      </c>
      <c r="L267" s="6"/>
      <c r="M267" s="10">
        <v>5.9799999999999999E-2</v>
      </c>
      <c r="N267" s="6" t="s">
        <v>1359</v>
      </c>
      <c r="O267" s="11">
        <v>26000</v>
      </c>
      <c r="P267" s="11">
        <f t="shared" si="10"/>
        <v>24051.74</v>
      </c>
      <c r="Q267" s="18">
        <v>26000</v>
      </c>
      <c r="R267" s="19"/>
    </row>
    <row r="268" spans="1:19" ht="43.2" hidden="1" x14ac:dyDescent="0.3">
      <c r="A268" s="6" t="s">
        <v>1360</v>
      </c>
      <c r="B268" s="7" t="s">
        <v>1361</v>
      </c>
      <c r="C268" s="17" t="s">
        <v>1362</v>
      </c>
      <c r="D268" s="17"/>
      <c r="E268" s="8">
        <v>17012</v>
      </c>
      <c r="F268" s="9">
        <v>76</v>
      </c>
      <c r="G268" s="6" t="s">
        <v>1363</v>
      </c>
      <c r="H268" s="7" t="s">
        <v>39</v>
      </c>
      <c r="I268" s="6" t="s">
        <v>1364</v>
      </c>
      <c r="J268" s="7" t="s">
        <v>20</v>
      </c>
      <c r="K268" s="7" t="s">
        <v>26</v>
      </c>
      <c r="L268" s="6"/>
      <c r="M268" s="10">
        <v>5.9799999999999999E-2</v>
      </c>
      <c r="N268" s="6" t="s">
        <v>1365</v>
      </c>
      <c r="O268" s="11">
        <v>20320</v>
      </c>
      <c r="P268" s="11">
        <f t="shared" si="10"/>
        <v>19216.810000000001</v>
      </c>
      <c r="Q268" s="18">
        <v>2540</v>
      </c>
      <c r="R268" s="19"/>
    </row>
    <row r="269" spans="1:19" hidden="1" x14ac:dyDescent="0.3">
      <c r="A269" s="6" t="s">
        <v>1366</v>
      </c>
      <c r="B269" s="7" t="s">
        <v>1367</v>
      </c>
      <c r="C269" s="17" t="s">
        <v>1368</v>
      </c>
      <c r="D269" s="17"/>
      <c r="E269" s="7" t="s">
        <v>1369</v>
      </c>
      <c r="F269" s="9">
        <v>80</v>
      </c>
      <c r="G269" s="6" t="s">
        <v>1370</v>
      </c>
      <c r="H269" s="7" t="s">
        <v>25</v>
      </c>
      <c r="I269" s="6" t="s">
        <v>19</v>
      </c>
      <c r="J269" s="7" t="s">
        <v>20</v>
      </c>
      <c r="K269" s="7" t="s">
        <v>32</v>
      </c>
      <c r="L269" s="6"/>
      <c r="M269" s="10">
        <v>6.8199999999999997E-2</v>
      </c>
      <c r="N269" s="6" t="s">
        <v>1371</v>
      </c>
      <c r="O269" s="6" t="s">
        <v>19</v>
      </c>
      <c r="P269" s="11" t="e">
        <f t="shared" si="10"/>
        <v>#VALUE!</v>
      </c>
      <c r="Q269" s="19" t="s">
        <v>19</v>
      </c>
      <c r="R269" s="19"/>
    </row>
    <row r="270" spans="1:19" ht="43.2" x14ac:dyDescent="0.3">
      <c r="A270" s="6" t="s">
        <v>1372</v>
      </c>
      <c r="B270" s="7" t="s">
        <v>830</v>
      </c>
      <c r="C270" s="17" t="s">
        <v>1368</v>
      </c>
      <c r="D270" s="17"/>
      <c r="E270" s="8">
        <v>18052</v>
      </c>
      <c r="F270" s="9">
        <v>73</v>
      </c>
      <c r="G270" s="6" t="s">
        <v>1373</v>
      </c>
      <c r="H270" s="7" t="s">
        <v>39</v>
      </c>
      <c r="I270" s="6" t="s">
        <v>1374</v>
      </c>
      <c r="J270" s="7" t="s">
        <v>41</v>
      </c>
      <c r="K270" s="7" t="s">
        <v>26</v>
      </c>
      <c r="L270" s="9">
        <v>72</v>
      </c>
      <c r="M270" s="10">
        <v>5.3999999999999999E-2</v>
      </c>
      <c r="N270" s="6" t="s">
        <v>1375</v>
      </c>
      <c r="O270" s="11">
        <v>12400</v>
      </c>
      <c r="P270" s="11">
        <f t="shared" si="10"/>
        <v>10784.31</v>
      </c>
      <c r="Q270" s="18">
        <v>1550</v>
      </c>
      <c r="R270" s="19"/>
      <c r="S270" s="2" t="e">
        <f>IF(P278&lt;O278,"CATCHUP","NONE")</f>
        <v>#VALUE!</v>
      </c>
    </row>
    <row r="271" spans="1:19" ht="43.2" hidden="1" x14ac:dyDescent="0.3">
      <c r="A271" s="6" t="s">
        <v>1376</v>
      </c>
      <c r="B271" s="7" t="s">
        <v>1134</v>
      </c>
      <c r="C271" s="17" t="s">
        <v>1368</v>
      </c>
      <c r="D271" s="17"/>
      <c r="E271" s="8">
        <v>18542</v>
      </c>
      <c r="F271" s="9">
        <v>72</v>
      </c>
      <c r="G271" s="6" t="s">
        <v>1377</v>
      </c>
      <c r="H271" s="7" t="s">
        <v>39</v>
      </c>
      <c r="I271" s="6" t="s">
        <v>1378</v>
      </c>
      <c r="J271" s="7" t="s">
        <v>20</v>
      </c>
      <c r="K271" s="7" t="s">
        <v>26</v>
      </c>
      <c r="L271" s="6"/>
      <c r="M271" s="10">
        <v>5.3999999999999999E-2</v>
      </c>
      <c r="N271" s="6" t="s">
        <v>1379</v>
      </c>
      <c r="O271" s="11">
        <v>38800</v>
      </c>
      <c r="P271" s="11">
        <f t="shared" si="10"/>
        <v>33944.5</v>
      </c>
      <c r="Q271" s="18">
        <v>4850</v>
      </c>
      <c r="R271" s="19"/>
    </row>
    <row r="272" spans="1:19" hidden="1" x14ac:dyDescent="0.3">
      <c r="A272" s="6" t="s">
        <v>1380</v>
      </c>
      <c r="B272" s="7" t="s">
        <v>783</v>
      </c>
      <c r="C272" s="17" t="s">
        <v>1381</v>
      </c>
      <c r="D272" s="17"/>
      <c r="E272" s="7" t="s">
        <v>1382</v>
      </c>
      <c r="F272" s="9">
        <v>75</v>
      </c>
      <c r="G272" s="6" t="s">
        <v>1383</v>
      </c>
      <c r="H272" s="7" t="s">
        <v>25</v>
      </c>
      <c r="I272" s="6" t="s">
        <v>19</v>
      </c>
      <c r="J272" s="7" t="s">
        <v>20</v>
      </c>
      <c r="K272" s="7" t="s">
        <v>26</v>
      </c>
      <c r="L272" s="6"/>
      <c r="M272" s="10">
        <v>5.8200000000000002E-2</v>
      </c>
      <c r="N272" s="6" t="s">
        <v>1384</v>
      </c>
      <c r="O272" s="6" t="s">
        <v>19</v>
      </c>
      <c r="P272" s="11" t="e">
        <f t="shared" si="10"/>
        <v>#VALUE!</v>
      </c>
      <c r="Q272" s="19" t="s">
        <v>19</v>
      </c>
      <c r="R272" s="19"/>
    </row>
    <row r="273" spans="1:19" ht="43.2" x14ac:dyDescent="0.3">
      <c r="A273" s="6" t="s">
        <v>1385</v>
      </c>
      <c r="B273" s="7" t="s">
        <v>1386</v>
      </c>
      <c r="C273" s="17" t="s">
        <v>1387</v>
      </c>
      <c r="D273" s="17"/>
      <c r="E273" s="8">
        <v>16050</v>
      </c>
      <c r="F273" s="9">
        <v>79</v>
      </c>
      <c r="G273" s="6" t="s">
        <v>1388</v>
      </c>
      <c r="H273" s="7" t="s">
        <v>39</v>
      </c>
      <c r="I273" s="6" t="s">
        <v>1389</v>
      </c>
      <c r="J273" s="7" t="s">
        <v>41</v>
      </c>
      <c r="K273" s="7" t="s">
        <v>32</v>
      </c>
      <c r="L273" s="9">
        <v>68</v>
      </c>
      <c r="M273" s="10">
        <v>4.5499999999999999E-2</v>
      </c>
      <c r="N273" s="6" t="s">
        <v>1390</v>
      </c>
      <c r="O273" s="11">
        <v>26200</v>
      </c>
      <c r="P273" s="11">
        <f t="shared" si="10"/>
        <v>23706.02</v>
      </c>
      <c r="Q273" s="18">
        <v>26200</v>
      </c>
      <c r="R273" s="19"/>
      <c r="S273" s="2" t="str">
        <f>IF(P281&lt;O281,"CATCHUP","NONE")</f>
        <v>CATCHUP</v>
      </c>
    </row>
    <row r="274" spans="1:19" hidden="1" x14ac:dyDescent="0.3">
      <c r="A274" s="6" t="s">
        <v>1391</v>
      </c>
      <c r="B274" s="7" t="s">
        <v>983</v>
      </c>
      <c r="C274" s="17" t="s">
        <v>1392</v>
      </c>
      <c r="D274" s="17"/>
      <c r="E274" s="8">
        <v>17654</v>
      </c>
      <c r="F274" s="9">
        <v>74</v>
      </c>
      <c r="G274" s="6" t="s">
        <v>1393</v>
      </c>
      <c r="H274" s="7" t="s">
        <v>25</v>
      </c>
      <c r="I274" s="6"/>
      <c r="J274" s="7" t="s">
        <v>20</v>
      </c>
      <c r="K274" s="7" t="s">
        <v>26</v>
      </c>
      <c r="L274" s="6"/>
      <c r="M274" s="10">
        <v>5.67E-2</v>
      </c>
      <c r="N274" s="6" t="s">
        <v>1394</v>
      </c>
      <c r="O274" s="11">
        <v>5640.96</v>
      </c>
      <c r="P274" s="11">
        <f t="shared" si="10"/>
        <v>4935.84</v>
      </c>
      <c r="Q274" s="18">
        <v>705.12</v>
      </c>
      <c r="R274" s="19"/>
    </row>
    <row r="275" spans="1:19" ht="43.2" hidden="1" x14ac:dyDescent="0.3">
      <c r="A275" s="6" t="s">
        <v>1395</v>
      </c>
      <c r="B275" s="7" t="s">
        <v>330</v>
      </c>
      <c r="C275" s="17" t="s">
        <v>1396</v>
      </c>
      <c r="D275" s="17"/>
      <c r="E275" s="8">
        <v>18037</v>
      </c>
      <c r="F275" s="9">
        <v>73</v>
      </c>
      <c r="G275" s="6" t="s">
        <v>1397</v>
      </c>
      <c r="H275" s="7" t="s">
        <v>39</v>
      </c>
      <c r="I275" s="6" t="s">
        <v>1398</v>
      </c>
      <c r="J275" s="7" t="s">
        <v>20</v>
      </c>
      <c r="K275" s="7" t="s">
        <v>32</v>
      </c>
      <c r="L275" s="6"/>
      <c r="M275" s="10">
        <v>5.5300000000000002E-2</v>
      </c>
      <c r="N275" s="6" t="s">
        <v>1399</v>
      </c>
      <c r="O275" s="11">
        <v>11000</v>
      </c>
      <c r="P275" s="11">
        <f t="shared" si="10"/>
        <v>10273.049999999999</v>
      </c>
      <c r="Q275" s="18">
        <v>11000</v>
      </c>
      <c r="R275" s="19"/>
    </row>
    <row r="276" spans="1:19" x14ac:dyDescent="0.3">
      <c r="A276" s="6" t="s">
        <v>1400</v>
      </c>
      <c r="B276" s="7" t="s">
        <v>1401</v>
      </c>
      <c r="C276" s="17" t="s">
        <v>1402</v>
      </c>
      <c r="D276" s="17"/>
      <c r="E276" s="8">
        <v>15992</v>
      </c>
      <c r="F276" s="9">
        <v>79</v>
      </c>
      <c r="G276" s="6" t="s">
        <v>1403</v>
      </c>
      <c r="H276" s="7" t="s">
        <v>25</v>
      </c>
      <c r="I276" s="6"/>
      <c r="J276" s="7" t="s">
        <v>41</v>
      </c>
      <c r="K276" s="7" t="s">
        <v>26</v>
      </c>
      <c r="L276" s="9">
        <v>72</v>
      </c>
      <c r="M276" s="10">
        <v>5.3999999999999999E-2</v>
      </c>
      <c r="N276" s="6" t="s">
        <v>1404</v>
      </c>
      <c r="O276" s="11">
        <v>10822.16</v>
      </c>
      <c r="P276" s="11">
        <f t="shared" si="10"/>
        <v>9469.39</v>
      </c>
      <c r="Q276" s="18">
        <v>1352.77</v>
      </c>
      <c r="R276" s="19"/>
      <c r="S276" s="2" t="str">
        <f>IF(P284&lt;O284,"CATCHUP","NONE")</f>
        <v>CATCHUP</v>
      </c>
    </row>
    <row r="277" spans="1:19" hidden="1" x14ac:dyDescent="0.3">
      <c r="A277" s="6" t="s">
        <v>1405</v>
      </c>
      <c r="B277" s="7" t="s">
        <v>373</v>
      </c>
      <c r="C277" s="17" t="s">
        <v>1406</v>
      </c>
      <c r="D277" s="17"/>
      <c r="E277" s="7" t="s">
        <v>1407</v>
      </c>
      <c r="F277" s="9">
        <v>75</v>
      </c>
      <c r="G277" s="6" t="s">
        <v>1408</v>
      </c>
      <c r="H277" s="7" t="s">
        <v>25</v>
      </c>
      <c r="I277" s="6" t="s">
        <v>19</v>
      </c>
      <c r="J277" s="7" t="s">
        <v>20</v>
      </c>
      <c r="K277" s="7" t="s">
        <v>26</v>
      </c>
      <c r="L277" s="6"/>
      <c r="M277" s="10">
        <v>5.8200000000000002E-2</v>
      </c>
      <c r="N277" s="6" t="s">
        <v>1409</v>
      </c>
      <c r="O277" s="6" t="s">
        <v>19</v>
      </c>
      <c r="P277" s="11" t="e">
        <f t="shared" si="10"/>
        <v>#VALUE!</v>
      </c>
      <c r="Q277" s="19" t="s">
        <v>19</v>
      </c>
      <c r="R277" s="19"/>
    </row>
    <row r="278" spans="1:19" ht="43.2" hidden="1" x14ac:dyDescent="0.3">
      <c r="A278" s="6" t="s">
        <v>1410</v>
      </c>
      <c r="B278" s="7" t="s">
        <v>1411</v>
      </c>
      <c r="C278" s="17" t="s">
        <v>1412</v>
      </c>
      <c r="D278" s="17"/>
      <c r="E278" s="7" t="s">
        <v>1413</v>
      </c>
      <c r="F278" s="9">
        <v>74</v>
      </c>
      <c r="G278" s="6" t="s">
        <v>1414</v>
      </c>
      <c r="H278" s="7" t="s">
        <v>39</v>
      </c>
      <c r="I278" s="6" t="s">
        <v>89</v>
      </c>
      <c r="J278" s="7" t="s">
        <v>20</v>
      </c>
      <c r="K278" s="7" t="s">
        <v>26</v>
      </c>
      <c r="L278" s="6"/>
      <c r="M278" s="10">
        <v>5.67E-2</v>
      </c>
      <c r="N278" s="6" t="s">
        <v>1415</v>
      </c>
      <c r="O278" s="6" t="s">
        <v>19</v>
      </c>
      <c r="P278" s="11" t="e">
        <f t="shared" si="10"/>
        <v>#VALUE!</v>
      </c>
      <c r="Q278" s="19" t="s">
        <v>19</v>
      </c>
      <c r="R278" s="19"/>
    </row>
    <row r="279" spans="1:19" ht="43.2" hidden="1" x14ac:dyDescent="0.3">
      <c r="A279" s="6" t="s">
        <v>1416</v>
      </c>
      <c r="B279" s="7" t="s">
        <v>424</v>
      </c>
      <c r="C279" s="17" t="s">
        <v>1417</v>
      </c>
      <c r="D279" s="17"/>
      <c r="E279" s="7" t="s">
        <v>472</v>
      </c>
      <c r="F279" s="9">
        <v>76</v>
      </c>
      <c r="G279" s="6" t="s">
        <v>1418</v>
      </c>
      <c r="H279" s="7" t="s">
        <v>39</v>
      </c>
      <c r="I279" s="6" t="s">
        <v>1350</v>
      </c>
      <c r="J279" s="7" t="s">
        <v>20</v>
      </c>
      <c r="K279" s="7" t="s">
        <v>32</v>
      </c>
      <c r="L279" s="6"/>
      <c r="M279" s="10">
        <v>5.9799999999999999E-2</v>
      </c>
      <c r="N279" s="6" t="s">
        <v>1419</v>
      </c>
      <c r="O279" s="6" t="s">
        <v>19</v>
      </c>
      <c r="P279" s="11" t="e">
        <f t="shared" si="10"/>
        <v>#VALUE!</v>
      </c>
      <c r="Q279" s="19" t="s">
        <v>19</v>
      </c>
      <c r="R279" s="19"/>
    </row>
    <row r="280" spans="1:19" x14ac:dyDescent="0.3">
      <c r="A280" s="6" t="s">
        <v>1420</v>
      </c>
      <c r="B280" s="7" t="s">
        <v>531</v>
      </c>
      <c r="C280" s="17" t="s">
        <v>1421</v>
      </c>
      <c r="D280" s="17"/>
      <c r="E280" s="8">
        <v>18045</v>
      </c>
      <c r="F280" s="9">
        <v>73</v>
      </c>
      <c r="G280" s="6" t="s">
        <v>1422</v>
      </c>
      <c r="H280" s="7" t="s">
        <v>25</v>
      </c>
      <c r="I280" s="6"/>
      <c r="J280" s="7" t="s">
        <v>41</v>
      </c>
      <c r="K280" s="7" t="s">
        <v>26</v>
      </c>
      <c r="L280" s="9">
        <v>66</v>
      </c>
      <c r="M280" s="10">
        <v>4.1700000000000001E-2</v>
      </c>
      <c r="N280" s="6" t="s">
        <v>1423</v>
      </c>
      <c r="O280" s="11">
        <v>36572.32</v>
      </c>
      <c r="P280" s="11">
        <f t="shared" si="10"/>
        <v>32000.78</v>
      </c>
      <c r="Q280" s="18">
        <v>6.46</v>
      </c>
      <c r="R280" s="19"/>
      <c r="S280" s="2" t="str">
        <f>IF(P288&lt;O288,"CATCHUP","NONE")</f>
        <v>CATCHUP</v>
      </c>
    </row>
    <row r="281" spans="1:19" ht="43.2" hidden="1" x14ac:dyDescent="0.3">
      <c r="A281" s="6" t="s">
        <v>1424</v>
      </c>
      <c r="B281" s="7" t="s">
        <v>224</v>
      </c>
      <c r="C281" s="17" t="s">
        <v>1425</v>
      </c>
      <c r="D281" s="17"/>
      <c r="E281" s="8">
        <v>18213</v>
      </c>
      <c r="F281" s="9">
        <v>73</v>
      </c>
      <c r="G281" s="6" t="s">
        <v>1426</v>
      </c>
      <c r="H281" s="7" t="s">
        <v>39</v>
      </c>
      <c r="I281" s="6" t="s">
        <v>40</v>
      </c>
      <c r="J281" s="7" t="s">
        <v>20</v>
      </c>
      <c r="K281" s="7" t="s">
        <v>26</v>
      </c>
      <c r="L281" s="6"/>
      <c r="M281" s="10">
        <v>5.5300000000000002E-2</v>
      </c>
      <c r="N281" s="6" t="s">
        <v>1427</v>
      </c>
      <c r="O281" s="11">
        <v>25034</v>
      </c>
      <c r="P281" s="11">
        <f t="shared" si="10"/>
        <v>22220.67</v>
      </c>
      <c r="Q281" s="18">
        <v>3000</v>
      </c>
      <c r="R281" s="19"/>
    </row>
    <row r="282" spans="1:19" hidden="1" x14ac:dyDescent="0.3">
      <c r="A282" s="6" t="s">
        <v>1428</v>
      </c>
      <c r="B282" s="7" t="s">
        <v>1429</v>
      </c>
      <c r="C282" s="17" t="s">
        <v>1430</v>
      </c>
      <c r="D282" s="17"/>
      <c r="E282" s="7" t="s">
        <v>784</v>
      </c>
      <c r="F282" s="9">
        <v>75</v>
      </c>
      <c r="G282" s="6" t="s">
        <v>1431</v>
      </c>
      <c r="H282" s="7" t="s">
        <v>25</v>
      </c>
      <c r="I282" s="6" t="s">
        <v>19</v>
      </c>
      <c r="J282" s="7" t="s">
        <v>20</v>
      </c>
      <c r="K282" s="7" t="s">
        <v>32</v>
      </c>
      <c r="L282" s="6"/>
      <c r="M282" s="10">
        <v>5.8200000000000002E-2</v>
      </c>
      <c r="N282" s="6" t="s">
        <v>1432</v>
      </c>
      <c r="O282" s="6" t="s">
        <v>19</v>
      </c>
      <c r="P282" s="11" t="e">
        <f t="shared" si="10"/>
        <v>#VALUE!</v>
      </c>
      <c r="Q282" s="19" t="s">
        <v>19</v>
      </c>
      <c r="R282" s="19"/>
    </row>
    <row r="283" spans="1:19" hidden="1" x14ac:dyDescent="0.3">
      <c r="A283" s="6" t="s">
        <v>1433</v>
      </c>
      <c r="B283" s="7" t="s">
        <v>1434</v>
      </c>
      <c r="C283" s="17" t="s">
        <v>1435</v>
      </c>
      <c r="D283" s="17"/>
      <c r="E283" s="8">
        <v>18513</v>
      </c>
      <c r="F283" s="9">
        <v>72</v>
      </c>
      <c r="G283" s="6" t="s">
        <v>1436</v>
      </c>
      <c r="H283" s="7" t="s">
        <v>25</v>
      </c>
      <c r="I283" s="6"/>
      <c r="J283" s="7" t="s">
        <v>20</v>
      </c>
      <c r="K283" s="7" t="s">
        <v>26</v>
      </c>
      <c r="L283" s="6"/>
      <c r="M283" s="10">
        <v>5.3999999999999999E-2</v>
      </c>
      <c r="N283" s="6" t="s">
        <v>1437</v>
      </c>
      <c r="O283" s="11">
        <v>2025.04</v>
      </c>
      <c r="P283" s="11">
        <f t="shared" si="10"/>
        <v>1771.9099999999999</v>
      </c>
      <c r="Q283" s="18">
        <v>253.13</v>
      </c>
      <c r="R283" s="19"/>
    </row>
    <row r="284" spans="1:19" ht="43.2" x14ac:dyDescent="0.3">
      <c r="A284" s="6" t="s">
        <v>1438</v>
      </c>
      <c r="B284" s="7" t="s">
        <v>179</v>
      </c>
      <c r="C284" s="17" t="s">
        <v>1439</v>
      </c>
      <c r="D284" s="17"/>
      <c r="E284" s="8">
        <v>18255</v>
      </c>
      <c r="F284" s="9">
        <v>73</v>
      </c>
      <c r="G284" s="6" t="s">
        <v>1440</v>
      </c>
      <c r="H284" s="7" t="s">
        <v>39</v>
      </c>
      <c r="I284" s="6" t="s">
        <v>144</v>
      </c>
      <c r="J284" s="7" t="s">
        <v>41</v>
      </c>
      <c r="K284" s="7" t="s">
        <v>26</v>
      </c>
      <c r="L284" s="9">
        <v>70</v>
      </c>
      <c r="M284" s="10">
        <v>0.05</v>
      </c>
      <c r="N284" s="6" t="s">
        <v>1441</v>
      </c>
      <c r="O284" s="11">
        <v>40000</v>
      </c>
      <c r="P284" s="11">
        <f t="shared" si="10"/>
        <v>34683.64</v>
      </c>
      <c r="Q284" s="18">
        <v>311.07</v>
      </c>
      <c r="R284" s="19"/>
      <c r="S284" s="2" t="str">
        <f t="shared" ref="S284:S285" si="11">IF(P292&lt;O292,"CATCHUP","NONE")</f>
        <v>CATCHUP</v>
      </c>
    </row>
    <row r="285" spans="1:19" ht="43.2" x14ac:dyDescent="0.3">
      <c r="A285" s="6" t="s">
        <v>1442</v>
      </c>
      <c r="B285" s="7" t="s">
        <v>1443</v>
      </c>
      <c r="C285" s="17" t="s">
        <v>190</v>
      </c>
      <c r="D285" s="17"/>
      <c r="E285" s="8">
        <v>18283</v>
      </c>
      <c r="F285" s="9">
        <v>72</v>
      </c>
      <c r="G285" s="6" t="s">
        <v>1444</v>
      </c>
      <c r="H285" s="7" t="s">
        <v>39</v>
      </c>
      <c r="I285" s="6" t="s">
        <v>1445</v>
      </c>
      <c r="J285" s="7" t="s">
        <v>41</v>
      </c>
      <c r="K285" s="7" t="s">
        <v>32</v>
      </c>
      <c r="L285" s="9">
        <v>64</v>
      </c>
      <c r="M285" s="10">
        <v>3.85E-2</v>
      </c>
      <c r="N285" s="6" t="s">
        <v>1446</v>
      </c>
      <c r="O285" s="11">
        <v>39423.35</v>
      </c>
      <c r="P285" s="11">
        <f t="shared" si="10"/>
        <v>36089.65</v>
      </c>
      <c r="Q285" s="18">
        <v>39423.35</v>
      </c>
      <c r="R285" s="19"/>
      <c r="S285" s="2" t="str">
        <f t="shared" si="11"/>
        <v>CATCHUP</v>
      </c>
    </row>
    <row r="286" spans="1:19" ht="43.2" hidden="1" x14ac:dyDescent="0.3">
      <c r="A286" s="6" t="s">
        <v>1447</v>
      </c>
      <c r="B286" s="7" t="s">
        <v>1448</v>
      </c>
      <c r="C286" s="17" t="s">
        <v>1449</v>
      </c>
      <c r="D286" s="17"/>
      <c r="E286" s="8">
        <v>18010</v>
      </c>
      <c r="F286" s="9">
        <v>73</v>
      </c>
      <c r="G286" s="6" t="s">
        <v>1450</v>
      </c>
      <c r="H286" s="7" t="s">
        <v>39</v>
      </c>
      <c r="I286" s="6" t="s">
        <v>745</v>
      </c>
      <c r="J286" s="7" t="s">
        <v>20</v>
      </c>
      <c r="K286" s="7" t="s">
        <v>26</v>
      </c>
      <c r="L286" s="6"/>
      <c r="M286" s="10">
        <v>5.5300000000000002E-2</v>
      </c>
      <c r="N286" s="6" t="s">
        <v>1451</v>
      </c>
      <c r="O286" s="11">
        <v>11200</v>
      </c>
      <c r="P286" s="11">
        <f t="shared" si="10"/>
        <v>9621.92</v>
      </c>
      <c r="Q286" s="18">
        <v>313.37</v>
      </c>
      <c r="R286" s="19"/>
    </row>
    <row r="287" spans="1:19" ht="43.2" hidden="1" x14ac:dyDescent="0.3">
      <c r="A287" s="6" t="s">
        <v>1452</v>
      </c>
      <c r="B287" s="7" t="s">
        <v>1453</v>
      </c>
      <c r="C287" s="17" t="s">
        <v>1454</v>
      </c>
      <c r="D287" s="17"/>
      <c r="E287" s="7" t="s">
        <v>1455</v>
      </c>
      <c r="F287" s="9">
        <v>85</v>
      </c>
      <c r="G287" s="6" t="s">
        <v>1456</v>
      </c>
      <c r="H287" s="7" t="s">
        <v>39</v>
      </c>
      <c r="I287" s="6" t="s">
        <v>40</v>
      </c>
      <c r="J287" s="7" t="s">
        <v>41</v>
      </c>
      <c r="K287" s="7" t="s">
        <v>32</v>
      </c>
      <c r="L287" s="9">
        <v>79</v>
      </c>
      <c r="M287" s="10">
        <v>6.5799999999999997E-2</v>
      </c>
      <c r="N287" s="6" t="s">
        <v>1457</v>
      </c>
      <c r="O287" s="6" t="s">
        <v>19</v>
      </c>
      <c r="P287" s="11" t="e">
        <f t="shared" si="10"/>
        <v>#VALUE!</v>
      </c>
      <c r="Q287" s="19" t="s">
        <v>19</v>
      </c>
      <c r="R287" s="19"/>
    </row>
    <row r="288" spans="1:19" ht="28.8" hidden="1" x14ac:dyDescent="0.3">
      <c r="A288" s="6" t="s">
        <v>1458</v>
      </c>
      <c r="B288" s="7" t="s">
        <v>1459</v>
      </c>
      <c r="C288" s="17" t="s">
        <v>1460</v>
      </c>
      <c r="D288" s="17"/>
      <c r="E288" s="8">
        <v>18505</v>
      </c>
      <c r="F288" s="9">
        <v>72</v>
      </c>
      <c r="G288" s="6" t="s">
        <v>1461</v>
      </c>
      <c r="H288" s="7" t="s">
        <v>39</v>
      </c>
      <c r="I288" s="6" t="s">
        <v>67</v>
      </c>
      <c r="J288" s="7" t="s">
        <v>20</v>
      </c>
      <c r="K288" s="7" t="s">
        <v>26</v>
      </c>
      <c r="L288" s="6"/>
      <c r="M288" s="10">
        <v>5.3999999999999999E-2</v>
      </c>
      <c r="N288" s="6" t="s">
        <v>1462</v>
      </c>
      <c r="O288" s="11">
        <v>6400</v>
      </c>
      <c r="P288" s="11">
        <f t="shared" si="10"/>
        <v>5416.45</v>
      </c>
      <c r="Q288" s="18">
        <v>800</v>
      </c>
      <c r="R288" s="19"/>
    </row>
    <row r="289" spans="1:19" ht="43.2" hidden="1" x14ac:dyDescent="0.3">
      <c r="A289" s="6" t="s">
        <v>1463</v>
      </c>
      <c r="B289" s="7" t="s">
        <v>1464</v>
      </c>
      <c r="C289" s="17" t="s">
        <v>1465</v>
      </c>
      <c r="D289" s="17"/>
      <c r="E289" s="8">
        <v>17276</v>
      </c>
      <c r="F289" s="9">
        <v>75</v>
      </c>
      <c r="G289" s="6" t="s">
        <v>1466</v>
      </c>
      <c r="H289" s="7" t="s">
        <v>39</v>
      </c>
      <c r="I289" s="6" t="s">
        <v>47</v>
      </c>
      <c r="J289" s="7" t="s">
        <v>20</v>
      </c>
      <c r="K289" s="7" t="s">
        <v>26</v>
      </c>
      <c r="L289" s="6"/>
      <c r="M289" s="10">
        <v>5.8200000000000002E-2</v>
      </c>
      <c r="N289" s="6" t="s">
        <v>1467</v>
      </c>
      <c r="O289" s="11">
        <v>8000</v>
      </c>
      <c r="P289" s="11">
        <f t="shared" si="10"/>
        <v>6983.76</v>
      </c>
      <c r="Q289" s="18">
        <v>1000</v>
      </c>
      <c r="R289" s="19"/>
    </row>
    <row r="290" spans="1:19" ht="28.8" hidden="1" x14ac:dyDescent="0.3">
      <c r="A290" s="6" t="s">
        <v>1468</v>
      </c>
      <c r="B290" s="7" t="s">
        <v>168</v>
      </c>
      <c r="C290" s="17" t="s">
        <v>1469</v>
      </c>
      <c r="D290" s="17"/>
      <c r="E290" s="8">
        <v>17196</v>
      </c>
      <c r="F290" s="9">
        <v>75</v>
      </c>
      <c r="G290" s="6" t="s">
        <v>1470</v>
      </c>
      <c r="H290" s="7" t="s">
        <v>39</v>
      </c>
      <c r="I290" s="6" t="s">
        <v>237</v>
      </c>
      <c r="J290" s="7" t="s">
        <v>20</v>
      </c>
      <c r="K290" s="7" t="s">
        <v>26</v>
      </c>
      <c r="L290" s="6"/>
      <c r="M290" s="10">
        <v>5.8200000000000002E-2</v>
      </c>
      <c r="N290" s="6" t="s">
        <v>1471</v>
      </c>
      <c r="O290" s="11">
        <v>7200</v>
      </c>
      <c r="P290" s="11">
        <f t="shared" si="10"/>
        <v>6934.93</v>
      </c>
      <c r="Q290" s="18">
        <v>900</v>
      </c>
      <c r="R290" s="19"/>
    </row>
    <row r="291" spans="1:19" x14ac:dyDescent="0.3">
      <c r="A291" s="6" t="s">
        <v>1472</v>
      </c>
      <c r="B291" s="7" t="s">
        <v>292</v>
      </c>
      <c r="C291" s="17" t="s">
        <v>1473</v>
      </c>
      <c r="D291" s="17"/>
      <c r="E291" s="8">
        <v>16539</v>
      </c>
      <c r="F291" s="9">
        <v>77</v>
      </c>
      <c r="G291" s="6" t="s">
        <v>1474</v>
      </c>
      <c r="H291" s="7" t="s">
        <v>25</v>
      </c>
      <c r="I291" s="6"/>
      <c r="J291" s="7" t="s">
        <v>41</v>
      </c>
      <c r="K291" s="7" t="s">
        <v>32</v>
      </c>
      <c r="L291" s="9">
        <v>74</v>
      </c>
      <c r="M291" s="10">
        <v>5.67E-2</v>
      </c>
      <c r="N291" s="6" t="s">
        <v>1475</v>
      </c>
      <c r="O291" s="11">
        <v>6644.02</v>
      </c>
      <c r="P291" s="11">
        <f t="shared" si="10"/>
        <v>6090.35</v>
      </c>
      <c r="Q291" s="18">
        <v>6644.02</v>
      </c>
      <c r="R291" s="19"/>
      <c r="S291" s="2" t="str">
        <f t="shared" ref="S291:S292" si="12">IF(P299&lt;O299,"CATCHUP","NONE")</f>
        <v>CATCHUP</v>
      </c>
    </row>
    <row r="292" spans="1:19" ht="28.8" x14ac:dyDescent="0.3">
      <c r="A292" s="6" t="s">
        <v>1476</v>
      </c>
      <c r="B292" s="7" t="s">
        <v>1477</v>
      </c>
      <c r="C292" s="17" t="s">
        <v>1478</v>
      </c>
      <c r="D292" s="17"/>
      <c r="E292" s="8">
        <v>17249</v>
      </c>
      <c r="F292" s="9">
        <v>75</v>
      </c>
      <c r="G292" s="6" t="s">
        <v>1479</v>
      </c>
      <c r="H292" s="7" t="s">
        <v>39</v>
      </c>
      <c r="I292" s="6" t="s">
        <v>1480</v>
      </c>
      <c r="J292" s="7" t="s">
        <v>41</v>
      </c>
      <c r="K292" s="7" t="s">
        <v>26</v>
      </c>
      <c r="L292" s="9">
        <v>64</v>
      </c>
      <c r="M292" s="10">
        <v>3.85E-2</v>
      </c>
      <c r="N292" s="6" t="s">
        <v>1481</v>
      </c>
      <c r="O292" s="11">
        <v>7534</v>
      </c>
      <c r="P292" s="11">
        <f t="shared" si="10"/>
        <v>6581.86</v>
      </c>
      <c r="Q292" s="18">
        <v>941.75</v>
      </c>
      <c r="R292" s="19"/>
      <c r="S292" s="2" t="str">
        <f t="shared" si="12"/>
        <v>CATCHUP</v>
      </c>
    </row>
    <row r="293" spans="1:19" ht="28.8" hidden="1" x14ac:dyDescent="0.3">
      <c r="A293" s="6" t="s">
        <v>1482</v>
      </c>
      <c r="B293" s="7" t="s">
        <v>1483</v>
      </c>
      <c r="C293" s="17" t="s">
        <v>1484</v>
      </c>
      <c r="D293" s="17"/>
      <c r="E293" s="8">
        <v>16969</v>
      </c>
      <c r="F293" s="9">
        <v>76</v>
      </c>
      <c r="G293" s="6" t="s">
        <v>1485</v>
      </c>
      <c r="H293" s="7" t="s">
        <v>39</v>
      </c>
      <c r="I293" s="6" t="s">
        <v>321</v>
      </c>
      <c r="J293" s="7" t="s">
        <v>20</v>
      </c>
      <c r="K293" s="7" t="s">
        <v>26</v>
      </c>
      <c r="L293" s="6"/>
      <c r="M293" s="10">
        <v>5.9799999999999999E-2</v>
      </c>
      <c r="N293" s="6" t="s">
        <v>1486</v>
      </c>
      <c r="O293" s="11">
        <v>4000</v>
      </c>
      <c r="P293" s="11">
        <f t="shared" si="10"/>
        <v>3552.85</v>
      </c>
      <c r="Q293" s="18">
        <v>500</v>
      </c>
      <c r="R293" s="19"/>
    </row>
    <row r="294" spans="1:19" x14ac:dyDescent="0.3">
      <c r="A294" s="6" t="s">
        <v>1487</v>
      </c>
      <c r="B294" s="7" t="s">
        <v>324</v>
      </c>
      <c r="C294" s="17" t="s">
        <v>1488</v>
      </c>
      <c r="D294" s="17"/>
      <c r="E294" s="8">
        <v>18435</v>
      </c>
      <c r="F294" s="9">
        <v>72</v>
      </c>
      <c r="G294" s="6" t="s">
        <v>1489</v>
      </c>
      <c r="H294" s="7" t="s">
        <v>25</v>
      </c>
      <c r="I294" s="6"/>
      <c r="J294" s="7" t="s">
        <v>41</v>
      </c>
      <c r="K294" s="7" t="s">
        <v>26</v>
      </c>
      <c r="L294" s="9">
        <v>71</v>
      </c>
      <c r="M294" s="10">
        <v>5.28E-2</v>
      </c>
      <c r="N294" s="6" t="s">
        <v>1490</v>
      </c>
      <c r="O294" s="11">
        <v>54107.28</v>
      </c>
      <c r="P294" s="11">
        <f t="shared" si="10"/>
        <v>47343.869999999995</v>
      </c>
      <c r="Q294" s="18">
        <v>95.81</v>
      </c>
      <c r="R294" s="19"/>
      <c r="S294" s="2" t="str">
        <f>IF(P302&lt;O302,"CATCHUP","NONE")</f>
        <v>CATCHUP</v>
      </c>
    </row>
    <row r="295" spans="1:19" ht="28.8" hidden="1" x14ac:dyDescent="0.3">
      <c r="A295" s="6" t="s">
        <v>1491</v>
      </c>
      <c r="B295" s="7" t="s">
        <v>373</v>
      </c>
      <c r="C295" s="17" t="s">
        <v>1492</v>
      </c>
      <c r="D295" s="17"/>
      <c r="E295" s="8">
        <v>17122</v>
      </c>
      <c r="F295" s="9">
        <v>76</v>
      </c>
      <c r="G295" s="6" t="s">
        <v>1493</v>
      </c>
      <c r="H295" s="7" t="s">
        <v>39</v>
      </c>
      <c r="I295" s="6" t="s">
        <v>1160</v>
      </c>
      <c r="J295" s="7" t="s">
        <v>20</v>
      </c>
      <c r="K295" s="7" t="s">
        <v>26</v>
      </c>
      <c r="L295" s="6"/>
      <c r="M295" s="10">
        <v>5.9799999999999999E-2</v>
      </c>
      <c r="N295" s="6" t="s">
        <v>1494</v>
      </c>
      <c r="O295" s="11">
        <v>3200</v>
      </c>
      <c r="P295" s="11">
        <f t="shared" si="10"/>
        <v>2867.89</v>
      </c>
      <c r="Q295" s="18">
        <v>400</v>
      </c>
      <c r="R295" s="19"/>
    </row>
    <row r="296" spans="1:19" ht="43.2" x14ac:dyDescent="0.3">
      <c r="A296" s="6" t="s">
        <v>1495</v>
      </c>
      <c r="B296" s="7" t="s">
        <v>270</v>
      </c>
      <c r="C296" s="17" t="s">
        <v>1496</v>
      </c>
      <c r="D296" s="17"/>
      <c r="E296" s="8">
        <v>18383</v>
      </c>
      <c r="F296" s="9">
        <v>72</v>
      </c>
      <c r="G296" s="6" t="s">
        <v>1497</v>
      </c>
      <c r="H296" s="7" t="s">
        <v>39</v>
      </c>
      <c r="I296" s="6" t="s">
        <v>522</v>
      </c>
      <c r="J296" s="7" t="s">
        <v>41</v>
      </c>
      <c r="K296" s="7" t="s">
        <v>26</v>
      </c>
      <c r="L296" s="9">
        <v>67</v>
      </c>
      <c r="M296" s="10">
        <v>4.3499999999999997E-2</v>
      </c>
      <c r="N296" s="6" t="s">
        <v>1498</v>
      </c>
      <c r="O296" s="11">
        <v>73800</v>
      </c>
      <c r="P296" s="11">
        <f t="shared" si="10"/>
        <v>71907.33</v>
      </c>
      <c r="Q296" s="18">
        <v>3600</v>
      </c>
      <c r="R296" s="19"/>
      <c r="S296" s="2" t="str">
        <f>IF(P304&lt;O304,"CATCHUP","NONE")</f>
        <v>CATCHUP</v>
      </c>
    </row>
    <row r="297" spans="1:19" ht="28.8" hidden="1" x14ac:dyDescent="0.3">
      <c r="A297" s="6" t="s">
        <v>1499</v>
      </c>
      <c r="B297" s="7" t="s">
        <v>1500</v>
      </c>
      <c r="C297" s="17" t="s">
        <v>1501</v>
      </c>
      <c r="D297" s="17"/>
      <c r="E297" s="8">
        <v>17212</v>
      </c>
      <c r="F297" s="9">
        <v>75</v>
      </c>
      <c r="G297" s="6" t="s">
        <v>1502</v>
      </c>
      <c r="H297" s="7" t="s">
        <v>39</v>
      </c>
      <c r="I297" s="6" t="s">
        <v>1503</v>
      </c>
      <c r="J297" s="7" t="s">
        <v>20</v>
      </c>
      <c r="K297" s="7" t="s">
        <v>26</v>
      </c>
      <c r="L297" s="6"/>
      <c r="M297" s="10">
        <v>5.8200000000000002E-2</v>
      </c>
      <c r="N297" s="6" t="s">
        <v>1504</v>
      </c>
      <c r="O297" s="11">
        <v>711.2</v>
      </c>
      <c r="P297" s="11">
        <f t="shared" si="10"/>
        <v>513.56000000000006</v>
      </c>
      <c r="Q297" s="18">
        <v>88.9</v>
      </c>
      <c r="R297" s="19"/>
    </row>
    <row r="298" spans="1:19" ht="28.8" hidden="1" x14ac:dyDescent="0.3">
      <c r="A298" s="6" t="s">
        <v>1505</v>
      </c>
      <c r="B298" s="7" t="s">
        <v>1506</v>
      </c>
      <c r="C298" s="17" t="s">
        <v>1507</v>
      </c>
      <c r="D298" s="17"/>
      <c r="E298" s="8">
        <v>16827</v>
      </c>
      <c r="F298" s="9">
        <v>76</v>
      </c>
      <c r="G298" s="6" t="s">
        <v>1508</v>
      </c>
      <c r="H298" s="7" t="s">
        <v>39</v>
      </c>
      <c r="I298" s="6" t="s">
        <v>951</v>
      </c>
      <c r="J298" s="7" t="s">
        <v>20</v>
      </c>
      <c r="K298" s="7" t="s">
        <v>26</v>
      </c>
      <c r="L298" s="6"/>
      <c r="M298" s="10">
        <v>5.9799999999999999E-2</v>
      </c>
      <c r="N298" s="6" t="s">
        <v>1509</v>
      </c>
      <c r="O298" s="11">
        <v>6000</v>
      </c>
      <c r="P298" s="11">
        <f t="shared" si="10"/>
        <v>5356.38</v>
      </c>
      <c r="Q298" s="18">
        <v>750</v>
      </c>
      <c r="R298" s="19"/>
    </row>
    <row r="299" spans="1:19" ht="43.2" hidden="1" x14ac:dyDescent="0.3">
      <c r="A299" s="6" t="s">
        <v>1510</v>
      </c>
      <c r="B299" s="7" t="s">
        <v>1511</v>
      </c>
      <c r="C299" s="17" t="s">
        <v>1512</v>
      </c>
      <c r="D299" s="17"/>
      <c r="E299" s="8">
        <v>15776</v>
      </c>
      <c r="F299" s="9">
        <v>79</v>
      </c>
      <c r="G299" s="6" t="s">
        <v>1513</v>
      </c>
      <c r="H299" s="7" t="s">
        <v>39</v>
      </c>
      <c r="I299" s="6" t="s">
        <v>1514</v>
      </c>
      <c r="J299" s="7" t="s">
        <v>20</v>
      </c>
      <c r="K299" s="7" t="s">
        <v>26</v>
      </c>
      <c r="L299" s="6"/>
      <c r="M299" s="10">
        <v>6.5799999999999997E-2</v>
      </c>
      <c r="N299" s="6" t="s">
        <v>1515</v>
      </c>
      <c r="O299" s="11">
        <v>21600</v>
      </c>
      <c r="P299" s="11">
        <f t="shared" si="10"/>
        <v>19102.96</v>
      </c>
      <c r="Q299" s="18">
        <v>2700</v>
      </c>
      <c r="R299" s="19"/>
    </row>
    <row r="300" spans="1:19" ht="43.2" hidden="1" x14ac:dyDescent="0.3">
      <c r="A300" s="6" t="s">
        <v>1516</v>
      </c>
      <c r="B300" s="7" t="s">
        <v>1517</v>
      </c>
      <c r="C300" s="17" t="s">
        <v>1518</v>
      </c>
      <c r="D300" s="17"/>
      <c r="E300" s="8">
        <v>17085</v>
      </c>
      <c r="F300" s="9">
        <v>76</v>
      </c>
      <c r="G300" s="6" t="s">
        <v>1519</v>
      </c>
      <c r="H300" s="7" t="s">
        <v>39</v>
      </c>
      <c r="I300" s="6" t="s">
        <v>94</v>
      </c>
      <c r="J300" s="7" t="s">
        <v>20</v>
      </c>
      <c r="K300" s="7" t="s">
        <v>26</v>
      </c>
      <c r="L300" s="6"/>
      <c r="M300" s="10">
        <v>5.9799999999999999E-2</v>
      </c>
      <c r="N300" s="6" t="s">
        <v>1520</v>
      </c>
      <c r="O300" s="11">
        <v>22400</v>
      </c>
      <c r="P300" s="11">
        <f t="shared" si="10"/>
        <v>20913.04</v>
      </c>
      <c r="Q300" s="18">
        <v>2800</v>
      </c>
      <c r="R300" s="19"/>
    </row>
    <row r="301" spans="1:19" x14ac:dyDescent="0.3">
      <c r="A301" s="6" t="s">
        <v>1521</v>
      </c>
      <c r="B301" s="7" t="s">
        <v>1522</v>
      </c>
      <c r="C301" s="17" t="s">
        <v>330</v>
      </c>
      <c r="D301" s="17"/>
      <c r="E301" s="8">
        <v>17530</v>
      </c>
      <c r="F301" s="9">
        <v>75</v>
      </c>
      <c r="G301" s="6" t="s">
        <v>1523</v>
      </c>
      <c r="H301" s="7" t="s">
        <v>25</v>
      </c>
      <c r="I301" s="6"/>
      <c r="J301" s="7" t="s">
        <v>41</v>
      </c>
      <c r="K301" s="7" t="s">
        <v>26</v>
      </c>
      <c r="L301" s="9">
        <v>74</v>
      </c>
      <c r="M301" s="10">
        <v>5.67E-2</v>
      </c>
      <c r="N301" s="6" t="s">
        <v>1524</v>
      </c>
      <c r="O301" s="11">
        <v>60000</v>
      </c>
      <c r="P301" s="11">
        <f t="shared" si="10"/>
        <v>59244.19</v>
      </c>
      <c r="Q301" s="18">
        <v>60000</v>
      </c>
      <c r="R301" s="19"/>
      <c r="S301" s="2" t="str">
        <f>IF(P309&lt;O309,"CATCHUP","NONE")</f>
        <v>CATCHUP</v>
      </c>
    </row>
    <row r="302" spans="1:19" hidden="1" x14ac:dyDescent="0.3">
      <c r="A302" s="6" t="s">
        <v>1525</v>
      </c>
      <c r="B302" s="7" t="s">
        <v>1526</v>
      </c>
      <c r="C302" s="17" t="s">
        <v>1527</v>
      </c>
      <c r="D302" s="17"/>
      <c r="E302" s="8">
        <v>18026</v>
      </c>
      <c r="F302" s="9">
        <v>73</v>
      </c>
      <c r="G302" s="6" t="s">
        <v>1528</v>
      </c>
      <c r="H302" s="7" t="s">
        <v>25</v>
      </c>
      <c r="I302" s="6"/>
      <c r="J302" s="7" t="s">
        <v>20</v>
      </c>
      <c r="K302" s="7" t="s">
        <v>32</v>
      </c>
      <c r="L302" s="6"/>
      <c r="M302" s="10">
        <v>5.5300000000000002E-2</v>
      </c>
      <c r="N302" s="6" t="s">
        <v>1529</v>
      </c>
      <c r="O302" s="11">
        <v>16497.64</v>
      </c>
      <c r="P302" s="11">
        <f t="shared" si="10"/>
        <v>15122.84</v>
      </c>
      <c r="Q302" s="18">
        <v>16497.64</v>
      </c>
      <c r="R302" s="19"/>
    </row>
    <row r="303" spans="1:19" hidden="1" x14ac:dyDescent="0.3">
      <c r="A303" s="6" t="s">
        <v>1530</v>
      </c>
      <c r="B303" s="7" t="s">
        <v>1531</v>
      </c>
      <c r="C303" s="17" t="s">
        <v>330</v>
      </c>
      <c r="D303" s="17"/>
      <c r="E303" s="7" t="s">
        <v>1532</v>
      </c>
      <c r="F303" s="9">
        <v>75</v>
      </c>
      <c r="G303" s="6" t="s">
        <v>1533</v>
      </c>
      <c r="H303" s="7" t="s">
        <v>25</v>
      </c>
      <c r="I303" s="6" t="s">
        <v>19</v>
      </c>
      <c r="J303" s="7" t="s">
        <v>20</v>
      </c>
      <c r="K303" s="7" t="s">
        <v>32</v>
      </c>
      <c r="L303" s="6"/>
      <c r="M303" s="10">
        <v>5.8200000000000002E-2</v>
      </c>
      <c r="N303" s="6" t="s">
        <v>1534</v>
      </c>
      <c r="O303" s="6" t="s">
        <v>19</v>
      </c>
      <c r="P303" s="11" t="e">
        <f t="shared" si="10"/>
        <v>#VALUE!</v>
      </c>
      <c r="Q303" s="19" t="s">
        <v>19</v>
      </c>
      <c r="R303" s="19"/>
    </row>
    <row r="304" spans="1:19" hidden="1" x14ac:dyDescent="0.3">
      <c r="A304" s="6" t="s">
        <v>1535</v>
      </c>
      <c r="B304" s="7" t="s">
        <v>830</v>
      </c>
      <c r="C304" s="17" t="s">
        <v>330</v>
      </c>
      <c r="D304" s="17"/>
      <c r="E304" s="8">
        <v>17062</v>
      </c>
      <c r="F304" s="9">
        <v>76</v>
      </c>
      <c r="G304" s="6" t="s">
        <v>1536</v>
      </c>
      <c r="H304" s="7" t="s">
        <v>25</v>
      </c>
      <c r="I304" s="6"/>
      <c r="J304" s="7" t="s">
        <v>20</v>
      </c>
      <c r="K304" s="7" t="s">
        <v>26</v>
      </c>
      <c r="L304" s="6"/>
      <c r="M304" s="10">
        <v>5.9799999999999999E-2</v>
      </c>
      <c r="N304" s="6" t="s">
        <v>1537</v>
      </c>
      <c r="O304" s="11">
        <v>50662.080000000002</v>
      </c>
      <c r="P304" s="11">
        <f t="shared" si="10"/>
        <v>44329.32</v>
      </c>
      <c r="Q304" s="18">
        <v>6332.76</v>
      </c>
      <c r="R304" s="19"/>
    </row>
    <row r="305" spans="1:19" hidden="1" x14ac:dyDescent="0.3">
      <c r="A305" s="6" t="s">
        <v>1538</v>
      </c>
      <c r="B305" s="7" t="s">
        <v>830</v>
      </c>
      <c r="C305" s="17" t="s">
        <v>1539</v>
      </c>
      <c r="D305" s="17"/>
      <c r="E305" s="7" t="s">
        <v>1540</v>
      </c>
      <c r="F305" s="9">
        <v>76</v>
      </c>
      <c r="G305" s="6" t="s">
        <v>1541</v>
      </c>
      <c r="H305" s="7" t="s">
        <v>25</v>
      </c>
      <c r="I305" s="6" t="s">
        <v>19</v>
      </c>
      <c r="J305" s="7" t="s">
        <v>20</v>
      </c>
      <c r="K305" s="7" t="s">
        <v>32</v>
      </c>
      <c r="L305" s="6"/>
      <c r="M305" s="10">
        <v>5.9799999999999999E-2</v>
      </c>
      <c r="N305" s="6" t="s">
        <v>1542</v>
      </c>
      <c r="O305" s="6" t="s">
        <v>19</v>
      </c>
      <c r="P305" s="11" t="e">
        <f t="shared" si="10"/>
        <v>#VALUE!</v>
      </c>
      <c r="Q305" s="19" t="s">
        <v>19</v>
      </c>
      <c r="R305" s="19"/>
    </row>
    <row r="306" spans="1:19" ht="43.2" x14ac:dyDescent="0.3">
      <c r="A306" s="6" t="s">
        <v>1543</v>
      </c>
      <c r="B306" s="7" t="s">
        <v>60</v>
      </c>
      <c r="C306" s="17" t="s">
        <v>1544</v>
      </c>
      <c r="D306" s="17"/>
      <c r="E306" s="8">
        <v>17546</v>
      </c>
      <c r="F306" s="9">
        <v>74</v>
      </c>
      <c r="G306" s="6" t="s">
        <v>1546</v>
      </c>
      <c r="H306" s="7" t="s">
        <v>39</v>
      </c>
      <c r="I306" s="6" t="s">
        <v>47</v>
      </c>
      <c r="J306" s="7" t="s">
        <v>41</v>
      </c>
      <c r="K306" s="7" t="s">
        <v>26</v>
      </c>
      <c r="L306" s="9">
        <v>68</v>
      </c>
      <c r="M306" s="10">
        <v>4.5499999999999999E-2</v>
      </c>
      <c r="N306" s="6" t="s">
        <v>1547</v>
      </c>
      <c r="O306" s="11">
        <v>14000</v>
      </c>
      <c r="P306" s="11">
        <f t="shared" si="10"/>
        <v>13404.34</v>
      </c>
      <c r="Q306" s="18">
        <v>1000</v>
      </c>
      <c r="R306" s="19"/>
      <c r="S306" s="2" t="str">
        <f>IF(P314&lt;O314,"CATCHUP","NONE")</f>
        <v>CATCHUP</v>
      </c>
    </row>
    <row r="307" spans="1:19" ht="43.2" hidden="1" x14ac:dyDescent="0.3">
      <c r="A307" s="6" t="s">
        <v>1548</v>
      </c>
      <c r="B307" s="7" t="s">
        <v>270</v>
      </c>
      <c r="C307" s="17" t="s">
        <v>1549</v>
      </c>
      <c r="D307" s="17"/>
      <c r="E307" s="8">
        <v>18391</v>
      </c>
      <c r="F307" s="9">
        <v>72</v>
      </c>
      <c r="G307" s="6" t="s">
        <v>1550</v>
      </c>
      <c r="H307" s="7" t="s">
        <v>39</v>
      </c>
      <c r="I307" s="6" t="s">
        <v>47</v>
      </c>
      <c r="J307" s="7" t="s">
        <v>20</v>
      </c>
      <c r="K307" s="7" t="s">
        <v>26</v>
      </c>
      <c r="L307" s="6"/>
      <c r="M307" s="10">
        <v>5.3999999999999999E-2</v>
      </c>
      <c r="N307" s="6" t="s">
        <v>1551</v>
      </c>
      <c r="O307" s="11">
        <v>8000</v>
      </c>
      <c r="P307" s="11">
        <f t="shared" si="10"/>
        <v>7040.5599999999995</v>
      </c>
      <c r="Q307" s="18">
        <v>1000</v>
      </c>
      <c r="R307" s="19"/>
    </row>
    <row r="308" spans="1:19" ht="43.2" hidden="1" x14ac:dyDescent="0.3">
      <c r="A308" s="6" t="s">
        <v>1552</v>
      </c>
      <c r="B308" s="7" t="s">
        <v>1553</v>
      </c>
      <c r="C308" s="17" t="s">
        <v>1554</v>
      </c>
      <c r="D308" s="17"/>
      <c r="E308" s="8">
        <v>17612</v>
      </c>
      <c r="F308" s="9">
        <v>74</v>
      </c>
      <c r="G308" s="6" t="s">
        <v>1555</v>
      </c>
      <c r="H308" s="7" t="s">
        <v>39</v>
      </c>
      <c r="I308" s="6" t="s">
        <v>151</v>
      </c>
      <c r="J308" s="7" t="s">
        <v>20</v>
      </c>
      <c r="K308" s="7" t="s">
        <v>26</v>
      </c>
      <c r="L308" s="6"/>
      <c r="M308" s="10">
        <v>5.67E-2</v>
      </c>
      <c r="N308" s="6" t="s">
        <v>1556</v>
      </c>
      <c r="O308" s="11">
        <v>20000</v>
      </c>
      <c r="P308" s="11">
        <f t="shared" si="10"/>
        <v>18595.7</v>
      </c>
      <c r="Q308" s="18">
        <v>2500</v>
      </c>
      <c r="R308" s="19"/>
    </row>
    <row r="309" spans="1:19" ht="28.8" x14ac:dyDescent="0.3">
      <c r="A309" s="6" t="s">
        <v>1557</v>
      </c>
      <c r="B309" s="7" t="s">
        <v>1558</v>
      </c>
      <c r="C309" s="17" t="s">
        <v>1559</v>
      </c>
      <c r="D309" s="17"/>
      <c r="E309" s="8">
        <v>15209</v>
      </c>
      <c r="F309" s="9">
        <v>81</v>
      </c>
      <c r="G309" s="6" t="s">
        <v>1561</v>
      </c>
      <c r="H309" s="7" t="s">
        <v>39</v>
      </c>
      <c r="I309" s="6" t="s">
        <v>1562</v>
      </c>
      <c r="J309" s="7" t="s">
        <v>41</v>
      </c>
      <c r="K309" s="7" t="s">
        <v>26</v>
      </c>
      <c r="L309" s="9">
        <v>75</v>
      </c>
      <c r="M309" s="10">
        <v>5.8200000000000002E-2</v>
      </c>
      <c r="N309" s="6" t="s">
        <v>1563</v>
      </c>
      <c r="O309" s="11">
        <v>5200</v>
      </c>
      <c r="P309" s="11">
        <f t="shared" si="10"/>
        <v>4563.75</v>
      </c>
      <c r="Q309" s="18">
        <v>650</v>
      </c>
      <c r="R309" s="19"/>
      <c r="S309" s="2" t="str">
        <f>IF(P317&lt;O317,"CATCHUP","NONE")</f>
        <v>CATCHUP</v>
      </c>
    </row>
    <row r="310" spans="1:19" ht="43.2" hidden="1" x14ac:dyDescent="0.3">
      <c r="A310" s="6" t="s">
        <v>1564</v>
      </c>
      <c r="B310" s="7" t="s">
        <v>1565</v>
      </c>
      <c r="C310" s="17" t="s">
        <v>1566</v>
      </c>
      <c r="D310" s="17"/>
      <c r="E310" s="8">
        <v>17604</v>
      </c>
      <c r="F310" s="9">
        <v>74</v>
      </c>
      <c r="G310" s="6" t="s">
        <v>1567</v>
      </c>
      <c r="H310" s="7" t="s">
        <v>39</v>
      </c>
      <c r="I310" s="6" t="s">
        <v>144</v>
      </c>
      <c r="J310" s="7" t="s">
        <v>20</v>
      </c>
      <c r="K310" s="7" t="s">
        <v>32</v>
      </c>
      <c r="L310" s="6"/>
      <c r="M310" s="10">
        <v>5.67E-2</v>
      </c>
      <c r="N310" s="6" t="s">
        <v>1568</v>
      </c>
      <c r="O310" s="11">
        <v>5000</v>
      </c>
      <c r="P310" s="11">
        <f t="shared" si="10"/>
        <v>4898.17</v>
      </c>
      <c r="Q310" s="18">
        <v>5000</v>
      </c>
      <c r="R310" s="19"/>
    </row>
    <row r="311" spans="1:19" hidden="1" x14ac:dyDescent="0.3">
      <c r="A311" s="6" t="s">
        <v>1569</v>
      </c>
      <c r="B311" s="7" t="s">
        <v>1570</v>
      </c>
      <c r="C311" s="17" t="s">
        <v>1571</v>
      </c>
      <c r="D311" s="17"/>
      <c r="E311" s="8">
        <v>18018</v>
      </c>
      <c r="F311" s="9">
        <v>73</v>
      </c>
      <c r="G311" s="6" t="s">
        <v>1572</v>
      </c>
      <c r="H311" s="7" t="s">
        <v>25</v>
      </c>
      <c r="I311" s="6"/>
      <c r="J311" s="7" t="s">
        <v>20</v>
      </c>
      <c r="K311" s="7" t="s">
        <v>26</v>
      </c>
      <c r="L311" s="6"/>
      <c r="M311" s="10">
        <v>5.5300000000000002E-2</v>
      </c>
      <c r="N311" s="6" t="s">
        <v>1573</v>
      </c>
      <c r="O311" s="11">
        <v>28685.68</v>
      </c>
      <c r="P311" s="11">
        <f t="shared" si="10"/>
        <v>25099.97</v>
      </c>
      <c r="Q311" s="18">
        <v>3585.71</v>
      </c>
      <c r="R311" s="19"/>
    </row>
    <row r="312" spans="1:19" ht="43.2" hidden="1" x14ac:dyDescent="0.3">
      <c r="A312" s="6" t="s">
        <v>1574</v>
      </c>
      <c r="B312" s="7" t="s">
        <v>627</v>
      </c>
      <c r="C312" s="17" t="s">
        <v>1575</v>
      </c>
      <c r="D312" s="17"/>
      <c r="E312" s="8">
        <v>14781</v>
      </c>
      <c r="F312" s="9">
        <v>82</v>
      </c>
      <c r="G312" s="6" t="s">
        <v>1576</v>
      </c>
      <c r="H312" s="7" t="s">
        <v>39</v>
      </c>
      <c r="I312" s="6" t="s">
        <v>132</v>
      </c>
      <c r="J312" s="7" t="s">
        <v>20</v>
      </c>
      <c r="K312" s="7" t="s">
        <v>26</v>
      </c>
      <c r="L312" s="6"/>
      <c r="M312" s="10">
        <v>7.3800000000000004E-2</v>
      </c>
      <c r="N312" s="6" t="s">
        <v>1577</v>
      </c>
      <c r="O312" s="11">
        <v>15200</v>
      </c>
      <c r="P312" s="11">
        <f t="shared" si="10"/>
        <v>14269.68</v>
      </c>
      <c r="Q312" s="18">
        <v>121.9</v>
      </c>
      <c r="R312" s="19"/>
    </row>
    <row r="313" spans="1:19" x14ac:dyDescent="0.3">
      <c r="A313" s="6" t="s">
        <v>1578</v>
      </c>
      <c r="B313" s="7" t="s">
        <v>1579</v>
      </c>
      <c r="C313" s="17" t="s">
        <v>1580</v>
      </c>
      <c r="D313" s="17"/>
      <c r="E313" s="8">
        <v>18545</v>
      </c>
      <c r="F313" s="9">
        <v>72</v>
      </c>
      <c r="G313" s="6" t="s">
        <v>1581</v>
      </c>
      <c r="H313" s="7" t="s">
        <v>25</v>
      </c>
      <c r="I313" s="6"/>
      <c r="J313" s="7" t="s">
        <v>41</v>
      </c>
      <c r="K313" s="7" t="s">
        <v>26</v>
      </c>
      <c r="L313" s="9">
        <v>69</v>
      </c>
      <c r="M313" s="10">
        <v>4.7600000000000003E-2</v>
      </c>
      <c r="N313" s="6" t="s">
        <v>1582</v>
      </c>
      <c r="O313" s="11">
        <v>2192.8000000000002</v>
      </c>
      <c r="P313" s="11">
        <f t="shared" si="10"/>
        <v>1918.7000000000003</v>
      </c>
      <c r="Q313" s="18">
        <v>274.10000000000002</v>
      </c>
      <c r="R313" s="19"/>
      <c r="S313" s="2" t="e">
        <f>IF(P321&lt;O321,"CATCHUP","NONE")</f>
        <v>#VALUE!</v>
      </c>
    </row>
    <row r="314" spans="1:19" ht="43.2" hidden="1" x14ac:dyDescent="0.3">
      <c r="A314" s="6" t="s">
        <v>1583</v>
      </c>
      <c r="B314" s="7" t="s">
        <v>1584</v>
      </c>
      <c r="C314" s="17" t="s">
        <v>1585</v>
      </c>
      <c r="D314" s="17"/>
      <c r="E314" s="8">
        <v>16341</v>
      </c>
      <c r="F314" s="9">
        <v>78</v>
      </c>
      <c r="G314" s="6" t="s">
        <v>1586</v>
      </c>
      <c r="H314" s="7" t="s">
        <v>39</v>
      </c>
      <c r="I314" s="6" t="s">
        <v>122</v>
      </c>
      <c r="J314" s="7" t="s">
        <v>20</v>
      </c>
      <c r="K314" s="7" t="s">
        <v>26</v>
      </c>
      <c r="L314" s="6"/>
      <c r="M314" s="10">
        <v>6.3600000000000004E-2</v>
      </c>
      <c r="N314" s="6" t="s">
        <v>1587</v>
      </c>
      <c r="O314" s="11">
        <v>16000</v>
      </c>
      <c r="P314" s="11">
        <f t="shared" si="10"/>
        <v>14986.92</v>
      </c>
      <c r="Q314" s="18">
        <v>2000</v>
      </c>
      <c r="R314" s="19"/>
    </row>
    <row r="315" spans="1:19" ht="43.2" hidden="1" x14ac:dyDescent="0.3">
      <c r="A315" s="6" t="s">
        <v>1588</v>
      </c>
      <c r="B315" s="7" t="s">
        <v>1048</v>
      </c>
      <c r="C315" s="17" t="s">
        <v>1589</v>
      </c>
      <c r="D315" s="17"/>
      <c r="E315" s="8">
        <v>17998</v>
      </c>
      <c r="F315" s="9">
        <v>73</v>
      </c>
      <c r="G315" s="6" t="s">
        <v>1590</v>
      </c>
      <c r="H315" s="7" t="s">
        <v>39</v>
      </c>
      <c r="I315" s="6" t="s">
        <v>106</v>
      </c>
      <c r="J315" s="7" t="s">
        <v>20</v>
      </c>
      <c r="K315" s="7" t="s">
        <v>26</v>
      </c>
      <c r="L315" s="6"/>
      <c r="M315" s="10">
        <v>5.5300000000000002E-2</v>
      </c>
      <c r="N315" s="6" t="s">
        <v>1591</v>
      </c>
      <c r="O315" s="11">
        <v>32000</v>
      </c>
      <c r="P315" s="11">
        <f t="shared" si="10"/>
        <v>29433.760000000002</v>
      </c>
      <c r="Q315" s="18">
        <v>4000</v>
      </c>
      <c r="R315" s="19"/>
    </row>
    <row r="316" spans="1:19" x14ac:dyDescent="0.3">
      <c r="A316" s="6" t="s">
        <v>1592</v>
      </c>
      <c r="B316" s="7" t="s">
        <v>29</v>
      </c>
      <c r="C316" s="17" t="s">
        <v>1593</v>
      </c>
      <c r="D316" s="17"/>
      <c r="E316" s="8">
        <v>15882</v>
      </c>
      <c r="F316" s="9">
        <v>79</v>
      </c>
      <c r="G316" s="6" t="s">
        <v>1594</v>
      </c>
      <c r="H316" s="7" t="s">
        <v>25</v>
      </c>
      <c r="I316" s="6"/>
      <c r="J316" s="7" t="s">
        <v>41</v>
      </c>
      <c r="K316" s="7" t="s">
        <v>26</v>
      </c>
      <c r="L316" s="9">
        <v>78</v>
      </c>
      <c r="M316" s="10">
        <v>6.3600000000000004E-2</v>
      </c>
      <c r="N316" s="6" t="s">
        <v>1595</v>
      </c>
      <c r="O316" s="11">
        <v>28255.52</v>
      </c>
      <c r="P316" s="11">
        <f t="shared" si="10"/>
        <v>24723.58</v>
      </c>
      <c r="Q316" s="18">
        <v>3531.94</v>
      </c>
      <c r="R316" s="19"/>
      <c r="S316" s="2" t="str">
        <f t="shared" ref="S316:S317" si="13">IF(P324&lt;O324,"CATCHUP","NONE")</f>
        <v>CATCHUP</v>
      </c>
    </row>
    <row r="317" spans="1:19" ht="43.2" x14ac:dyDescent="0.3">
      <c r="A317" s="6" t="s">
        <v>1596</v>
      </c>
      <c r="B317" s="7" t="s">
        <v>645</v>
      </c>
      <c r="C317" s="17" t="s">
        <v>1597</v>
      </c>
      <c r="D317" s="17"/>
      <c r="E317" s="8">
        <v>16205</v>
      </c>
      <c r="F317" s="9">
        <v>78</v>
      </c>
      <c r="G317" s="6" t="s">
        <v>1598</v>
      </c>
      <c r="H317" s="7" t="s">
        <v>39</v>
      </c>
      <c r="I317" s="6" t="s">
        <v>1599</v>
      </c>
      <c r="J317" s="7" t="s">
        <v>41</v>
      </c>
      <c r="K317" s="7" t="s">
        <v>26</v>
      </c>
      <c r="L317" s="9">
        <v>77</v>
      </c>
      <c r="M317" s="10">
        <v>6.1699999999999998E-2</v>
      </c>
      <c r="N317" s="6" t="s">
        <v>1600</v>
      </c>
      <c r="O317" s="11">
        <v>25600</v>
      </c>
      <c r="P317" s="11">
        <f t="shared" si="10"/>
        <v>23112.21</v>
      </c>
      <c r="Q317" s="18">
        <v>3200</v>
      </c>
      <c r="R317" s="19"/>
      <c r="S317" s="2" t="e">
        <f t="shared" si="13"/>
        <v>#VALUE!</v>
      </c>
    </row>
    <row r="318" spans="1:19" ht="43.2" hidden="1" x14ac:dyDescent="0.3">
      <c r="A318" s="6" t="s">
        <v>1601</v>
      </c>
      <c r="B318" s="7" t="s">
        <v>1602</v>
      </c>
      <c r="C318" s="17" t="s">
        <v>1597</v>
      </c>
      <c r="D318" s="17"/>
      <c r="E318" s="8">
        <v>18609</v>
      </c>
      <c r="F318" s="9">
        <v>72</v>
      </c>
      <c r="G318" s="6" t="s">
        <v>1603</v>
      </c>
      <c r="H318" s="7" t="s">
        <v>39</v>
      </c>
      <c r="I318" s="6" t="s">
        <v>106</v>
      </c>
      <c r="J318" s="7" t="s">
        <v>20</v>
      </c>
      <c r="K318" s="7" t="s">
        <v>26</v>
      </c>
      <c r="L318" s="6"/>
      <c r="M318" s="10">
        <v>5.3999999999999999E-2</v>
      </c>
      <c r="N318" s="6" t="s">
        <v>1604</v>
      </c>
      <c r="O318" s="11">
        <v>32000</v>
      </c>
      <c r="P318" s="11">
        <f t="shared" si="10"/>
        <v>29781.1</v>
      </c>
      <c r="Q318" s="18">
        <v>767.62</v>
      </c>
      <c r="R318" s="19"/>
    </row>
    <row r="319" spans="1:19" hidden="1" x14ac:dyDescent="0.3">
      <c r="A319" s="6" t="s">
        <v>1605</v>
      </c>
      <c r="B319" s="7" t="s">
        <v>29</v>
      </c>
      <c r="C319" s="17" t="s">
        <v>1606</v>
      </c>
      <c r="D319" s="17"/>
      <c r="E319" s="8">
        <v>17246</v>
      </c>
      <c r="F319" s="9">
        <v>75</v>
      </c>
      <c r="G319" s="6" t="s">
        <v>1607</v>
      </c>
      <c r="H319" s="7" t="s">
        <v>25</v>
      </c>
      <c r="I319" s="6"/>
      <c r="J319" s="7" t="s">
        <v>20</v>
      </c>
      <c r="K319" s="7" t="s">
        <v>26</v>
      </c>
      <c r="L319" s="6"/>
      <c r="M319" s="10">
        <v>5.8200000000000002E-2</v>
      </c>
      <c r="N319" s="6" t="s">
        <v>1608</v>
      </c>
      <c r="O319" s="11">
        <v>3230.4</v>
      </c>
      <c r="P319" s="11">
        <f t="shared" si="10"/>
        <v>2826.6</v>
      </c>
      <c r="Q319" s="18">
        <v>403.8</v>
      </c>
      <c r="R319" s="19"/>
    </row>
    <row r="320" spans="1:19" ht="43.2" hidden="1" x14ac:dyDescent="0.3">
      <c r="A320" s="6" t="s">
        <v>1609</v>
      </c>
      <c r="B320" s="7" t="s">
        <v>451</v>
      </c>
      <c r="C320" s="17" t="s">
        <v>1610</v>
      </c>
      <c r="D320" s="17"/>
      <c r="E320" s="8">
        <v>15892</v>
      </c>
      <c r="F320" s="9">
        <v>79</v>
      </c>
      <c r="G320" s="6" t="s">
        <v>1611</v>
      </c>
      <c r="H320" s="7" t="s">
        <v>39</v>
      </c>
      <c r="I320" s="6" t="s">
        <v>1026</v>
      </c>
      <c r="J320" s="7" t="s">
        <v>20</v>
      </c>
      <c r="K320" s="7" t="s">
        <v>26</v>
      </c>
      <c r="L320" s="6"/>
      <c r="M320" s="10">
        <v>6.5799999999999997E-2</v>
      </c>
      <c r="N320" s="6" t="s">
        <v>1612</v>
      </c>
      <c r="O320" s="11">
        <v>8800</v>
      </c>
      <c r="P320" s="11">
        <f t="shared" si="10"/>
        <v>7799.45</v>
      </c>
      <c r="Q320" s="18">
        <v>1100</v>
      </c>
      <c r="R320" s="19"/>
    </row>
    <row r="321" spans="1:18" hidden="1" x14ac:dyDescent="0.3">
      <c r="A321" s="6" t="s">
        <v>1613</v>
      </c>
      <c r="B321" s="7" t="s">
        <v>1339</v>
      </c>
      <c r="C321" s="17" t="s">
        <v>1614</v>
      </c>
      <c r="D321" s="17"/>
      <c r="E321" s="7" t="s">
        <v>1615</v>
      </c>
      <c r="F321" s="9">
        <v>74</v>
      </c>
      <c r="G321" s="6" t="s">
        <v>1616</v>
      </c>
      <c r="H321" s="7" t="s">
        <v>25</v>
      </c>
      <c r="I321" s="6" t="s">
        <v>19</v>
      </c>
      <c r="J321" s="7" t="s">
        <v>20</v>
      </c>
      <c r="K321" s="7" t="s">
        <v>26</v>
      </c>
      <c r="L321" s="6"/>
      <c r="M321" s="10">
        <v>5.67E-2</v>
      </c>
      <c r="N321" s="6" t="s">
        <v>1617</v>
      </c>
      <c r="O321" s="6" t="s">
        <v>19</v>
      </c>
      <c r="P321" s="11" t="e">
        <f t="shared" si="10"/>
        <v>#VALUE!</v>
      </c>
      <c r="Q321" s="19" t="s">
        <v>19</v>
      </c>
      <c r="R321" s="19"/>
    </row>
    <row r="322" spans="1:18" ht="28.8" hidden="1" x14ac:dyDescent="0.3">
      <c r="A322" s="6" t="s">
        <v>1618</v>
      </c>
      <c r="B322" s="7" t="s">
        <v>270</v>
      </c>
      <c r="C322" s="17" t="s">
        <v>1619</v>
      </c>
      <c r="D322" s="17"/>
      <c r="E322" s="8">
        <v>17875</v>
      </c>
      <c r="F322" s="9">
        <v>74</v>
      </c>
      <c r="G322" s="6" t="s">
        <v>1620</v>
      </c>
      <c r="H322" s="7" t="s">
        <v>39</v>
      </c>
      <c r="I322" s="6" t="s">
        <v>249</v>
      </c>
      <c r="J322" s="7" t="s">
        <v>20</v>
      </c>
      <c r="K322" s="7" t="s">
        <v>26</v>
      </c>
      <c r="L322" s="6"/>
      <c r="M322" s="10">
        <v>5.67E-2</v>
      </c>
      <c r="N322" s="6" t="s">
        <v>1621</v>
      </c>
      <c r="O322" s="11">
        <v>200</v>
      </c>
      <c r="P322" s="11">
        <f t="shared" si="10"/>
        <v>78.05</v>
      </c>
      <c r="Q322" s="18">
        <v>200</v>
      </c>
      <c r="R322" s="19"/>
    </row>
    <row r="323" spans="1:18" ht="43.2" hidden="1" x14ac:dyDescent="0.3">
      <c r="A323" s="6" t="s">
        <v>1622</v>
      </c>
      <c r="B323" s="7" t="s">
        <v>22</v>
      </c>
      <c r="C323" s="17" t="s">
        <v>1619</v>
      </c>
      <c r="D323" s="17"/>
      <c r="E323" s="8">
        <v>18443</v>
      </c>
      <c r="F323" s="9">
        <v>72</v>
      </c>
      <c r="G323" s="6" t="s">
        <v>1623</v>
      </c>
      <c r="H323" s="7" t="s">
        <v>39</v>
      </c>
      <c r="I323" s="6" t="s">
        <v>40</v>
      </c>
      <c r="J323" s="7" t="s">
        <v>20</v>
      </c>
      <c r="K323" s="7" t="s">
        <v>26</v>
      </c>
      <c r="L323" s="6"/>
      <c r="M323" s="10">
        <v>5.3999999999999999E-2</v>
      </c>
      <c r="N323" s="6" t="s">
        <v>1624</v>
      </c>
      <c r="O323" s="11">
        <v>47886.13</v>
      </c>
      <c r="P323" s="11">
        <f t="shared" si="10"/>
        <v>46456.479999999996</v>
      </c>
      <c r="Q323" s="18">
        <v>3000</v>
      </c>
      <c r="R323" s="19"/>
    </row>
    <row r="324" spans="1:18" hidden="1" x14ac:dyDescent="0.3">
      <c r="A324" s="6" t="s">
        <v>1625</v>
      </c>
      <c r="B324" s="7" t="s">
        <v>655</v>
      </c>
      <c r="C324" s="17" t="s">
        <v>1626</v>
      </c>
      <c r="D324" s="17"/>
      <c r="E324" s="8">
        <v>17174</v>
      </c>
      <c r="F324" s="9">
        <v>75</v>
      </c>
      <c r="G324" s="6" t="s">
        <v>1627</v>
      </c>
      <c r="H324" s="7" t="s">
        <v>25</v>
      </c>
      <c r="I324" s="6"/>
      <c r="J324" s="7" t="s">
        <v>20</v>
      </c>
      <c r="K324" s="7" t="s">
        <v>26</v>
      </c>
      <c r="L324" s="6"/>
      <c r="M324" s="10">
        <v>5.8200000000000002E-2</v>
      </c>
      <c r="N324" s="6" t="s">
        <v>1628</v>
      </c>
      <c r="O324" s="11">
        <v>13671.12</v>
      </c>
      <c r="P324" s="11">
        <f t="shared" ref="P324:P387" si="14">O324-N324</f>
        <v>11962.230000000001</v>
      </c>
      <c r="Q324" s="18">
        <v>1708.89</v>
      </c>
      <c r="R324" s="19"/>
    </row>
    <row r="325" spans="1:18" hidden="1" x14ac:dyDescent="0.3">
      <c r="A325" s="6" t="s">
        <v>1629</v>
      </c>
      <c r="B325" s="7" t="s">
        <v>140</v>
      </c>
      <c r="C325" s="17" t="s">
        <v>1626</v>
      </c>
      <c r="D325" s="17"/>
      <c r="E325" s="7" t="s">
        <v>1630</v>
      </c>
      <c r="F325" s="9">
        <v>73</v>
      </c>
      <c r="G325" s="6" t="s">
        <v>1631</v>
      </c>
      <c r="H325" s="7" t="s">
        <v>25</v>
      </c>
      <c r="I325" s="6" t="s">
        <v>19</v>
      </c>
      <c r="J325" s="7" t="s">
        <v>41</v>
      </c>
      <c r="K325" s="7" t="s">
        <v>32</v>
      </c>
      <c r="L325" s="9">
        <v>68</v>
      </c>
      <c r="M325" s="10">
        <v>4.5499999999999999E-2</v>
      </c>
      <c r="N325" s="6" t="s">
        <v>1632</v>
      </c>
      <c r="O325" s="6" t="s">
        <v>19</v>
      </c>
      <c r="P325" s="11" t="e">
        <f t="shared" si="14"/>
        <v>#VALUE!</v>
      </c>
      <c r="Q325" s="19" t="s">
        <v>19</v>
      </c>
      <c r="R325" s="19"/>
    </row>
    <row r="326" spans="1:18" ht="43.2" hidden="1" x14ac:dyDescent="0.3">
      <c r="A326" s="6" t="s">
        <v>1633</v>
      </c>
      <c r="B326" s="7" t="s">
        <v>1634</v>
      </c>
      <c r="C326" s="17" t="s">
        <v>1635</v>
      </c>
      <c r="D326" s="17"/>
      <c r="E326" s="7" t="s">
        <v>1636</v>
      </c>
      <c r="F326" s="9">
        <v>78</v>
      </c>
      <c r="G326" s="6" t="s">
        <v>1637</v>
      </c>
      <c r="H326" s="7" t="s">
        <v>39</v>
      </c>
      <c r="I326" s="6" t="s">
        <v>47</v>
      </c>
      <c r="J326" s="7" t="s">
        <v>20</v>
      </c>
      <c r="K326" s="7" t="s">
        <v>26</v>
      </c>
      <c r="L326" s="6"/>
      <c r="M326" s="10">
        <v>6.3600000000000004E-2</v>
      </c>
      <c r="N326" s="6" t="s">
        <v>1638</v>
      </c>
      <c r="O326" s="6" t="s">
        <v>19</v>
      </c>
      <c r="P326" s="11" t="e">
        <f t="shared" si="14"/>
        <v>#VALUE!</v>
      </c>
      <c r="Q326" s="19" t="s">
        <v>19</v>
      </c>
      <c r="R326" s="19"/>
    </row>
    <row r="327" spans="1:18" ht="43.2" hidden="1" x14ac:dyDescent="0.3">
      <c r="A327" s="6" t="s">
        <v>1639</v>
      </c>
      <c r="B327" s="7" t="s">
        <v>640</v>
      </c>
      <c r="C327" s="17" t="s">
        <v>1635</v>
      </c>
      <c r="D327" s="17"/>
      <c r="E327" s="8">
        <v>17853</v>
      </c>
      <c r="F327" s="9">
        <v>74</v>
      </c>
      <c r="G327" s="6" t="s">
        <v>1641</v>
      </c>
      <c r="H327" s="7" t="s">
        <v>39</v>
      </c>
      <c r="I327" s="6" t="s">
        <v>1642</v>
      </c>
      <c r="J327" s="7" t="s">
        <v>20</v>
      </c>
      <c r="K327" s="7" t="s">
        <v>26</v>
      </c>
      <c r="L327" s="6"/>
      <c r="M327" s="10">
        <v>5.67E-2</v>
      </c>
      <c r="N327" s="6" t="s">
        <v>1643</v>
      </c>
      <c r="O327" s="11">
        <v>22000</v>
      </c>
      <c r="P327" s="11">
        <f t="shared" si="14"/>
        <v>19350.580000000002</v>
      </c>
      <c r="Q327" s="18">
        <v>2750</v>
      </c>
      <c r="R327" s="19"/>
    </row>
    <row r="328" spans="1:18" ht="28.8" hidden="1" x14ac:dyDescent="0.3">
      <c r="A328" s="6" t="s">
        <v>1644</v>
      </c>
      <c r="B328" s="7" t="s">
        <v>1645</v>
      </c>
      <c r="C328" s="17" t="s">
        <v>1646</v>
      </c>
      <c r="D328" s="17"/>
      <c r="E328" s="8">
        <v>18073</v>
      </c>
      <c r="F328" s="9">
        <v>73</v>
      </c>
      <c r="G328" s="6" t="s">
        <v>1647</v>
      </c>
      <c r="H328" s="7" t="s">
        <v>39</v>
      </c>
      <c r="I328" s="6" t="s">
        <v>249</v>
      </c>
      <c r="J328" s="7" t="s">
        <v>20</v>
      </c>
      <c r="K328" s="7" t="s">
        <v>26</v>
      </c>
      <c r="L328" s="6"/>
      <c r="M328" s="10">
        <v>5.5300000000000002E-2</v>
      </c>
      <c r="N328" s="6" t="s">
        <v>1648</v>
      </c>
      <c r="O328" s="11">
        <v>350</v>
      </c>
      <c r="P328" s="11">
        <f t="shared" si="14"/>
        <v>346.06</v>
      </c>
      <c r="Q328" s="18">
        <v>350</v>
      </c>
      <c r="R328" s="19"/>
    </row>
    <row r="329" spans="1:18" ht="43.2" hidden="1" x14ac:dyDescent="0.3">
      <c r="A329" s="6" t="s">
        <v>1649</v>
      </c>
      <c r="B329" s="7" t="s">
        <v>918</v>
      </c>
      <c r="C329" s="17" t="s">
        <v>1646</v>
      </c>
      <c r="D329" s="17"/>
      <c r="E329" s="8">
        <v>16473</v>
      </c>
      <c r="F329" s="9">
        <v>77</v>
      </c>
      <c r="G329" s="6" t="s">
        <v>1650</v>
      </c>
      <c r="H329" s="7" t="s">
        <v>39</v>
      </c>
      <c r="I329" s="6" t="s">
        <v>89</v>
      </c>
      <c r="J329" s="7" t="s">
        <v>20</v>
      </c>
      <c r="K329" s="7" t="s">
        <v>26</v>
      </c>
      <c r="L329" s="6"/>
      <c r="M329" s="10">
        <v>6.1699999999999998E-2</v>
      </c>
      <c r="N329" s="6" t="s">
        <v>1651</v>
      </c>
      <c r="O329" s="11">
        <v>9600</v>
      </c>
      <c r="P329" s="11">
        <f t="shared" si="14"/>
        <v>8693</v>
      </c>
      <c r="Q329" s="18">
        <v>1200</v>
      </c>
      <c r="R329" s="19"/>
    </row>
    <row r="330" spans="1:18" hidden="1" x14ac:dyDescent="0.3">
      <c r="A330" s="6" t="s">
        <v>1652</v>
      </c>
      <c r="B330" s="7" t="s">
        <v>509</v>
      </c>
      <c r="C330" s="17" t="s">
        <v>1653</v>
      </c>
      <c r="D330" s="17"/>
      <c r="E330" s="8">
        <v>16087</v>
      </c>
      <c r="F330" s="9">
        <v>78</v>
      </c>
      <c r="G330" s="6" t="s">
        <v>1654</v>
      </c>
      <c r="H330" s="7" t="s">
        <v>25</v>
      </c>
      <c r="I330" s="6"/>
      <c r="J330" s="7" t="s">
        <v>20</v>
      </c>
      <c r="K330" s="7" t="s">
        <v>26</v>
      </c>
      <c r="L330" s="6"/>
      <c r="M330" s="10">
        <v>6.3600000000000004E-2</v>
      </c>
      <c r="N330" s="6" t="s">
        <v>1655</v>
      </c>
      <c r="O330" s="11">
        <v>13276</v>
      </c>
      <c r="P330" s="11">
        <f t="shared" si="14"/>
        <v>11616.5</v>
      </c>
      <c r="Q330" s="18">
        <v>1659.5</v>
      </c>
      <c r="R330" s="19"/>
    </row>
    <row r="331" spans="1:18" hidden="1" x14ac:dyDescent="0.3">
      <c r="A331" s="6" t="s">
        <v>1656</v>
      </c>
      <c r="B331" s="7" t="s">
        <v>830</v>
      </c>
      <c r="C331" s="17" t="s">
        <v>1653</v>
      </c>
      <c r="D331" s="17"/>
      <c r="E331" s="8">
        <v>18056</v>
      </c>
      <c r="F331" s="9">
        <v>73</v>
      </c>
      <c r="G331" s="6" t="s">
        <v>1657</v>
      </c>
      <c r="H331" s="7" t="s">
        <v>25</v>
      </c>
      <c r="I331" s="6"/>
      <c r="J331" s="7" t="s">
        <v>20</v>
      </c>
      <c r="K331" s="7" t="s">
        <v>26</v>
      </c>
      <c r="L331" s="6"/>
      <c r="M331" s="10">
        <v>5.5300000000000002E-2</v>
      </c>
      <c r="N331" s="6" t="s">
        <v>1658</v>
      </c>
      <c r="O331" s="11">
        <v>44143.040000000001</v>
      </c>
      <c r="P331" s="11">
        <f t="shared" si="14"/>
        <v>38625.160000000003</v>
      </c>
      <c r="Q331" s="18">
        <v>5517.88</v>
      </c>
      <c r="R331" s="19"/>
    </row>
    <row r="332" spans="1:18" ht="43.2" hidden="1" x14ac:dyDescent="0.3">
      <c r="A332" s="6" t="s">
        <v>1659</v>
      </c>
      <c r="B332" s="7" t="s">
        <v>163</v>
      </c>
      <c r="C332" s="17" t="s">
        <v>1660</v>
      </c>
      <c r="D332" s="17"/>
      <c r="E332" s="8">
        <v>14166</v>
      </c>
      <c r="F332" s="9">
        <v>84</v>
      </c>
      <c r="G332" s="6" t="s">
        <v>1661</v>
      </c>
      <c r="H332" s="7" t="s">
        <v>39</v>
      </c>
      <c r="I332" s="6" t="s">
        <v>122</v>
      </c>
      <c r="J332" s="7" t="s">
        <v>20</v>
      </c>
      <c r="K332" s="7" t="s">
        <v>26</v>
      </c>
      <c r="L332" s="6"/>
      <c r="M332" s="10">
        <v>8.0799999999999997E-2</v>
      </c>
      <c r="N332" s="6" t="s">
        <v>1662</v>
      </c>
      <c r="O332" s="11">
        <v>16000</v>
      </c>
      <c r="P332" s="11">
        <f t="shared" si="14"/>
        <v>14926.31</v>
      </c>
      <c r="Q332" s="18">
        <v>2000</v>
      </c>
      <c r="R332" s="19"/>
    </row>
    <row r="333" spans="1:18" hidden="1" x14ac:dyDescent="0.3">
      <c r="A333" s="6" t="s">
        <v>1663</v>
      </c>
      <c r="B333" s="7" t="s">
        <v>1664</v>
      </c>
      <c r="C333" s="17" t="s">
        <v>1665</v>
      </c>
      <c r="D333" s="17"/>
      <c r="E333" s="8">
        <v>18598</v>
      </c>
      <c r="F333" s="9">
        <v>72</v>
      </c>
      <c r="G333" s="6" t="s">
        <v>1666</v>
      </c>
      <c r="H333" s="7" t="s">
        <v>25</v>
      </c>
      <c r="I333" s="6"/>
      <c r="J333" s="7" t="s">
        <v>20</v>
      </c>
      <c r="K333" s="7" t="s">
        <v>26</v>
      </c>
      <c r="L333" s="6"/>
      <c r="M333" s="10">
        <v>5.3999999999999999E-2</v>
      </c>
      <c r="N333" s="6" t="s">
        <v>1667</v>
      </c>
      <c r="O333" s="11">
        <v>17142.72</v>
      </c>
      <c r="P333" s="11">
        <f t="shared" si="14"/>
        <v>14999.880000000001</v>
      </c>
      <c r="Q333" s="18">
        <v>2142.84</v>
      </c>
      <c r="R333" s="19"/>
    </row>
    <row r="334" spans="1:18" ht="43.2" hidden="1" x14ac:dyDescent="0.3">
      <c r="A334" s="6" t="s">
        <v>1668</v>
      </c>
      <c r="B334" s="7" t="s">
        <v>456</v>
      </c>
      <c r="C334" s="17" t="s">
        <v>1669</v>
      </c>
      <c r="D334" s="17"/>
      <c r="E334" s="8">
        <v>18442</v>
      </c>
      <c r="F334" s="9">
        <v>72</v>
      </c>
      <c r="G334" s="6" t="s">
        <v>1670</v>
      </c>
      <c r="H334" s="7" t="s">
        <v>39</v>
      </c>
      <c r="I334" s="6" t="s">
        <v>40</v>
      </c>
      <c r="J334" s="7" t="s">
        <v>20</v>
      </c>
      <c r="K334" s="7" t="s">
        <v>26</v>
      </c>
      <c r="L334" s="6"/>
      <c r="M334" s="10">
        <v>5.3999999999999999E-2</v>
      </c>
      <c r="N334" s="6" t="s">
        <v>1671</v>
      </c>
      <c r="O334" s="11">
        <v>42500</v>
      </c>
      <c r="P334" s="11">
        <f t="shared" si="14"/>
        <v>40556.57</v>
      </c>
      <c r="Q334" s="18">
        <v>18500</v>
      </c>
      <c r="R334" s="19"/>
    </row>
    <row r="335" spans="1:18" ht="28.8" hidden="1" x14ac:dyDescent="0.3">
      <c r="A335" s="6" t="s">
        <v>1672</v>
      </c>
      <c r="B335" s="7" t="s">
        <v>342</v>
      </c>
      <c r="C335" s="17" t="s">
        <v>1673</v>
      </c>
      <c r="D335" s="17"/>
      <c r="E335" s="8">
        <v>18391</v>
      </c>
      <c r="F335" s="9">
        <v>72</v>
      </c>
      <c r="G335" s="6" t="s">
        <v>1674</v>
      </c>
      <c r="H335" s="7" t="s">
        <v>39</v>
      </c>
      <c r="I335" s="6" t="s">
        <v>1675</v>
      </c>
      <c r="J335" s="7" t="s">
        <v>20</v>
      </c>
      <c r="K335" s="7" t="s">
        <v>26</v>
      </c>
      <c r="L335" s="6"/>
      <c r="M335" s="10">
        <v>5.3999999999999999E-2</v>
      </c>
      <c r="N335" s="6" t="s">
        <v>1676</v>
      </c>
      <c r="O335" s="11">
        <v>1900</v>
      </c>
      <c r="P335" s="11">
        <f t="shared" si="14"/>
        <v>1590.99</v>
      </c>
      <c r="Q335" s="18">
        <v>237.5</v>
      </c>
      <c r="R335" s="19"/>
    </row>
    <row r="336" spans="1:18" ht="43.2" hidden="1" x14ac:dyDescent="0.3">
      <c r="A336" s="6" t="s">
        <v>1677</v>
      </c>
      <c r="B336" s="7" t="s">
        <v>1089</v>
      </c>
      <c r="C336" s="17" t="s">
        <v>1678</v>
      </c>
      <c r="D336" s="17"/>
      <c r="E336" s="8">
        <v>18082</v>
      </c>
      <c r="F336" s="9">
        <v>73</v>
      </c>
      <c r="G336" s="6" t="s">
        <v>1679</v>
      </c>
      <c r="H336" s="7" t="s">
        <v>39</v>
      </c>
      <c r="I336" s="6" t="s">
        <v>1680</v>
      </c>
      <c r="J336" s="7" t="s">
        <v>20</v>
      </c>
      <c r="K336" s="7" t="s">
        <v>26</v>
      </c>
      <c r="L336" s="6"/>
      <c r="M336" s="10">
        <v>5.5300000000000002E-2</v>
      </c>
      <c r="N336" s="6" t="s">
        <v>1681</v>
      </c>
      <c r="O336" s="11">
        <v>22700</v>
      </c>
      <c r="P336" s="11">
        <f t="shared" si="14"/>
        <v>20326.47</v>
      </c>
      <c r="Q336" s="18">
        <v>1450</v>
      </c>
      <c r="R336" s="19"/>
    </row>
    <row r="337" spans="1:19" ht="43.2" hidden="1" x14ac:dyDescent="0.3">
      <c r="A337" s="6" t="s">
        <v>1682</v>
      </c>
      <c r="B337" s="7" t="s">
        <v>60</v>
      </c>
      <c r="C337" s="17" t="s">
        <v>1678</v>
      </c>
      <c r="D337" s="17"/>
      <c r="E337" s="8">
        <v>18167</v>
      </c>
      <c r="F337" s="9">
        <v>73</v>
      </c>
      <c r="G337" s="6" t="s">
        <v>1683</v>
      </c>
      <c r="H337" s="7" t="s">
        <v>39</v>
      </c>
      <c r="I337" s="6" t="s">
        <v>243</v>
      </c>
      <c r="J337" s="7" t="s">
        <v>20</v>
      </c>
      <c r="K337" s="7" t="s">
        <v>26</v>
      </c>
      <c r="L337" s="6"/>
      <c r="M337" s="10">
        <v>5.5300000000000002E-2</v>
      </c>
      <c r="N337" s="6" t="s">
        <v>1684</v>
      </c>
      <c r="O337" s="11">
        <v>14400</v>
      </c>
      <c r="P337" s="11">
        <f t="shared" si="14"/>
        <v>13693.21</v>
      </c>
      <c r="Q337" s="18">
        <v>1800</v>
      </c>
      <c r="R337" s="19"/>
    </row>
    <row r="338" spans="1:19" ht="28.8" hidden="1" x14ac:dyDescent="0.3">
      <c r="A338" s="6" t="s">
        <v>1685</v>
      </c>
      <c r="B338" s="7" t="s">
        <v>1686</v>
      </c>
      <c r="C338" s="17" t="s">
        <v>1687</v>
      </c>
      <c r="D338" s="17"/>
      <c r="E338" s="8">
        <v>17594</v>
      </c>
      <c r="F338" s="9">
        <v>74</v>
      </c>
      <c r="G338" s="6" t="s">
        <v>1688</v>
      </c>
      <c r="H338" s="7" t="s">
        <v>39</v>
      </c>
      <c r="I338" s="6" t="s">
        <v>176</v>
      </c>
      <c r="J338" s="7" t="s">
        <v>20</v>
      </c>
      <c r="K338" s="7" t="s">
        <v>26</v>
      </c>
      <c r="L338" s="6"/>
      <c r="M338" s="10">
        <v>5.67E-2</v>
      </c>
      <c r="N338" s="6" t="s">
        <v>1689</v>
      </c>
      <c r="O338" s="11">
        <v>4800</v>
      </c>
      <c r="P338" s="11">
        <f t="shared" si="14"/>
        <v>4774.3999999999996</v>
      </c>
      <c r="Q338" s="18">
        <v>454.55</v>
      </c>
      <c r="R338" s="19"/>
    </row>
    <row r="339" spans="1:19" ht="43.2" hidden="1" x14ac:dyDescent="0.3">
      <c r="A339" s="6" t="s">
        <v>1690</v>
      </c>
      <c r="B339" s="7" t="s">
        <v>1245</v>
      </c>
      <c r="C339" s="17" t="s">
        <v>1687</v>
      </c>
      <c r="D339" s="17"/>
      <c r="E339" s="8">
        <v>17771</v>
      </c>
      <c r="F339" s="9">
        <v>74</v>
      </c>
      <c r="G339" s="6" t="s">
        <v>1691</v>
      </c>
      <c r="H339" s="7" t="s">
        <v>39</v>
      </c>
      <c r="I339" s="6" t="s">
        <v>728</v>
      </c>
      <c r="J339" s="7" t="s">
        <v>20</v>
      </c>
      <c r="K339" s="7" t="s">
        <v>26</v>
      </c>
      <c r="L339" s="6"/>
      <c r="M339" s="10">
        <v>5.67E-2</v>
      </c>
      <c r="N339" s="6" t="s">
        <v>1692</v>
      </c>
      <c r="O339" s="11">
        <v>28000</v>
      </c>
      <c r="P339" s="11">
        <f t="shared" si="14"/>
        <v>26266.07</v>
      </c>
      <c r="Q339" s="18">
        <v>3500</v>
      </c>
      <c r="R339" s="19"/>
    </row>
    <row r="340" spans="1:19" hidden="1" x14ac:dyDescent="0.3">
      <c r="A340" s="6" t="s">
        <v>1693</v>
      </c>
      <c r="B340" s="7" t="s">
        <v>1694</v>
      </c>
      <c r="C340" s="17" t="s">
        <v>1695</v>
      </c>
      <c r="D340" s="17"/>
      <c r="E340" s="7" t="s">
        <v>1696</v>
      </c>
      <c r="F340" s="9">
        <v>73</v>
      </c>
      <c r="G340" s="6" t="s">
        <v>1697</v>
      </c>
      <c r="H340" s="7" t="s">
        <v>25</v>
      </c>
      <c r="I340" s="6" t="s">
        <v>19</v>
      </c>
      <c r="J340" s="7" t="s">
        <v>20</v>
      </c>
      <c r="K340" s="7" t="s">
        <v>26</v>
      </c>
      <c r="L340" s="6"/>
      <c r="M340" s="10">
        <v>5.5300000000000002E-2</v>
      </c>
      <c r="N340" s="6" t="s">
        <v>1698</v>
      </c>
      <c r="O340" s="6" t="s">
        <v>19</v>
      </c>
      <c r="P340" s="11" t="e">
        <f t="shared" si="14"/>
        <v>#VALUE!</v>
      </c>
      <c r="Q340" s="19" t="s">
        <v>19</v>
      </c>
      <c r="R340" s="19"/>
    </row>
    <row r="341" spans="1:19" hidden="1" x14ac:dyDescent="0.3">
      <c r="A341" s="6" t="s">
        <v>1699</v>
      </c>
      <c r="B341" s="7" t="s">
        <v>1700</v>
      </c>
      <c r="C341" s="17" t="s">
        <v>1701</v>
      </c>
      <c r="D341" s="17"/>
      <c r="E341" s="8">
        <v>17490</v>
      </c>
      <c r="F341" s="9">
        <v>75</v>
      </c>
      <c r="G341" s="6" t="s">
        <v>1702</v>
      </c>
      <c r="H341" s="7" t="s">
        <v>25</v>
      </c>
      <c r="I341" s="6"/>
      <c r="J341" s="7" t="s">
        <v>20</v>
      </c>
      <c r="K341" s="7" t="s">
        <v>26</v>
      </c>
      <c r="L341" s="6"/>
      <c r="M341" s="10">
        <v>5.8200000000000002E-2</v>
      </c>
      <c r="N341" s="6" t="s">
        <v>1703</v>
      </c>
      <c r="O341" s="11">
        <v>22859.52</v>
      </c>
      <c r="P341" s="11">
        <f t="shared" si="14"/>
        <v>20002.080000000002</v>
      </c>
      <c r="Q341" s="18">
        <v>2857.44</v>
      </c>
      <c r="R341" s="19"/>
    </row>
    <row r="342" spans="1:19" hidden="1" x14ac:dyDescent="0.3">
      <c r="A342" s="6" t="s">
        <v>1704</v>
      </c>
      <c r="B342" s="7" t="s">
        <v>190</v>
      </c>
      <c r="C342" s="17" t="s">
        <v>1705</v>
      </c>
      <c r="D342" s="17"/>
      <c r="E342" s="8">
        <v>17286</v>
      </c>
      <c r="F342" s="9">
        <v>75</v>
      </c>
      <c r="G342" s="6" t="s">
        <v>1706</v>
      </c>
      <c r="H342" s="7" t="s">
        <v>25</v>
      </c>
      <c r="I342" s="6"/>
      <c r="J342" s="7" t="s">
        <v>20</v>
      </c>
      <c r="K342" s="7" t="s">
        <v>32</v>
      </c>
      <c r="L342" s="6"/>
      <c r="M342" s="10">
        <v>5.8200000000000002E-2</v>
      </c>
      <c r="N342" s="6" t="s">
        <v>1707</v>
      </c>
      <c r="O342" s="11">
        <v>41820.51</v>
      </c>
      <c r="P342" s="11">
        <f t="shared" si="14"/>
        <v>38335.47</v>
      </c>
      <c r="Q342" s="18">
        <v>41820.51</v>
      </c>
      <c r="R342" s="19"/>
    </row>
    <row r="343" spans="1:19" ht="43.2" x14ac:dyDescent="0.3">
      <c r="A343" s="6" t="s">
        <v>1708</v>
      </c>
      <c r="B343" s="7" t="s">
        <v>531</v>
      </c>
      <c r="C343" s="17" t="s">
        <v>1705</v>
      </c>
      <c r="D343" s="17"/>
      <c r="E343" s="8">
        <v>17769</v>
      </c>
      <c r="F343" s="9">
        <v>74</v>
      </c>
      <c r="G343" s="6" t="s">
        <v>1709</v>
      </c>
      <c r="H343" s="7" t="s">
        <v>39</v>
      </c>
      <c r="I343" s="6" t="s">
        <v>40</v>
      </c>
      <c r="J343" s="7" t="s">
        <v>41</v>
      </c>
      <c r="K343" s="7" t="s">
        <v>26</v>
      </c>
      <c r="L343" s="9">
        <v>70</v>
      </c>
      <c r="M343" s="10">
        <v>0.05</v>
      </c>
      <c r="N343" s="6" t="s">
        <v>1710</v>
      </c>
      <c r="O343" s="11">
        <v>24000</v>
      </c>
      <c r="P343" s="11">
        <f t="shared" si="14"/>
        <v>22731.86</v>
      </c>
      <c r="Q343" s="18">
        <v>3000</v>
      </c>
      <c r="R343" s="19"/>
      <c r="S343" s="2" t="e">
        <f>IF(P351&lt;O351,"CATCHUP","NONE")</f>
        <v>#VALUE!</v>
      </c>
    </row>
    <row r="344" spans="1:19" ht="28.8" hidden="1" x14ac:dyDescent="0.3">
      <c r="A344" s="6" t="s">
        <v>1711</v>
      </c>
      <c r="B344" s="7" t="s">
        <v>1712</v>
      </c>
      <c r="C344" s="17" t="s">
        <v>1713</v>
      </c>
      <c r="D344" s="17"/>
      <c r="E344" s="8">
        <v>17304</v>
      </c>
      <c r="F344" s="9">
        <v>75</v>
      </c>
      <c r="G344" s="6" t="s">
        <v>1715</v>
      </c>
      <c r="H344" s="7" t="s">
        <v>39</v>
      </c>
      <c r="I344" s="6" t="s">
        <v>1716</v>
      </c>
      <c r="J344" s="7" t="s">
        <v>20</v>
      </c>
      <c r="K344" s="7" t="s">
        <v>26</v>
      </c>
      <c r="L344" s="6"/>
      <c r="M344" s="10">
        <v>5.8200000000000002E-2</v>
      </c>
      <c r="N344" s="6" t="s">
        <v>1717</v>
      </c>
      <c r="O344" s="11">
        <v>1280</v>
      </c>
      <c r="P344" s="11">
        <f t="shared" si="14"/>
        <v>1229.6400000000001</v>
      </c>
      <c r="Q344" s="18">
        <v>160</v>
      </c>
      <c r="R344" s="19"/>
    </row>
    <row r="345" spans="1:19" hidden="1" x14ac:dyDescent="0.3">
      <c r="A345" s="6" t="s">
        <v>1718</v>
      </c>
      <c r="B345" s="7" t="s">
        <v>830</v>
      </c>
      <c r="C345" s="17" t="s">
        <v>1719</v>
      </c>
      <c r="D345" s="17"/>
      <c r="E345" s="8">
        <v>18341</v>
      </c>
      <c r="F345" s="9">
        <v>72</v>
      </c>
      <c r="G345" s="6" t="s">
        <v>1720</v>
      </c>
      <c r="H345" s="7" t="s">
        <v>25</v>
      </c>
      <c r="I345" s="6"/>
      <c r="J345" s="7" t="s">
        <v>20</v>
      </c>
      <c r="K345" s="7" t="s">
        <v>26</v>
      </c>
      <c r="L345" s="6"/>
      <c r="M345" s="10">
        <v>5.3999999999999999E-2</v>
      </c>
      <c r="N345" s="6" t="s">
        <v>1721</v>
      </c>
      <c r="O345" s="11">
        <v>23667.52</v>
      </c>
      <c r="P345" s="11">
        <f t="shared" si="14"/>
        <v>20709.080000000002</v>
      </c>
      <c r="Q345" s="18">
        <v>2958.44</v>
      </c>
      <c r="R345" s="19"/>
    </row>
    <row r="346" spans="1:19" hidden="1" x14ac:dyDescent="0.3">
      <c r="A346" s="6" t="s">
        <v>1722</v>
      </c>
      <c r="B346" s="7" t="s">
        <v>1723</v>
      </c>
      <c r="C346" s="17" t="s">
        <v>1724</v>
      </c>
      <c r="D346" s="17"/>
      <c r="E346" s="7" t="s">
        <v>510</v>
      </c>
      <c r="F346" s="9">
        <v>72</v>
      </c>
      <c r="G346" s="6" t="s">
        <v>1725</v>
      </c>
      <c r="H346" s="7" t="s">
        <v>25</v>
      </c>
      <c r="I346" s="6" t="s">
        <v>19</v>
      </c>
      <c r="J346" s="7" t="s">
        <v>20</v>
      </c>
      <c r="K346" s="7" t="s">
        <v>32</v>
      </c>
      <c r="L346" s="6"/>
      <c r="M346" s="10">
        <v>5.3999999999999999E-2</v>
      </c>
      <c r="N346" s="6" t="s">
        <v>1726</v>
      </c>
      <c r="O346" s="6" t="s">
        <v>19</v>
      </c>
      <c r="P346" s="11" t="e">
        <f t="shared" si="14"/>
        <v>#VALUE!</v>
      </c>
      <c r="Q346" s="19" t="s">
        <v>19</v>
      </c>
      <c r="R346" s="19"/>
    </row>
    <row r="347" spans="1:19" hidden="1" x14ac:dyDescent="0.3">
      <c r="A347" s="6" t="s">
        <v>1727</v>
      </c>
      <c r="B347" s="7" t="s">
        <v>195</v>
      </c>
      <c r="C347" s="17" t="s">
        <v>1728</v>
      </c>
      <c r="D347" s="17"/>
      <c r="E347" s="7" t="s">
        <v>1729</v>
      </c>
      <c r="F347" s="9">
        <v>77</v>
      </c>
      <c r="G347" s="6" t="s">
        <v>1730</v>
      </c>
      <c r="H347" s="7" t="s">
        <v>25</v>
      </c>
      <c r="I347" s="6" t="s">
        <v>19</v>
      </c>
      <c r="J347" s="7" t="s">
        <v>20</v>
      </c>
      <c r="K347" s="7" t="s">
        <v>32</v>
      </c>
      <c r="L347" s="6"/>
      <c r="M347" s="10">
        <v>6.1699999999999998E-2</v>
      </c>
      <c r="N347" s="6" t="s">
        <v>1731</v>
      </c>
      <c r="O347" s="6" t="s">
        <v>19</v>
      </c>
      <c r="P347" s="11" t="e">
        <f t="shared" si="14"/>
        <v>#VALUE!</v>
      </c>
      <c r="Q347" s="19" t="s">
        <v>19</v>
      </c>
      <c r="R347" s="19"/>
    </row>
    <row r="348" spans="1:19" ht="28.8" hidden="1" x14ac:dyDescent="0.3">
      <c r="A348" s="6" t="s">
        <v>1732</v>
      </c>
      <c r="B348" s="7" t="s">
        <v>1125</v>
      </c>
      <c r="C348" s="17" t="s">
        <v>1733</v>
      </c>
      <c r="D348" s="17"/>
      <c r="E348" s="8">
        <v>17961</v>
      </c>
      <c r="F348" s="9">
        <v>73</v>
      </c>
      <c r="G348" s="6" t="s">
        <v>1734</v>
      </c>
      <c r="H348" s="7" t="s">
        <v>39</v>
      </c>
      <c r="I348" s="6" t="s">
        <v>681</v>
      </c>
      <c r="J348" s="7" t="s">
        <v>20</v>
      </c>
      <c r="K348" s="7" t="s">
        <v>26</v>
      </c>
      <c r="L348" s="6"/>
      <c r="M348" s="10">
        <v>5.5300000000000002E-2</v>
      </c>
      <c r="N348" s="6" t="s">
        <v>1735</v>
      </c>
      <c r="O348" s="11">
        <v>5600</v>
      </c>
      <c r="P348" s="11">
        <f t="shared" si="14"/>
        <v>4944.46</v>
      </c>
      <c r="Q348" s="18">
        <v>700</v>
      </c>
      <c r="R348" s="19"/>
    </row>
    <row r="349" spans="1:19" ht="28.8" hidden="1" x14ac:dyDescent="0.3">
      <c r="A349" s="6" t="s">
        <v>1736</v>
      </c>
      <c r="B349" s="7" t="s">
        <v>1511</v>
      </c>
      <c r="C349" s="17" t="s">
        <v>1737</v>
      </c>
      <c r="D349" s="17"/>
      <c r="E349" s="8">
        <v>17734</v>
      </c>
      <c r="F349" s="9">
        <v>74</v>
      </c>
      <c r="G349" s="6" t="s">
        <v>1739</v>
      </c>
      <c r="H349" s="7" t="s">
        <v>39</v>
      </c>
      <c r="I349" s="6" t="s">
        <v>801</v>
      </c>
      <c r="J349" s="7" t="s">
        <v>20</v>
      </c>
      <c r="K349" s="7" t="s">
        <v>26</v>
      </c>
      <c r="L349" s="6"/>
      <c r="M349" s="10">
        <v>5.67E-2</v>
      </c>
      <c r="N349" s="6" t="s">
        <v>1740</v>
      </c>
      <c r="O349" s="11">
        <v>1000</v>
      </c>
      <c r="P349" s="11">
        <f t="shared" si="14"/>
        <v>920.96</v>
      </c>
      <c r="Q349" s="18">
        <v>125</v>
      </c>
      <c r="R349" s="19"/>
    </row>
    <row r="350" spans="1:19" ht="28.8" hidden="1" x14ac:dyDescent="0.3">
      <c r="A350" s="6" t="s">
        <v>1741</v>
      </c>
      <c r="B350" s="7" t="s">
        <v>488</v>
      </c>
      <c r="C350" s="17" t="s">
        <v>1742</v>
      </c>
      <c r="D350" s="17"/>
      <c r="E350" s="8">
        <v>18470</v>
      </c>
      <c r="F350" s="9">
        <v>72</v>
      </c>
      <c r="G350" s="6" t="s">
        <v>1743</v>
      </c>
      <c r="H350" s="7" t="s">
        <v>39</v>
      </c>
      <c r="I350" s="6" t="s">
        <v>941</v>
      </c>
      <c r="J350" s="7" t="s">
        <v>20</v>
      </c>
      <c r="K350" s="7" t="s">
        <v>26</v>
      </c>
      <c r="L350" s="6"/>
      <c r="M350" s="10">
        <v>5.3999999999999999E-2</v>
      </c>
      <c r="N350" s="6" t="s">
        <v>1744</v>
      </c>
      <c r="O350" s="11">
        <v>2400</v>
      </c>
      <c r="P350" s="11">
        <f t="shared" si="14"/>
        <v>2132.88</v>
      </c>
      <c r="Q350" s="18">
        <v>300</v>
      </c>
      <c r="R350" s="19"/>
    </row>
    <row r="351" spans="1:19" hidden="1" x14ac:dyDescent="0.3">
      <c r="A351" s="6" t="s">
        <v>1745</v>
      </c>
      <c r="B351" s="7" t="s">
        <v>1746</v>
      </c>
      <c r="C351" s="17" t="s">
        <v>1747</v>
      </c>
      <c r="D351" s="17"/>
      <c r="E351" s="7" t="s">
        <v>1748</v>
      </c>
      <c r="F351" s="9">
        <v>72</v>
      </c>
      <c r="G351" s="6" t="s">
        <v>1749</v>
      </c>
      <c r="H351" s="7" t="s">
        <v>25</v>
      </c>
      <c r="I351" s="6" t="s">
        <v>19</v>
      </c>
      <c r="J351" s="7" t="s">
        <v>20</v>
      </c>
      <c r="K351" s="7" t="s">
        <v>32</v>
      </c>
      <c r="L351" s="6"/>
      <c r="M351" s="10">
        <v>5.3999999999999999E-2</v>
      </c>
      <c r="N351" s="6" t="s">
        <v>1750</v>
      </c>
      <c r="O351" s="6" t="s">
        <v>19</v>
      </c>
      <c r="P351" s="11" t="e">
        <f t="shared" si="14"/>
        <v>#VALUE!</v>
      </c>
      <c r="Q351" s="19" t="s">
        <v>19</v>
      </c>
      <c r="R351" s="19"/>
    </row>
    <row r="352" spans="1:19" ht="43.2" hidden="1" x14ac:dyDescent="0.3">
      <c r="A352" s="6" t="s">
        <v>1751</v>
      </c>
      <c r="B352" s="7" t="s">
        <v>1752</v>
      </c>
      <c r="C352" s="17" t="s">
        <v>1753</v>
      </c>
      <c r="D352" s="17"/>
      <c r="E352" s="8">
        <v>15930</v>
      </c>
      <c r="F352" s="9">
        <v>79</v>
      </c>
      <c r="G352" s="6" t="s">
        <v>1755</v>
      </c>
      <c r="H352" s="7" t="s">
        <v>39</v>
      </c>
      <c r="I352" s="6" t="s">
        <v>132</v>
      </c>
      <c r="J352" s="7" t="s">
        <v>20</v>
      </c>
      <c r="K352" s="7" t="s">
        <v>26</v>
      </c>
      <c r="L352" s="6"/>
      <c r="M352" s="10">
        <v>6.5799999999999997E-2</v>
      </c>
      <c r="N352" s="6" t="s">
        <v>1756</v>
      </c>
      <c r="O352" s="11">
        <v>12000</v>
      </c>
      <c r="P352" s="11">
        <f t="shared" si="14"/>
        <v>11902.63</v>
      </c>
      <c r="Q352" s="18">
        <v>1500</v>
      </c>
      <c r="R352" s="19"/>
    </row>
    <row r="353" spans="1:19" ht="28.8" hidden="1" x14ac:dyDescent="0.3">
      <c r="A353" s="6" t="s">
        <v>1757</v>
      </c>
      <c r="B353" s="7" t="s">
        <v>60</v>
      </c>
      <c r="C353" s="17" t="s">
        <v>1758</v>
      </c>
      <c r="D353" s="17"/>
      <c r="E353" s="8">
        <v>15678</v>
      </c>
      <c r="F353" s="9">
        <v>80</v>
      </c>
      <c r="G353" s="6" t="s">
        <v>1759</v>
      </c>
      <c r="H353" s="7" t="s">
        <v>39</v>
      </c>
      <c r="I353" s="6" t="s">
        <v>67</v>
      </c>
      <c r="J353" s="7" t="s">
        <v>20</v>
      </c>
      <c r="K353" s="7" t="s">
        <v>26</v>
      </c>
      <c r="L353" s="6"/>
      <c r="M353" s="10">
        <v>6.8199999999999997E-2</v>
      </c>
      <c r="N353" s="6" t="s">
        <v>1760</v>
      </c>
      <c r="O353" s="11">
        <v>6400</v>
      </c>
      <c r="P353" s="11">
        <f t="shared" si="14"/>
        <v>5564.76</v>
      </c>
      <c r="Q353" s="18">
        <v>800</v>
      </c>
      <c r="R353" s="19"/>
    </row>
    <row r="354" spans="1:19" ht="43.2" x14ac:dyDescent="0.3">
      <c r="A354" s="6" t="s">
        <v>1761</v>
      </c>
      <c r="B354" s="7" t="s">
        <v>1762</v>
      </c>
      <c r="C354" s="17" t="s">
        <v>1763</v>
      </c>
      <c r="D354" s="17"/>
      <c r="E354" s="8">
        <v>17705</v>
      </c>
      <c r="F354" s="9">
        <v>74</v>
      </c>
      <c r="G354" s="6" t="s">
        <v>1764</v>
      </c>
      <c r="H354" s="7" t="s">
        <v>39</v>
      </c>
      <c r="I354" s="6" t="s">
        <v>415</v>
      </c>
      <c r="J354" s="7" t="s">
        <v>41</v>
      </c>
      <c r="K354" s="7" t="s">
        <v>26</v>
      </c>
      <c r="L354" s="9">
        <v>71</v>
      </c>
      <c r="M354" s="10">
        <v>5.28E-2</v>
      </c>
      <c r="N354" s="6" t="s">
        <v>1765</v>
      </c>
      <c r="O354" s="11">
        <v>16800</v>
      </c>
      <c r="P354" s="11">
        <f t="shared" si="14"/>
        <v>15177.869999999999</v>
      </c>
      <c r="Q354" s="18">
        <v>2100</v>
      </c>
      <c r="R354" s="19"/>
      <c r="S354" s="2" t="e">
        <f t="shared" ref="S354:S355" si="15">IF(P362&lt;O362,"CATCHUP","NONE")</f>
        <v>#VALUE!</v>
      </c>
    </row>
    <row r="355" spans="1:19" ht="43.2" x14ac:dyDescent="0.3">
      <c r="A355" s="6" t="s">
        <v>1766</v>
      </c>
      <c r="B355" s="7" t="s">
        <v>830</v>
      </c>
      <c r="C355" s="17" t="s">
        <v>1767</v>
      </c>
      <c r="D355" s="17"/>
      <c r="E355" s="8">
        <v>17636</v>
      </c>
      <c r="F355" s="9">
        <v>74</v>
      </c>
      <c r="G355" s="6" t="s">
        <v>1768</v>
      </c>
      <c r="H355" s="7" t="s">
        <v>39</v>
      </c>
      <c r="I355" s="6" t="s">
        <v>1769</v>
      </c>
      <c r="J355" s="7" t="s">
        <v>41</v>
      </c>
      <c r="K355" s="7" t="s">
        <v>32</v>
      </c>
      <c r="L355" s="9">
        <v>72</v>
      </c>
      <c r="M355" s="10">
        <v>5.3999999999999999E-2</v>
      </c>
      <c r="N355" s="6" t="s">
        <v>1770</v>
      </c>
      <c r="O355" s="11">
        <v>7200</v>
      </c>
      <c r="P355" s="11">
        <f t="shared" si="14"/>
        <v>6731.74</v>
      </c>
      <c r="Q355" s="18">
        <v>7200</v>
      </c>
      <c r="R355" s="19"/>
      <c r="S355" s="2" t="str">
        <f t="shared" si="15"/>
        <v>CATCHUP</v>
      </c>
    </row>
    <row r="356" spans="1:19" ht="28.8" hidden="1" x14ac:dyDescent="0.3">
      <c r="A356" s="6" t="s">
        <v>1771</v>
      </c>
      <c r="B356" s="7" t="s">
        <v>1772</v>
      </c>
      <c r="C356" s="17" t="s">
        <v>1773</v>
      </c>
      <c r="D356" s="17"/>
      <c r="E356" s="8">
        <v>18048</v>
      </c>
      <c r="F356" s="9">
        <v>73</v>
      </c>
      <c r="G356" s="6" t="s">
        <v>1774</v>
      </c>
      <c r="H356" s="7" t="s">
        <v>39</v>
      </c>
      <c r="I356" s="6" t="s">
        <v>67</v>
      </c>
      <c r="J356" s="7" t="s">
        <v>20</v>
      </c>
      <c r="K356" s="7" t="s">
        <v>26</v>
      </c>
      <c r="L356" s="6"/>
      <c r="M356" s="10">
        <v>5.5300000000000002E-2</v>
      </c>
      <c r="N356" s="6" t="s">
        <v>1775</v>
      </c>
      <c r="O356" s="11">
        <v>7600</v>
      </c>
      <c r="P356" s="11">
        <f t="shared" si="14"/>
        <v>7078.5599999999995</v>
      </c>
      <c r="Q356" s="18">
        <v>800</v>
      </c>
      <c r="R356" s="19"/>
    </row>
    <row r="357" spans="1:19" ht="28.8" hidden="1" x14ac:dyDescent="0.3">
      <c r="A357" s="6" t="s">
        <v>1776</v>
      </c>
      <c r="B357" s="7" t="s">
        <v>1777</v>
      </c>
      <c r="C357" s="17" t="s">
        <v>1778</v>
      </c>
      <c r="D357" s="17"/>
      <c r="E357" s="8">
        <v>16851</v>
      </c>
      <c r="F357" s="9">
        <v>76</v>
      </c>
      <c r="G357" s="6" t="s">
        <v>1779</v>
      </c>
      <c r="H357" s="7" t="s">
        <v>39</v>
      </c>
      <c r="I357" s="6" t="s">
        <v>176</v>
      </c>
      <c r="J357" s="7" t="s">
        <v>20</v>
      </c>
      <c r="K357" s="7" t="s">
        <v>26</v>
      </c>
      <c r="L357" s="6"/>
      <c r="M357" s="10">
        <v>5.9799999999999999E-2</v>
      </c>
      <c r="N357" s="6" t="s">
        <v>1780</v>
      </c>
      <c r="O357" s="11">
        <v>4800</v>
      </c>
      <c r="P357" s="11">
        <f t="shared" si="14"/>
        <v>4687.51</v>
      </c>
      <c r="Q357" s="18">
        <v>600</v>
      </c>
      <c r="R357" s="19"/>
    </row>
    <row r="358" spans="1:19" hidden="1" x14ac:dyDescent="0.3">
      <c r="A358" s="6" t="s">
        <v>1781</v>
      </c>
      <c r="B358" s="7" t="s">
        <v>1782</v>
      </c>
      <c r="C358" s="17" t="s">
        <v>1783</v>
      </c>
      <c r="D358" s="17"/>
      <c r="E358" s="8">
        <v>17417</v>
      </c>
      <c r="F358" s="9">
        <v>75</v>
      </c>
      <c r="G358" s="6" t="s">
        <v>1784</v>
      </c>
      <c r="H358" s="7" t="s">
        <v>25</v>
      </c>
      <c r="I358" s="6"/>
      <c r="J358" s="7" t="s">
        <v>20</v>
      </c>
      <c r="K358" s="7" t="s">
        <v>26</v>
      </c>
      <c r="L358" s="6"/>
      <c r="M358" s="10">
        <v>5.8200000000000002E-2</v>
      </c>
      <c r="N358" s="6" t="s">
        <v>1785</v>
      </c>
      <c r="O358" s="11">
        <v>20000</v>
      </c>
      <c r="P358" s="11">
        <f t="shared" si="14"/>
        <v>18522.599999999999</v>
      </c>
      <c r="Q358" s="18">
        <v>20000</v>
      </c>
      <c r="R358" s="19"/>
    </row>
    <row r="359" spans="1:19" ht="28.8" x14ac:dyDescent="0.3">
      <c r="A359" s="6" t="s">
        <v>1786</v>
      </c>
      <c r="B359" s="7" t="s">
        <v>1787</v>
      </c>
      <c r="C359" s="17" t="s">
        <v>1788</v>
      </c>
      <c r="D359" s="17"/>
      <c r="E359" s="8">
        <v>17110</v>
      </c>
      <c r="F359" s="9">
        <v>76</v>
      </c>
      <c r="G359" s="6" t="s">
        <v>1789</v>
      </c>
      <c r="H359" s="7" t="s">
        <v>39</v>
      </c>
      <c r="I359" s="6" t="s">
        <v>1790</v>
      </c>
      <c r="J359" s="7" t="s">
        <v>41</v>
      </c>
      <c r="K359" s="7" t="s">
        <v>26</v>
      </c>
      <c r="L359" s="9">
        <v>76</v>
      </c>
      <c r="M359" s="10">
        <v>5.9799999999999999E-2</v>
      </c>
      <c r="N359" s="6" t="s">
        <v>1791</v>
      </c>
      <c r="O359" s="11">
        <v>880</v>
      </c>
      <c r="P359" s="11">
        <f t="shared" si="14"/>
        <v>855.24</v>
      </c>
      <c r="Q359" s="18">
        <v>110</v>
      </c>
      <c r="R359" s="19"/>
      <c r="S359" s="2" t="str">
        <f t="shared" ref="S359:S360" si="16">IF(P367&lt;O367,"CATCHUP","NONE")</f>
        <v>CATCHUP</v>
      </c>
    </row>
    <row r="360" spans="1:19" ht="43.2" x14ac:dyDescent="0.3">
      <c r="A360" s="6" t="s">
        <v>1792</v>
      </c>
      <c r="B360" s="7" t="s">
        <v>1793</v>
      </c>
      <c r="C360" s="17" t="s">
        <v>1794</v>
      </c>
      <c r="D360" s="17"/>
      <c r="E360" s="8">
        <v>18534</v>
      </c>
      <c r="F360" s="9">
        <v>72</v>
      </c>
      <c r="G360" s="6" t="s">
        <v>1795</v>
      </c>
      <c r="H360" s="7" t="s">
        <v>39</v>
      </c>
      <c r="I360" s="6" t="s">
        <v>1796</v>
      </c>
      <c r="J360" s="7" t="s">
        <v>41</v>
      </c>
      <c r="K360" s="7" t="s">
        <v>26</v>
      </c>
      <c r="L360" s="9">
        <v>66</v>
      </c>
      <c r="M360" s="10">
        <v>4.1700000000000001E-2</v>
      </c>
      <c r="N360" s="6" t="s">
        <v>1797</v>
      </c>
      <c r="O360" s="11">
        <v>29200</v>
      </c>
      <c r="P360" s="11">
        <f t="shared" si="14"/>
        <v>25677.38</v>
      </c>
      <c r="Q360" s="18">
        <v>3650</v>
      </c>
      <c r="R360" s="19"/>
      <c r="S360" s="2" t="e">
        <f t="shared" si="16"/>
        <v>#VALUE!</v>
      </c>
    </row>
    <row r="361" spans="1:19" ht="43.2" hidden="1" x14ac:dyDescent="0.3">
      <c r="A361" s="6" t="s">
        <v>1798</v>
      </c>
      <c r="B361" s="7" t="s">
        <v>1799</v>
      </c>
      <c r="C361" s="17" t="s">
        <v>1800</v>
      </c>
      <c r="D361" s="17"/>
      <c r="E361" s="8">
        <v>17099</v>
      </c>
      <c r="F361" s="9">
        <v>76</v>
      </c>
      <c r="G361" s="6" t="s">
        <v>1801</v>
      </c>
      <c r="H361" s="7" t="s">
        <v>39</v>
      </c>
      <c r="I361" s="6" t="s">
        <v>745</v>
      </c>
      <c r="J361" s="7" t="s">
        <v>20</v>
      </c>
      <c r="K361" s="7" t="s">
        <v>26</v>
      </c>
      <c r="L361" s="6"/>
      <c r="M361" s="10">
        <v>5.9799999999999999E-2</v>
      </c>
      <c r="N361" s="6" t="s">
        <v>1802</v>
      </c>
      <c r="O361" s="11">
        <v>11200</v>
      </c>
      <c r="P361" s="11">
        <f t="shared" si="14"/>
        <v>10116.1</v>
      </c>
      <c r="Q361" s="18">
        <v>1400</v>
      </c>
      <c r="R361" s="19"/>
    </row>
    <row r="362" spans="1:19" hidden="1" x14ac:dyDescent="0.3">
      <c r="A362" s="6" t="s">
        <v>1803</v>
      </c>
      <c r="B362" s="7" t="s">
        <v>1804</v>
      </c>
      <c r="C362" s="17" t="s">
        <v>1800</v>
      </c>
      <c r="D362" s="17"/>
      <c r="E362" s="7" t="s">
        <v>1805</v>
      </c>
      <c r="F362" s="9">
        <v>77</v>
      </c>
      <c r="G362" s="6" t="s">
        <v>1806</v>
      </c>
      <c r="H362" s="7" t="s">
        <v>25</v>
      </c>
      <c r="I362" s="6" t="s">
        <v>19</v>
      </c>
      <c r="J362" s="7" t="s">
        <v>20</v>
      </c>
      <c r="K362" s="7" t="s">
        <v>32</v>
      </c>
      <c r="L362" s="6"/>
      <c r="M362" s="10">
        <v>6.1699999999999998E-2</v>
      </c>
      <c r="N362" s="6" t="s">
        <v>1807</v>
      </c>
      <c r="O362" s="6" t="s">
        <v>19</v>
      </c>
      <c r="P362" s="11" t="e">
        <f t="shared" si="14"/>
        <v>#VALUE!</v>
      </c>
      <c r="Q362" s="19" t="s">
        <v>19</v>
      </c>
      <c r="R362" s="19"/>
    </row>
    <row r="363" spans="1:19" hidden="1" x14ac:dyDescent="0.3">
      <c r="A363" s="6" t="s">
        <v>1808</v>
      </c>
      <c r="B363" s="7" t="s">
        <v>661</v>
      </c>
      <c r="C363" s="17" t="s">
        <v>1809</v>
      </c>
      <c r="D363" s="17"/>
      <c r="E363" s="8">
        <v>18521</v>
      </c>
      <c r="F363" s="9">
        <v>72</v>
      </c>
      <c r="G363" s="6" t="s">
        <v>1811</v>
      </c>
      <c r="H363" s="7" t="s">
        <v>25</v>
      </c>
      <c r="I363" s="6"/>
      <c r="J363" s="7" t="s">
        <v>20</v>
      </c>
      <c r="K363" s="7" t="s">
        <v>26</v>
      </c>
      <c r="L363" s="6"/>
      <c r="M363" s="10">
        <v>5.3999999999999999E-2</v>
      </c>
      <c r="N363" s="6" t="s">
        <v>1812</v>
      </c>
      <c r="O363" s="11">
        <v>40000</v>
      </c>
      <c r="P363" s="11">
        <f t="shared" si="14"/>
        <v>37571.49</v>
      </c>
      <c r="Q363" s="18">
        <v>40000</v>
      </c>
      <c r="R363" s="19"/>
    </row>
    <row r="364" spans="1:19" ht="43.2" hidden="1" x14ac:dyDescent="0.3">
      <c r="A364" s="6" t="s">
        <v>1813</v>
      </c>
      <c r="B364" s="7" t="s">
        <v>235</v>
      </c>
      <c r="C364" s="17" t="s">
        <v>1814</v>
      </c>
      <c r="D364" s="17"/>
      <c r="E364" s="8">
        <v>18046</v>
      </c>
      <c r="F364" s="9">
        <v>73</v>
      </c>
      <c r="G364" s="6" t="s">
        <v>1815</v>
      </c>
      <c r="H364" s="7" t="s">
        <v>39</v>
      </c>
      <c r="I364" s="6" t="s">
        <v>728</v>
      </c>
      <c r="J364" s="7" t="s">
        <v>20</v>
      </c>
      <c r="K364" s="7" t="s">
        <v>26</v>
      </c>
      <c r="L364" s="6"/>
      <c r="M364" s="10">
        <v>5.5300000000000002E-2</v>
      </c>
      <c r="N364" s="6" t="s">
        <v>1816</v>
      </c>
      <c r="O364" s="11">
        <v>28000</v>
      </c>
      <c r="P364" s="11">
        <f t="shared" si="14"/>
        <v>24710.28</v>
      </c>
      <c r="Q364" s="18">
        <v>3500</v>
      </c>
      <c r="R364" s="19"/>
    </row>
    <row r="365" spans="1:19" ht="28.8" hidden="1" x14ac:dyDescent="0.3">
      <c r="A365" s="6" t="s">
        <v>1817</v>
      </c>
      <c r="B365" s="7" t="s">
        <v>924</v>
      </c>
      <c r="C365" s="17" t="s">
        <v>1818</v>
      </c>
      <c r="D365" s="17"/>
      <c r="E365" s="8">
        <v>16650</v>
      </c>
      <c r="F365" s="9">
        <v>77</v>
      </c>
      <c r="G365" s="6" t="s">
        <v>1819</v>
      </c>
      <c r="H365" s="7" t="s">
        <v>39</v>
      </c>
      <c r="I365" s="6" t="s">
        <v>1562</v>
      </c>
      <c r="J365" s="7" t="s">
        <v>20</v>
      </c>
      <c r="K365" s="7" t="s">
        <v>26</v>
      </c>
      <c r="L365" s="6"/>
      <c r="M365" s="10">
        <v>6.1699999999999998E-2</v>
      </c>
      <c r="N365" s="6" t="s">
        <v>1820</v>
      </c>
      <c r="O365" s="11">
        <v>5200</v>
      </c>
      <c r="P365" s="11">
        <f t="shared" si="14"/>
        <v>4643.87</v>
      </c>
      <c r="Q365" s="18">
        <v>650</v>
      </c>
      <c r="R365" s="19"/>
    </row>
    <row r="366" spans="1:19" x14ac:dyDescent="0.3">
      <c r="A366" s="6" t="s">
        <v>1821</v>
      </c>
      <c r="B366" s="7" t="s">
        <v>1822</v>
      </c>
      <c r="C366" s="17" t="s">
        <v>1823</v>
      </c>
      <c r="D366" s="17"/>
      <c r="E366" s="8">
        <v>18237</v>
      </c>
      <c r="F366" s="9">
        <v>73</v>
      </c>
      <c r="G366" s="6" t="s">
        <v>1824</v>
      </c>
      <c r="H366" s="7" t="s">
        <v>25</v>
      </c>
      <c r="I366" s="6"/>
      <c r="J366" s="7" t="s">
        <v>41</v>
      </c>
      <c r="K366" s="7" t="s">
        <v>32</v>
      </c>
      <c r="L366" s="9">
        <v>71</v>
      </c>
      <c r="M366" s="10">
        <v>5.28E-2</v>
      </c>
      <c r="N366" s="6" t="s">
        <v>1825</v>
      </c>
      <c r="O366" s="11">
        <v>638.83000000000004</v>
      </c>
      <c r="P366" s="11">
        <f t="shared" si="14"/>
        <v>585.59</v>
      </c>
      <c r="Q366" s="18">
        <v>638.83000000000004</v>
      </c>
      <c r="R366" s="19"/>
      <c r="S366" s="2" t="str">
        <f>IF(P374&lt;O374,"CATCHUP","NONE")</f>
        <v>CATCHUP</v>
      </c>
    </row>
    <row r="367" spans="1:19" ht="43.2" hidden="1" x14ac:dyDescent="0.3">
      <c r="A367" s="6" t="s">
        <v>1826</v>
      </c>
      <c r="B367" s="7" t="s">
        <v>1565</v>
      </c>
      <c r="C367" s="17" t="s">
        <v>1827</v>
      </c>
      <c r="D367" s="17"/>
      <c r="E367" s="8">
        <v>16681</v>
      </c>
      <c r="F367" s="9">
        <v>77</v>
      </c>
      <c r="G367" s="6" t="s">
        <v>1828</v>
      </c>
      <c r="H367" s="7" t="s">
        <v>39</v>
      </c>
      <c r="I367" s="6" t="s">
        <v>538</v>
      </c>
      <c r="J367" s="7" t="s">
        <v>20</v>
      </c>
      <c r="K367" s="7" t="s">
        <v>26</v>
      </c>
      <c r="L367" s="6"/>
      <c r="M367" s="10">
        <v>6.1699999999999998E-2</v>
      </c>
      <c r="N367" s="6" t="s">
        <v>1829</v>
      </c>
      <c r="O367" s="11">
        <v>12800</v>
      </c>
      <c r="P367" s="11">
        <f t="shared" si="14"/>
        <v>11424.45</v>
      </c>
      <c r="Q367" s="18">
        <v>1600</v>
      </c>
      <c r="R367" s="19"/>
    </row>
    <row r="368" spans="1:19" hidden="1" x14ac:dyDescent="0.3">
      <c r="A368" s="6" t="s">
        <v>1830</v>
      </c>
      <c r="B368" s="7" t="s">
        <v>1782</v>
      </c>
      <c r="C368" s="17" t="s">
        <v>1831</v>
      </c>
      <c r="D368" s="17"/>
      <c r="E368" s="7" t="s">
        <v>1832</v>
      </c>
      <c r="F368" s="9">
        <v>82</v>
      </c>
      <c r="G368" s="6" t="s">
        <v>1833</v>
      </c>
      <c r="H368" s="7" t="s">
        <v>25</v>
      </c>
      <c r="I368" s="6" t="s">
        <v>19</v>
      </c>
      <c r="J368" s="7" t="s">
        <v>20</v>
      </c>
      <c r="K368" s="7" t="s">
        <v>26</v>
      </c>
      <c r="L368" s="6"/>
      <c r="M368" s="10">
        <v>7.3800000000000004E-2</v>
      </c>
      <c r="N368" s="6" t="s">
        <v>1834</v>
      </c>
      <c r="O368" s="6" t="s">
        <v>19</v>
      </c>
      <c r="P368" s="11" t="e">
        <f t="shared" si="14"/>
        <v>#VALUE!</v>
      </c>
      <c r="Q368" s="19" t="s">
        <v>19</v>
      </c>
      <c r="R368" s="19"/>
    </row>
    <row r="369" spans="1:19" ht="43.2" hidden="1" x14ac:dyDescent="0.3">
      <c r="A369" s="6" t="s">
        <v>1835</v>
      </c>
      <c r="B369" s="7" t="s">
        <v>1836</v>
      </c>
      <c r="C369" s="17" t="s">
        <v>1837</v>
      </c>
      <c r="D369" s="17"/>
      <c r="E369" s="8">
        <v>17724</v>
      </c>
      <c r="F369" s="9">
        <v>74</v>
      </c>
      <c r="G369" s="6" t="s">
        <v>1838</v>
      </c>
      <c r="H369" s="7" t="s">
        <v>39</v>
      </c>
      <c r="I369" s="6" t="s">
        <v>47</v>
      </c>
      <c r="J369" s="7" t="s">
        <v>20</v>
      </c>
      <c r="K369" s="7" t="s">
        <v>26</v>
      </c>
      <c r="L369" s="6"/>
      <c r="M369" s="10">
        <v>5.67E-2</v>
      </c>
      <c r="N369" s="6" t="s">
        <v>1839</v>
      </c>
      <c r="O369" s="11">
        <v>8000</v>
      </c>
      <c r="P369" s="11">
        <f t="shared" si="14"/>
        <v>7031.52</v>
      </c>
      <c r="Q369" s="18">
        <v>1000</v>
      </c>
      <c r="R369" s="19"/>
    </row>
    <row r="370" spans="1:19" ht="28.8" hidden="1" x14ac:dyDescent="0.3">
      <c r="A370" s="6" t="s">
        <v>1840</v>
      </c>
      <c r="B370" s="7" t="s">
        <v>140</v>
      </c>
      <c r="C370" s="17" t="s">
        <v>1841</v>
      </c>
      <c r="D370" s="17"/>
      <c r="E370" s="8">
        <v>18064</v>
      </c>
      <c r="F370" s="9">
        <v>73</v>
      </c>
      <c r="G370" s="6" t="s">
        <v>1842</v>
      </c>
      <c r="H370" s="7" t="s">
        <v>39</v>
      </c>
      <c r="I370" s="6" t="s">
        <v>1843</v>
      </c>
      <c r="J370" s="7" t="s">
        <v>20</v>
      </c>
      <c r="K370" s="7" t="s">
        <v>26</v>
      </c>
      <c r="L370" s="6"/>
      <c r="M370" s="10">
        <v>5.5300000000000002E-2</v>
      </c>
      <c r="N370" s="6" t="s">
        <v>1844</v>
      </c>
      <c r="O370" s="11">
        <v>1440</v>
      </c>
      <c r="P370" s="11">
        <f t="shared" si="14"/>
        <v>-1132.0100000000002</v>
      </c>
      <c r="Q370" s="18">
        <v>180</v>
      </c>
      <c r="R370" s="19"/>
    </row>
    <row r="371" spans="1:19" hidden="1" x14ac:dyDescent="0.3">
      <c r="A371" s="6" t="s">
        <v>1845</v>
      </c>
      <c r="B371" s="7" t="s">
        <v>1846</v>
      </c>
      <c r="C371" s="17" t="s">
        <v>1847</v>
      </c>
      <c r="D371" s="17"/>
      <c r="E371" s="8">
        <v>16777</v>
      </c>
      <c r="F371" s="9">
        <v>77</v>
      </c>
      <c r="G371" s="6" t="s">
        <v>1848</v>
      </c>
      <c r="H371" s="7" t="s">
        <v>25</v>
      </c>
      <c r="I371" s="6"/>
      <c r="J371" s="7" t="s">
        <v>20</v>
      </c>
      <c r="K371" s="7" t="s">
        <v>32</v>
      </c>
      <c r="L371" s="6"/>
      <c r="M371" s="10">
        <v>6.1699999999999998E-2</v>
      </c>
      <c r="N371" s="6" t="s">
        <v>1849</v>
      </c>
      <c r="O371" s="11">
        <v>893.31</v>
      </c>
      <c r="P371" s="11">
        <f t="shared" si="14"/>
        <v>818.86999999999989</v>
      </c>
      <c r="Q371" s="18">
        <v>893.31</v>
      </c>
      <c r="R371" s="19"/>
    </row>
    <row r="372" spans="1:19" hidden="1" x14ac:dyDescent="0.3">
      <c r="A372" s="6" t="s">
        <v>1850</v>
      </c>
      <c r="B372" s="7" t="s">
        <v>276</v>
      </c>
      <c r="C372" s="17" t="s">
        <v>1851</v>
      </c>
      <c r="D372" s="17"/>
      <c r="E372" s="7" t="s">
        <v>1852</v>
      </c>
      <c r="F372" s="9">
        <v>73</v>
      </c>
      <c r="G372" s="6" t="s">
        <v>1853</v>
      </c>
      <c r="H372" s="7" t="s">
        <v>25</v>
      </c>
      <c r="I372" s="6" t="s">
        <v>19</v>
      </c>
      <c r="J372" s="7" t="s">
        <v>20</v>
      </c>
      <c r="K372" s="7" t="s">
        <v>26</v>
      </c>
      <c r="L372" s="6"/>
      <c r="M372" s="10">
        <v>5.5300000000000002E-2</v>
      </c>
      <c r="N372" s="6" t="s">
        <v>1854</v>
      </c>
      <c r="O372" s="6" t="s">
        <v>19</v>
      </c>
      <c r="P372" s="11" t="e">
        <f t="shared" si="14"/>
        <v>#VALUE!</v>
      </c>
      <c r="Q372" s="19" t="s">
        <v>19</v>
      </c>
      <c r="R372" s="19"/>
    </row>
    <row r="373" spans="1:19" ht="43.2" hidden="1" x14ac:dyDescent="0.3">
      <c r="A373" s="6" t="s">
        <v>1855</v>
      </c>
      <c r="B373" s="7" t="s">
        <v>1856</v>
      </c>
      <c r="C373" s="17" t="s">
        <v>1857</v>
      </c>
      <c r="D373" s="17"/>
      <c r="E373" s="8">
        <v>18136</v>
      </c>
      <c r="F373" s="9">
        <v>73</v>
      </c>
      <c r="G373" s="6" t="s">
        <v>1859</v>
      </c>
      <c r="H373" s="7" t="s">
        <v>39</v>
      </c>
      <c r="I373" s="6" t="s">
        <v>1860</v>
      </c>
      <c r="J373" s="7" t="s">
        <v>20</v>
      </c>
      <c r="K373" s="7" t="s">
        <v>26</v>
      </c>
      <c r="L373" s="6"/>
      <c r="M373" s="10">
        <v>5.5300000000000002E-2</v>
      </c>
      <c r="N373" s="6" t="s">
        <v>1861</v>
      </c>
      <c r="O373" s="11">
        <v>9208.16</v>
      </c>
      <c r="P373" s="11">
        <f t="shared" si="14"/>
        <v>9152.15</v>
      </c>
      <c r="Q373" s="18">
        <v>1151.02</v>
      </c>
      <c r="R373" s="19"/>
    </row>
    <row r="374" spans="1:19" ht="43.2" hidden="1" x14ac:dyDescent="0.3">
      <c r="A374" s="6" t="s">
        <v>1862</v>
      </c>
      <c r="B374" s="7" t="s">
        <v>678</v>
      </c>
      <c r="C374" s="17" t="s">
        <v>1863</v>
      </c>
      <c r="D374" s="17"/>
      <c r="E374" s="8">
        <v>17091</v>
      </c>
      <c r="F374" s="9">
        <v>76</v>
      </c>
      <c r="G374" s="6" t="s">
        <v>1864</v>
      </c>
      <c r="H374" s="7" t="s">
        <v>39</v>
      </c>
      <c r="I374" s="6" t="s">
        <v>151</v>
      </c>
      <c r="J374" s="7" t="s">
        <v>20</v>
      </c>
      <c r="K374" s="7" t="s">
        <v>26</v>
      </c>
      <c r="L374" s="6"/>
      <c r="M374" s="10">
        <v>5.9799999999999999E-2</v>
      </c>
      <c r="N374" s="6" t="s">
        <v>1865</v>
      </c>
      <c r="O374" s="11">
        <v>20000</v>
      </c>
      <c r="P374" s="11">
        <f t="shared" si="14"/>
        <v>17793.61</v>
      </c>
      <c r="Q374" s="18">
        <v>2500</v>
      </c>
      <c r="R374" s="19"/>
    </row>
    <row r="375" spans="1:19" ht="43.2" hidden="1" x14ac:dyDescent="0.3">
      <c r="A375" s="6" t="s">
        <v>1866</v>
      </c>
      <c r="B375" s="7" t="s">
        <v>406</v>
      </c>
      <c r="C375" s="17" t="s">
        <v>1867</v>
      </c>
      <c r="D375" s="17"/>
      <c r="E375" s="8">
        <v>17463</v>
      </c>
      <c r="F375" s="9">
        <v>75</v>
      </c>
      <c r="G375" s="6" t="s">
        <v>1868</v>
      </c>
      <c r="H375" s="7" t="s">
        <v>39</v>
      </c>
      <c r="I375" s="6" t="s">
        <v>1869</v>
      </c>
      <c r="J375" s="7" t="s">
        <v>20</v>
      </c>
      <c r="K375" s="7" t="s">
        <v>32</v>
      </c>
      <c r="L375" s="6"/>
      <c r="M375" s="10">
        <v>5.8200000000000002E-2</v>
      </c>
      <c r="N375" s="6" t="s">
        <v>1870</v>
      </c>
      <c r="O375" s="11">
        <v>6165.3</v>
      </c>
      <c r="P375" s="11">
        <f t="shared" si="14"/>
        <v>5585.7800000000007</v>
      </c>
      <c r="Q375" s="18">
        <v>6165.3</v>
      </c>
      <c r="R375" s="19"/>
    </row>
    <row r="376" spans="1:19" hidden="1" x14ac:dyDescent="0.3">
      <c r="A376" s="6" t="s">
        <v>1871</v>
      </c>
      <c r="B376" s="7" t="s">
        <v>120</v>
      </c>
      <c r="C376" s="17" t="s">
        <v>1872</v>
      </c>
      <c r="D376" s="17"/>
      <c r="E376" s="8">
        <v>17170</v>
      </c>
      <c r="F376" s="9">
        <v>75</v>
      </c>
      <c r="G376" s="6" t="s">
        <v>1874</v>
      </c>
      <c r="H376" s="7" t="s">
        <v>25</v>
      </c>
      <c r="I376" s="6"/>
      <c r="J376" s="7" t="s">
        <v>20</v>
      </c>
      <c r="K376" s="7" t="s">
        <v>26</v>
      </c>
      <c r="L376" s="6"/>
      <c r="M376" s="10">
        <v>5.8200000000000002E-2</v>
      </c>
      <c r="N376" s="6" t="s">
        <v>1875</v>
      </c>
      <c r="O376" s="11">
        <v>12591.92</v>
      </c>
      <c r="P376" s="11">
        <f t="shared" si="14"/>
        <v>11017.93</v>
      </c>
      <c r="Q376" s="18">
        <v>1573.99</v>
      </c>
      <c r="R376" s="19"/>
    </row>
    <row r="377" spans="1:19" hidden="1" x14ac:dyDescent="0.3">
      <c r="A377" s="6" t="s">
        <v>1876</v>
      </c>
      <c r="B377" s="7" t="s">
        <v>29</v>
      </c>
      <c r="C377" s="17" t="s">
        <v>1877</v>
      </c>
      <c r="D377" s="17"/>
      <c r="E377" s="7" t="s">
        <v>142</v>
      </c>
      <c r="F377" s="9">
        <v>73</v>
      </c>
      <c r="G377" s="6" t="s">
        <v>1878</v>
      </c>
      <c r="H377" s="7" t="s">
        <v>25</v>
      </c>
      <c r="I377" s="6" t="s">
        <v>19</v>
      </c>
      <c r="J377" s="7" t="s">
        <v>20</v>
      </c>
      <c r="K377" s="7" t="s">
        <v>26</v>
      </c>
      <c r="L377" s="6"/>
      <c r="M377" s="10">
        <v>5.5300000000000002E-2</v>
      </c>
      <c r="N377" s="6" t="s">
        <v>1879</v>
      </c>
      <c r="O377" s="6" t="s">
        <v>19</v>
      </c>
      <c r="P377" s="11" t="e">
        <f t="shared" si="14"/>
        <v>#VALUE!</v>
      </c>
      <c r="Q377" s="19" t="s">
        <v>19</v>
      </c>
      <c r="R377" s="19"/>
    </row>
    <row r="378" spans="1:19" ht="28.8" hidden="1" x14ac:dyDescent="0.3">
      <c r="A378" s="6" t="s">
        <v>1880</v>
      </c>
      <c r="B378" s="7" t="s">
        <v>1881</v>
      </c>
      <c r="C378" s="17" t="s">
        <v>1882</v>
      </c>
      <c r="D378" s="17"/>
      <c r="E378" s="8">
        <v>16024</v>
      </c>
      <c r="F378" s="9">
        <v>79</v>
      </c>
      <c r="G378" s="6" t="s">
        <v>1883</v>
      </c>
      <c r="H378" s="7" t="s">
        <v>39</v>
      </c>
      <c r="I378" s="6" t="s">
        <v>681</v>
      </c>
      <c r="J378" s="7" t="s">
        <v>20</v>
      </c>
      <c r="K378" s="7" t="s">
        <v>26</v>
      </c>
      <c r="L378" s="6"/>
      <c r="M378" s="10">
        <v>6.5799999999999997E-2</v>
      </c>
      <c r="N378" s="6" t="s">
        <v>1884</v>
      </c>
      <c r="O378" s="11">
        <v>5600</v>
      </c>
      <c r="P378" s="11">
        <f t="shared" si="14"/>
        <v>4890.88</v>
      </c>
      <c r="Q378" s="18">
        <v>700</v>
      </c>
      <c r="R378" s="19"/>
    </row>
    <row r="379" spans="1:19" x14ac:dyDescent="0.3">
      <c r="A379" s="6" t="s">
        <v>1885</v>
      </c>
      <c r="B379" s="7" t="s">
        <v>1762</v>
      </c>
      <c r="C379" s="17" t="s">
        <v>1882</v>
      </c>
      <c r="D379" s="17"/>
      <c r="E379" s="8">
        <v>16599</v>
      </c>
      <c r="F379" s="9">
        <v>77</v>
      </c>
      <c r="G379" s="6" t="s">
        <v>1887</v>
      </c>
      <c r="H379" s="7" t="s">
        <v>25</v>
      </c>
      <c r="I379" s="6"/>
      <c r="J379" s="7" t="s">
        <v>41</v>
      </c>
      <c r="K379" s="7" t="s">
        <v>26</v>
      </c>
      <c r="L379" s="9">
        <v>75</v>
      </c>
      <c r="M379" s="10">
        <v>5.8200000000000002E-2</v>
      </c>
      <c r="N379" s="6" t="s">
        <v>1888</v>
      </c>
      <c r="O379" s="11">
        <v>26557.84</v>
      </c>
      <c r="P379" s="11">
        <f t="shared" si="14"/>
        <v>23238.11</v>
      </c>
      <c r="Q379" s="18">
        <v>3319.73</v>
      </c>
      <c r="R379" s="19"/>
      <c r="S379" s="2" t="str">
        <f>IF(P387&lt;O387,"CATCHUP","NONE")</f>
        <v>CATCHUP</v>
      </c>
    </row>
    <row r="380" spans="1:19" ht="28.8" hidden="1" x14ac:dyDescent="0.3">
      <c r="A380" s="6" t="s">
        <v>1889</v>
      </c>
      <c r="B380" s="7" t="s">
        <v>977</v>
      </c>
      <c r="C380" s="17" t="s">
        <v>1890</v>
      </c>
      <c r="D380" s="17"/>
      <c r="E380" s="8">
        <v>18037</v>
      </c>
      <c r="F380" s="9">
        <v>73</v>
      </c>
      <c r="G380" s="6" t="s">
        <v>1891</v>
      </c>
      <c r="H380" s="7" t="s">
        <v>39</v>
      </c>
      <c r="I380" s="6" t="s">
        <v>1160</v>
      </c>
      <c r="J380" s="7" t="s">
        <v>20</v>
      </c>
      <c r="K380" s="7" t="s">
        <v>26</v>
      </c>
      <c r="L380" s="6"/>
      <c r="M380" s="10">
        <v>5.5300000000000002E-2</v>
      </c>
      <c r="N380" s="6" t="s">
        <v>1892</v>
      </c>
      <c r="O380" s="11">
        <v>3200</v>
      </c>
      <c r="P380" s="11">
        <f t="shared" si="14"/>
        <v>2824.4700000000003</v>
      </c>
      <c r="Q380" s="18">
        <v>400</v>
      </c>
      <c r="R380" s="19"/>
    </row>
    <row r="381" spans="1:19" ht="43.2" hidden="1" x14ac:dyDescent="0.3">
      <c r="A381" s="6" t="s">
        <v>1893</v>
      </c>
      <c r="B381" s="7" t="s">
        <v>1894</v>
      </c>
      <c r="C381" s="17" t="s">
        <v>1895</v>
      </c>
      <c r="D381" s="17"/>
      <c r="E381" s="8">
        <v>17460</v>
      </c>
      <c r="F381" s="9">
        <v>75</v>
      </c>
      <c r="G381" s="6" t="s">
        <v>1896</v>
      </c>
      <c r="H381" s="7" t="s">
        <v>39</v>
      </c>
      <c r="I381" s="6" t="s">
        <v>1026</v>
      </c>
      <c r="J381" s="7" t="s">
        <v>20</v>
      </c>
      <c r="K381" s="7" t="s">
        <v>26</v>
      </c>
      <c r="L381" s="6"/>
      <c r="M381" s="10">
        <v>5.8200000000000002E-2</v>
      </c>
      <c r="N381" s="6" t="s">
        <v>1897</v>
      </c>
      <c r="O381" s="11">
        <v>8800</v>
      </c>
      <c r="P381" s="11">
        <f t="shared" si="14"/>
        <v>7808.63</v>
      </c>
      <c r="Q381" s="18">
        <v>1100</v>
      </c>
      <c r="R381" s="19"/>
    </row>
    <row r="382" spans="1:19" ht="43.2" hidden="1" x14ac:dyDescent="0.3">
      <c r="A382" s="6" t="s">
        <v>1898</v>
      </c>
      <c r="B382" s="7" t="s">
        <v>476</v>
      </c>
      <c r="C382" s="17" t="s">
        <v>1899</v>
      </c>
      <c r="D382" s="17"/>
      <c r="E382" s="8">
        <v>18030</v>
      </c>
      <c r="F382" s="9">
        <v>73</v>
      </c>
      <c r="G382" s="6" t="s">
        <v>1900</v>
      </c>
      <c r="H382" s="7" t="s">
        <v>39</v>
      </c>
      <c r="I382" s="6" t="s">
        <v>122</v>
      </c>
      <c r="J382" s="7" t="s">
        <v>20</v>
      </c>
      <c r="K382" s="7" t="s">
        <v>26</v>
      </c>
      <c r="L382" s="6"/>
      <c r="M382" s="10">
        <v>5.5300000000000002E-2</v>
      </c>
      <c r="N382" s="6" t="s">
        <v>1901</v>
      </c>
      <c r="O382" s="11">
        <v>16000</v>
      </c>
      <c r="P382" s="11">
        <f t="shared" si="14"/>
        <v>13956.27</v>
      </c>
      <c r="Q382" s="18">
        <v>2000</v>
      </c>
      <c r="R382" s="19"/>
    </row>
    <row r="383" spans="1:19" hidden="1" x14ac:dyDescent="0.3">
      <c r="A383" s="6" t="s">
        <v>1902</v>
      </c>
      <c r="B383" s="7" t="s">
        <v>1517</v>
      </c>
      <c r="C383" s="17" t="s">
        <v>1157</v>
      </c>
      <c r="D383" s="17"/>
      <c r="E383" s="8">
        <v>18033</v>
      </c>
      <c r="F383" s="9">
        <v>73</v>
      </c>
      <c r="G383" s="6" t="s">
        <v>1903</v>
      </c>
      <c r="H383" s="7" t="s">
        <v>25</v>
      </c>
      <c r="I383" s="6"/>
      <c r="J383" s="7" t="s">
        <v>20</v>
      </c>
      <c r="K383" s="7" t="s">
        <v>26</v>
      </c>
      <c r="L383" s="6"/>
      <c r="M383" s="10">
        <v>5.5300000000000002E-2</v>
      </c>
      <c r="N383" s="6" t="s">
        <v>1904</v>
      </c>
      <c r="O383" s="11">
        <v>17615.04</v>
      </c>
      <c r="P383" s="11">
        <f t="shared" si="14"/>
        <v>15413.16</v>
      </c>
      <c r="Q383" s="18">
        <v>6.57</v>
      </c>
      <c r="R383" s="19"/>
    </row>
    <row r="384" spans="1:19" hidden="1" x14ac:dyDescent="0.3">
      <c r="A384" s="6" t="s">
        <v>1905</v>
      </c>
      <c r="B384" s="7" t="s">
        <v>977</v>
      </c>
      <c r="C384" s="17" t="s">
        <v>498</v>
      </c>
      <c r="D384" s="17"/>
      <c r="E384" s="7" t="s">
        <v>1906</v>
      </c>
      <c r="F384" s="9">
        <v>75</v>
      </c>
      <c r="G384" s="6" t="s">
        <v>1907</v>
      </c>
      <c r="H384" s="7" t="s">
        <v>25</v>
      </c>
      <c r="I384" s="6" t="s">
        <v>19</v>
      </c>
      <c r="J384" s="7" t="s">
        <v>20</v>
      </c>
      <c r="K384" s="7" t="s">
        <v>32</v>
      </c>
      <c r="L384" s="6"/>
      <c r="M384" s="10">
        <v>5.8200000000000002E-2</v>
      </c>
      <c r="N384" s="6" t="s">
        <v>1908</v>
      </c>
      <c r="O384" s="6" t="s">
        <v>19</v>
      </c>
      <c r="P384" s="11" t="e">
        <f t="shared" si="14"/>
        <v>#VALUE!</v>
      </c>
      <c r="Q384" s="19" t="s">
        <v>19</v>
      </c>
      <c r="R384" s="19"/>
    </row>
    <row r="385" spans="1:19" ht="28.8" x14ac:dyDescent="0.3">
      <c r="A385" s="6" t="s">
        <v>1909</v>
      </c>
      <c r="B385" s="7" t="s">
        <v>276</v>
      </c>
      <c r="C385" s="17" t="s">
        <v>1910</v>
      </c>
      <c r="D385" s="17"/>
      <c r="E385" s="8">
        <v>17719</v>
      </c>
      <c r="F385" s="9">
        <v>74</v>
      </c>
      <c r="G385" s="6" t="s">
        <v>1911</v>
      </c>
      <c r="H385" s="7" t="s">
        <v>39</v>
      </c>
      <c r="I385" s="6" t="s">
        <v>249</v>
      </c>
      <c r="J385" s="7" t="s">
        <v>41</v>
      </c>
      <c r="K385" s="7" t="s">
        <v>26</v>
      </c>
      <c r="L385" s="9">
        <v>70</v>
      </c>
      <c r="M385" s="10">
        <v>0.05</v>
      </c>
      <c r="N385" s="6" t="s">
        <v>1912</v>
      </c>
      <c r="O385" s="11">
        <v>1600</v>
      </c>
      <c r="P385" s="11">
        <f t="shared" si="14"/>
        <v>1538.23</v>
      </c>
      <c r="Q385" s="18">
        <v>76.92</v>
      </c>
      <c r="R385" s="19"/>
      <c r="S385" s="2" t="str">
        <f>IF(P393&lt;O393,"CATCHUP","NONE")</f>
        <v>CATCHUP</v>
      </c>
    </row>
    <row r="386" spans="1:19" hidden="1" x14ac:dyDescent="0.3">
      <c r="A386" s="6" t="s">
        <v>1913</v>
      </c>
      <c r="B386" s="7" t="s">
        <v>1914</v>
      </c>
      <c r="C386" s="17" t="s">
        <v>1915</v>
      </c>
      <c r="D386" s="17"/>
      <c r="E386" s="8">
        <v>18290</v>
      </c>
      <c r="F386" s="9">
        <v>72</v>
      </c>
      <c r="G386" s="6" t="s">
        <v>1916</v>
      </c>
      <c r="H386" s="7" t="s">
        <v>25</v>
      </c>
      <c r="I386" s="6"/>
      <c r="J386" s="7" t="s">
        <v>20</v>
      </c>
      <c r="K386" s="7" t="s">
        <v>26</v>
      </c>
      <c r="L386" s="6"/>
      <c r="M386" s="10">
        <v>5.3999999999999999E-2</v>
      </c>
      <c r="N386" s="6" t="s">
        <v>1917</v>
      </c>
      <c r="O386" s="11">
        <v>7132.3</v>
      </c>
      <c r="P386" s="11">
        <f t="shared" si="14"/>
        <v>6113.4000000000005</v>
      </c>
      <c r="Q386" s="18">
        <v>35.82</v>
      </c>
      <c r="R386" s="19"/>
    </row>
    <row r="387" spans="1:19" ht="43.2" hidden="1" x14ac:dyDescent="0.3">
      <c r="A387" s="6" t="s">
        <v>1918</v>
      </c>
      <c r="B387" s="7" t="s">
        <v>678</v>
      </c>
      <c r="C387" s="17" t="s">
        <v>1919</v>
      </c>
      <c r="D387" s="17"/>
      <c r="E387" s="8">
        <v>18087</v>
      </c>
      <c r="F387" s="9">
        <v>73</v>
      </c>
      <c r="G387" s="6" t="s">
        <v>1920</v>
      </c>
      <c r="H387" s="7" t="s">
        <v>39</v>
      </c>
      <c r="I387" s="6" t="s">
        <v>1105</v>
      </c>
      <c r="J387" s="7" t="s">
        <v>20</v>
      </c>
      <c r="K387" s="7" t="s">
        <v>26</v>
      </c>
      <c r="L387" s="6"/>
      <c r="M387" s="10">
        <v>5.5300000000000002E-2</v>
      </c>
      <c r="N387" s="6" t="s">
        <v>1921</v>
      </c>
      <c r="O387" s="11">
        <v>10100</v>
      </c>
      <c r="P387" s="11">
        <f t="shared" si="14"/>
        <v>8904.08</v>
      </c>
      <c r="Q387" s="18">
        <v>524.03</v>
      </c>
      <c r="R387" s="19"/>
    </row>
    <row r="388" spans="1:19" hidden="1" x14ac:dyDescent="0.3">
      <c r="A388" s="6" t="s">
        <v>1922</v>
      </c>
      <c r="B388" s="7" t="s">
        <v>1923</v>
      </c>
      <c r="C388" s="17" t="s">
        <v>1924</v>
      </c>
      <c r="D388" s="17"/>
      <c r="E388" s="7" t="s">
        <v>1925</v>
      </c>
      <c r="F388" s="9">
        <v>73</v>
      </c>
      <c r="G388" s="6" t="s">
        <v>1926</v>
      </c>
      <c r="H388" s="7" t="s">
        <v>25</v>
      </c>
      <c r="I388" s="6" t="s">
        <v>19</v>
      </c>
      <c r="J388" s="7" t="s">
        <v>41</v>
      </c>
      <c r="K388" s="7" t="s">
        <v>26</v>
      </c>
      <c r="L388" s="9">
        <v>72</v>
      </c>
      <c r="M388" s="10">
        <v>5.3999999999999999E-2</v>
      </c>
      <c r="N388" s="6" t="s">
        <v>1927</v>
      </c>
      <c r="O388" s="6" t="s">
        <v>19</v>
      </c>
      <c r="P388" s="11" t="e">
        <f t="shared" ref="P388:P451" si="17">O388-N388</f>
        <v>#VALUE!</v>
      </c>
      <c r="Q388" s="19" t="s">
        <v>19</v>
      </c>
      <c r="R388" s="19"/>
    </row>
    <row r="389" spans="1:19" ht="43.2" hidden="1" x14ac:dyDescent="0.3">
      <c r="A389" s="6" t="s">
        <v>1928</v>
      </c>
      <c r="B389" s="7" t="s">
        <v>140</v>
      </c>
      <c r="C389" s="17" t="s">
        <v>1924</v>
      </c>
      <c r="D389" s="17"/>
      <c r="E389" s="8">
        <v>16563</v>
      </c>
      <c r="F389" s="9">
        <v>77</v>
      </c>
      <c r="G389" s="6" t="s">
        <v>1929</v>
      </c>
      <c r="H389" s="7" t="s">
        <v>39</v>
      </c>
      <c r="I389" s="6" t="s">
        <v>310</v>
      </c>
      <c r="J389" s="7" t="s">
        <v>20</v>
      </c>
      <c r="K389" s="7" t="s">
        <v>26</v>
      </c>
      <c r="L389" s="6"/>
      <c r="M389" s="10">
        <v>6.1699999999999998E-2</v>
      </c>
      <c r="N389" s="6" t="s">
        <v>1930</v>
      </c>
      <c r="O389" s="11">
        <v>14000</v>
      </c>
      <c r="P389" s="11">
        <f t="shared" si="17"/>
        <v>12765.42</v>
      </c>
      <c r="Q389" s="18">
        <v>1750</v>
      </c>
      <c r="R389" s="19"/>
    </row>
    <row r="390" spans="1:19" ht="43.2" hidden="1" x14ac:dyDescent="0.3">
      <c r="A390" s="6" t="s">
        <v>1931</v>
      </c>
      <c r="B390" s="7" t="s">
        <v>1932</v>
      </c>
      <c r="C390" s="17" t="s">
        <v>1933</v>
      </c>
      <c r="D390" s="17"/>
      <c r="E390" s="8">
        <v>18287</v>
      </c>
      <c r="F390" s="9">
        <v>72</v>
      </c>
      <c r="G390" s="6" t="s">
        <v>1934</v>
      </c>
      <c r="H390" s="7" t="s">
        <v>39</v>
      </c>
      <c r="I390" s="6" t="s">
        <v>1935</v>
      </c>
      <c r="J390" s="7" t="s">
        <v>20</v>
      </c>
      <c r="K390" s="7" t="s">
        <v>26</v>
      </c>
      <c r="L390" s="6"/>
      <c r="M390" s="10">
        <v>5.3999999999999999E-2</v>
      </c>
      <c r="N390" s="6" t="s">
        <v>1936</v>
      </c>
      <c r="O390" s="11">
        <v>8695.94</v>
      </c>
      <c r="P390" s="11">
        <f t="shared" si="17"/>
        <v>7408.09</v>
      </c>
      <c r="Q390" s="18">
        <v>79.459999999999994</v>
      </c>
      <c r="R390" s="19"/>
    </row>
    <row r="391" spans="1:19" ht="28.8" hidden="1" x14ac:dyDescent="0.3">
      <c r="A391" s="6" t="s">
        <v>1937</v>
      </c>
      <c r="B391" s="7" t="s">
        <v>324</v>
      </c>
      <c r="C391" s="17" t="s">
        <v>1938</v>
      </c>
      <c r="D391" s="17"/>
      <c r="E391" s="8">
        <v>18482</v>
      </c>
      <c r="F391" s="9">
        <v>72</v>
      </c>
      <c r="G391" s="6" t="s">
        <v>1940</v>
      </c>
      <c r="H391" s="7" t="s">
        <v>39</v>
      </c>
      <c r="I391" s="6" t="s">
        <v>1941</v>
      </c>
      <c r="J391" s="7" t="s">
        <v>20</v>
      </c>
      <c r="K391" s="7" t="s">
        <v>26</v>
      </c>
      <c r="L391" s="6"/>
      <c r="M391" s="10">
        <v>5.3999999999999999E-2</v>
      </c>
      <c r="N391" s="6" t="s">
        <v>1942</v>
      </c>
      <c r="O391" s="11">
        <v>4100</v>
      </c>
      <c r="P391" s="11">
        <f t="shared" si="17"/>
        <v>3974.09</v>
      </c>
      <c r="Q391" s="18">
        <v>1300</v>
      </c>
      <c r="R391" s="19"/>
    </row>
    <row r="392" spans="1:19" x14ac:dyDescent="0.3">
      <c r="A392" s="6" t="s">
        <v>1943</v>
      </c>
      <c r="B392" s="7" t="s">
        <v>1944</v>
      </c>
      <c r="C392" s="17" t="s">
        <v>1945</v>
      </c>
      <c r="D392" s="17"/>
      <c r="E392" s="8">
        <v>18230</v>
      </c>
      <c r="F392" s="9">
        <v>73</v>
      </c>
      <c r="G392" s="6" t="s">
        <v>1946</v>
      </c>
      <c r="H392" s="7" t="s">
        <v>25</v>
      </c>
      <c r="I392" s="6"/>
      <c r="J392" s="7" t="s">
        <v>41</v>
      </c>
      <c r="K392" s="7" t="s">
        <v>26</v>
      </c>
      <c r="L392" s="9">
        <v>72</v>
      </c>
      <c r="M392" s="10">
        <v>5.3999999999999999E-2</v>
      </c>
      <c r="N392" s="6" t="s">
        <v>1947</v>
      </c>
      <c r="O392" s="11">
        <v>15231.36</v>
      </c>
      <c r="P392" s="11">
        <f t="shared" si="17"/>
        <v>13327.44</v>
      </c>
      <c r="Q392" s="18">
        <v>1903.92</v>
      </c>
      <c r="R392" s="19"/>
      <c r="S392" s="2" t="str">
        <f>IF(P400&lt;O400,"CATCHUP","NONE")</f>
        <v>CATCHUP</v>
      </c>
    </row>
    <row r="393" spans="1:19" ht="43.2" hidden="1" x14ac:dyDescent="0.3">
      <c r="A393" s="6" t="s">
        <v>1948</v>
      </c>
      <c r="B393" s="7" t="s">
        <v>1949</v>
      </c>
      <c r="C393" s="17" t="s">
        <v>1950</v>
      </c>
      <c r="D393" s="17"/>
      <c r="E393" s="8">
        <v>18493</v>
      </c>
      <c r="F393" s="9">
        <v>72</v>
      </c>
      <c r="G393" s="6" t="s">
        <v>1951</v>
      </c>
      <c r="H393" s="7" t="s">
        <v>39</v>
      </c>
      <c r="I393" s="6" t="s">
        <v>1952</v>
      </c>
      <c r="J393" s="7" t="s">
        <v>20</v>
      </c>
      <c r="K393" s="7" t="s">
        <v>32</v>
      </c>
      <c r="L393" s="6"/>
      <c r="M393" s="10">
        <v>5.3999999999999999E-2</v>
      </c>
      <c r="N393" s="6" t="s">
        <v>1953</v>
      </c>
      <c r="O393" s="11">
        <v>1040</v>
      </c>
      <c r="P393" s="11">
        <f t="shared" si="17"/>
        <v>989.81</v>
      </c>
      <c r="Q393" s="18">
        <v>1040</v>
      </c>
      <c r="R393" s="19"/>
    </row>
    <row r="394" spans="1:19" hidden="1" x14ac:dyDescent="0.3">
      <c r="A394" s="6" t="s">
        <v>1954</v>
      </c>
      <c r="B394" s="7" t="s">
        <v>1955</v>
      </c>
      <c r="C394" s="17" t="s">
        <v>1956</v>
      </c>
      <c r="D394" s="17"/>
      <c r="E394" s="8">
        <v>18303</v>
      </c>
      <c r="F394" s="9">
        <v>72</v>
      </c>
      <c r="G394" s="6" t="s">
        <v>1957</v>
      </c>
      <c r="H394" s="7" t="s">
        <v>25</v>
      </c>
      <c r="I394" s="6"/>
      <c r="J394" s="7" t="s">
        <v>20</v>
      </c>
      <c r="K394" s="7" t="s">
        <v>26</v>
      </c>
      <c r="L394" s="6"/>
      <c r="M394" s="10">
        <v>5.3999999999999999E-2</v>
      </c>
      <c r="N394" s="6" t="s">
        <v>1958</v>
      </c>
      <c r="O394" s="11">
        <v>5478.96</v>
      </c>
      <c r="P394" s="11">
        <f t="shared" si="17"/>
        <v>4565.8</v>
      </c>
      <c r="Q394" s="18">
        <v>841.16</v>
      </c>
      <c r="R394" s="19"/>
    </row>
    <row r="395" spans="1:19" ht="43.2" hidden="1" x14ac:dyDescent="0.3">
      <c r="A395" s="6" t="s">
        <v>1959</v>
      </c>
      <c r="B395" s="7" t="s">
        <v>210</v>
      </c>
      <c r="C395" s="17" t="s">
        <v>1956</v>
      </c>
      <c r="D395" s="17"/>
      <c r="E395" s="8">
        <v>17811</v>
      </c>
      <c r="F395" s="9">
        <v>74</v>
      </c>
      <c r="G395" s="6" t="s">
        <v>1960</v>
      </c>
      <c r="H395" s="7" t="s">
        <v>39</v>
      </c>
      <c r="I395" s="6" t="s">
        <v>1961</v>
      </c>
      <c r="J395" s="7" t="s">
        <v>20</v>
      </c>
      <c r="K395" s="7" t="s">
        <v>32</v>
      </c>
      <c r="L395" s="6"/>
      <c r="M395" s="10">
        <v>5.67E-2</v>
      </c>
      <c r="N395" s="6" t="s">
        <v>1962</v>
      </c>
      <c r="O395" s="11">
        <v>36000</v>
      </c>
      <c r="P395" s="11">
        <f t="shared" si="17"/>
        <v>33425.93</v>
      </c>
      <c r="Q395" s="18">
        <v>12625.65</v>
      </c>
      <c r="R395" s="19"/>
    </row>
    <row r="396" spans="1:19" ht="43.2" hidden="1" x14ac:dyDescent="0.3">
      <c r="A396" s="6" t="s">
        <v>1963</v>
      </c>
      <c r="B396" s="7" t="s">
        <v>1964</v>
      </c>
      <c r="C396" s="17" t="s">
        <v>1965</v>
      </c>
      <c r="D396" s="17"/>
      <c r="E396" s="8">
        <v>16609</v>
      </c>
      <c r="F396" s="9">
        <v>77</v>
      </c>
      <c r="G396" s="6" t="s">
        <v>1966</v>
      </c>
      <c r="H396" s="7" t="s">
        <v>39</v>
      </c>
      <c r="I396" s="6" t="s">
        <v>745</v>
      </c>
      <c r="J396" s="7" t="s">
        <v>20</v>
      </c>
      <c r="K396" s="7" t="s">
        <v>26</v>
      </c>
      <c r="L396" s="6"/>
      <c r="M396" s="10">
        <v>6.1699999999999998E-2</v>
      </c>
      <c r="N396" s="6" t="s">
        <v>1967</v>
      </c>
      <c r="O396" s="11">
        <v>11200</v>
      </c>
      <c r="P396" s="11">
        <f t="shared" si="17"/>
        <v>10489.19</v>
      </c>
      <c r="Q396" s="18">
        <v>1400</v>
      </c>
      <c r="R396" s="19"/>
    </row>
    <row r="397" spans="1:19" hidden="1" x14ac:dyDescent="0.3">
      <c r="A397" s="6" t="s">
        <v>1968</v>
      </c>
      <c r="B397" s="7" t="s">
        <v>1969</v>
      </c>
      <c r="C397" s="17" t="s">
        <v>1970</v>
      </c>
      <c r="D397" s="17"/>
      <c r="E397" s="7" t="s">
        <v>1971</v>
      </c>
      <c r="F397" s="9">
        <v>75</v>
      </c>
      <c r="G397" s="6" t="s">
        <v>1972</v>
      </c>
      <c r="H397" s="7" t="s">
        <v>25</v>
      </c>
      <c r="I397" s="6" t="s">
        <v>19</v>
      </c>
      <c r="J397" s="7" t="s">
        <v>20</v>
      </c>
      <c r="K397" s="7" t="s">
        <v>26</v>
      </c>
      <c r="L397" s="6"/>
      <c r="M397" s="10">
        <v>5.8200000000000002E-2</v>
      </c>
      <c r="N397" s="6" t="s">
        <v>1973</v>
      </c>
      <c r="O397" s="6" t="s">
        <v>19</v>
      </c>
      <c r="P397" s="11" t="e">
        <f t="shared" si="17"/>
        <v>#VALUE!</v>
      </c>
      <c r="Q397" s="19" t="s">
        <v>19</v>
      </c>
      <c r="R397" s="19"/>
    </row>
    <row r="398" spans="1:19" ht="28.8" x14ac:dyDescent="0.3">
      <c r="A398" s="6" t="s">
        <v>1974</v>
      </c>
      <c r="B398" s="7" t="s">
        <v>1856</v>
      </c>
      <c r="C398" s="17" t="s">
        <v>1975</v>
      </c>
      <c r="D398" s="17"/>
      <c r="E398" s="8">
        <v>18596</v>
      </c>
      <c r="F398" s="9">
        <v>72</v>
      </c>
      <c r="G398" s="6" t="s">
        <v>1976</v>
      </c>
      <c r="H398" s="7" t="s">
        <v>39</v>
      </c>
      <c r="I398" s="6" t="s">
        <v>237</v>
      </c>
      <c r="J398" s="7" t="s">
        <v>41</v>
      </c>
      <c r="K398" s="7" t="s">
        <v>26</v>
      </c>
      <c r="L398" s="9">
        <v>57</v>
      </c>
      <c r="M398" s="10">
        <v>3.0300000000000001E-2</v>
      </c>
      <c r="N398" s="6" t="s">
        <v>1977</v>
      </c>
      <c r="O398" s="11">
        <v>8000</v>
      </c>
      <c r="P398" s="11">
        <f t="shared" si="17"/>
        <v>7721.43</v>
      </c>
      <c r="Q398" s="18">
        <v>900</v>
      </c>
      <c r="R398" s="19"/>
      <c r="S398" s="2" t="str">
        <f>IF(P406&lt;O406,"CATCHUP","NONE")</f>
        <v>CATCHUP</v>
      </c>
    </row>
    <row r="399" spans="1:19" ht="43.2" hidden="1" x14ac:dyDescent="0.3">
      <c r="A399" s="6" t="s">
        <v>1978</v>
      </c>
      <c r="B399" s="7" t="s">
        <v>1979</v>
      </c>
      <c r="C399" s="17" t="s">
        <v>1980</v>
      </c>
      <c r="D399" s="17"/>
      <c r="E399" s="8">
        <v>18431</v>
      </c>
      <c r="F399" s="9">
        <v>72</v>
      </c>
      <c r="G399" s="6" t="s">
        <v>1981</v>
      </c>
      <c r="H399" s="7" t="s">
        <v>39</v>
      </c>
      <c r="I399" s="6" t="s">
        <v>106</v>
      </c>
      <c r="J399" s="7" t="s">
        <v>20</v>
      </c>
      <c r="K399" s="7" t="s">
        <v>26</v>
      </c>
      <c r="L399" s="6"/>
      <c r="M399" s="10">
        <v>5.3999999999999999E-2</v>
      </c>
      <c r="N399" s="6" t="s">
        <v>1982</v>
      </c>
      <c r="O399" s="11">
        <v>32000</v>
      </c>
      <c r="P399" s="11">
        <f t="shared" si="17"/>
        <v>30336.26</v>
      </c>
      <c r="Q399" s="18">
        <v>4000</v>
      </c>
      <c r="R399" s="19"/>
    </row>
    <row r="400" spans="1:19" ht="28.8" hidden="1" x14ac:dyDescent="0.3">
      <c r="A400" s="6" t="s">
        <v>1983</v>
      </c>
      <c r="B400" s="7" t="s">
        <v>1984</v>
      </c>
      <c r="C400" s="17" t="s">
        <v>1985</v>
      </c>
      <c r="D400" s="17"/>
      <c r="E400" s="8">
        <v>15622</v>
      </c>
      <c r="F400" s="9">
        <v>80</v>
      </c>
      <c r="G400" s="6" t="s">
        <v>1986</v>
      </c>
      <c r="H400" s="7" t="s">
        <v>25</v>
      </c>
      <c r="I400" s="6"/>
      <c r="J400" s="7" t="s">
        <v>20</v>
      </c>
      <c r="K400" s="7" t="s">
        <v>26</v>
      </c>
      <c r="L400" s="6"/>
      <c r="M400" s="10">
        <v>6.8199999999999997E-2</v>
      </c>
      <c r="N400" s="6" t="s">
        <v>1987</v>
      </c>
      <c r="O400" s="11">
        <v>3285.84</v>
      </c>
      <c r="P400" s="11">
        <f t="shared" si="17"/>
        <v>2875.11</v>
      </c>
      <c r="Q400" s="18">
        <v>410.73</v>
      </c>
      <c r="R400" s="19"/>
    </row>
    <row r="401" spans="1:19" ht="43.2" hidden="1" x14ac:dyDescent="0.3">
      <c r="A401" s="6" t="s">
        <v>1988</v>
      </c>
      <c r="B401" s="7" t="s">
        <v>1125</v>
      </c>
      <c r="C401" s="17" t="s">
        <v>1989</v>
      </c>
      <c r="D401" s="17"/>
      <c r="E401" s="8">
        <v>16561</v>
      </c>
      <c r="F401" s="9">
        <v>77</v>
      </c>
      <c r="G401" s="6" t="s">
        <v>1990</v>
      </c>
      <c r="H401" s="7" t="s">
        <v>39</v>
      </c>
      <c r="I401" s="6" t="s">
        <v>1313</v>
      </c>
      <c r="J401" s="7" t="s">
        <v>20</v>
      </c>
      <c r="K401" s="7" t="s">
        <v>32</v>
      </c>
      <c r="L401" s="6"/>
      <c r="M401" s="10">
        <v>6.1699999999999998E-2</v>
      </c>
      <c r="N401" s="6" t="s">
        <v>1991</v>
      </c>
      <c r="O401" s="11">
        <v>50000</v>
      </c>
      <c r="P401" s="11">
        <f t="shared" si="17"/>
        <v>47360.28</v>
      </c>
      <c r="Q401" s="18">
        <v>50000</v>
      </c>
      <c r="R401" s="19"/>
    </row>
    <row r="402" spans="1:19" hidden="1" x14ac:dyDescent="0.3">
      <c r="A402" s="6" t="s">
        <v>1992</v>
      </c>
      <c r="B402" s="7" t="s">
        <v>1993</v>
      </c>
      <c r="C402" s="17" t="s">
        <v>1994</v>
      </c>
      <c r="D402" s="17"/>
      <c r="E402" s="7" t="s">
        <v>1995</v>
      </c>
      <c r="F402" s="9">
        <v>83</v>
      </c>
      <c r="G402" s="6" t="s">
        <v>1996</v>
      </c>
      <c r="H402" s="7" t="s">
        <v>25</v>
      </c>
      <c r="I402" s="6" t="s">
        <v>19</v>
      </c>
      <c r="J402" s="7" t="s">
        <v>20</v>
      </c>
      <c r="K402" s="7" t="s">
        <v>32</v>
      </c>
      <c r="L402" s="6"/>
      <c r="M402" s="10">
        <v>7.7100000000000002E-2</v>
      </c>
      <c r="N402" s="6" t="s">
        <v>1997</v>
      </c>
      <c r="O402" s="6" t="s">
        <v>19</v>
      </c>
      <c r="P402" s="11" t="e">
        <f t="shared" si="17"/>
        <v>#VALUE!</v>
      </c>
      <c r="Q402" s="19" t="s">
        <v>19</v>
      </c>
      <c r="R402" s="19"/>
    </row>
    <row r="403" spans="1:19" ht="43.2" x14ac:dyDescent="0.3">
      <c r="A403" s="6" t="s">
        <v>1998</v>
      </c>
      <c r="B403" s="7" t="s">
        <v>830</v>
      </c>
      <c r="C403" s="17" t="s">
        <v>1999</v>
      </c>
      <c r="D403" s="17"/>
      <c r="E403" s="8">
        <v>17376</v>
      </c>
      <c r="F403" s="9">
        <v>75</v>
      </c>
      <c r="G403" s="6" t="s">
        <v>2000</v>
      </c>
      <c r="H403" s="7" t="s">
        <v>39</v>
      </c>
      <c r="I403" s="6" t="s">
        <v>132</v>
      </c>
      <c r="J403" s="7" t="s">
        <v>41</v>
      </c>
      <c r="K403" s="7" t="s">
        <v>26</v>
      </c>
      <c r="L403" s="9">
        <v>73</v>
      </c>
      <c r="M403" s="10">
        <v>5.5300000000000002E-2</v>
      </c>
      <c r="N403" s="6" t="s">
        <v>2001</v>
      </c>
      <c r="O403" s="11">
        <v>12000</v>
      </c>
      <c r="P403" s="11">
        <f t="shared" si="17"/>
        <v>10915.33</v>
      </c>
      <c r="Q403" s="18">
        <v>1500</v>
      </c>
      <c r="R403" s="19"/>
      <c r="S403" s="2" t="str">
        <f>IF(P411&lt;O411,"CATCHUP","NONE")</f>
        <v>CATCHUP</v>
      </c>
    </row>
    <row r="404" spans="1:19" ht="43.2" hidden="1" x14ac:dyDescent="0.3">
      <c r="A404" s="6" t="s">
        <v>2002</v>
      </c>
      <c r="B404" s="7" t="s">
        <v>830</v>
      </c>
      <c r="C404" s="17" t="s">
        <v>2003</v>
      </c>
      <c r="D404" s="17"/>
      <c r="E404" s="8">
        <v>17427</v>
      </c>
      <c r="F404" s="9">
        <v>75</v>
      </c>
      <c r="G404" s="6" t="s">
        <v>2004</v>
      </c>
      <c r="H404" s="7" t="s">
        <v>39</v>
      </c>
      <c r="I404" s="6" t="s">
        <v>1514</v>
      </c>
      <c r="J404" s="7" t="s">
        <v>20</v>
      </c>
      <c r="K404" s="7" t="s">
        <v>26</v>
      </c>
      <c r="L404" s="6"/>
      <c r="M404" s="10">
        <v>5.8200000000000002E-2</v>
      </c>
      <c r="N404" s="6" t="s">
        <v>2005</v>
      </c>
      <c r="O404" s="11">
        <v>21600</v>
      </c>
      <c r="P404" s="11">
        <f t="shared" si="17"/>
        <v>20232.79</v>
      </c>
      <c r="Q404" s="18">
        <v>2700</v>
      </c>
      <c r="R404" s="19"/>
    </row>
    <row r="405" spans="1:19" ht="28.8" hidden="1" x14ac:dyDescent="0.3">
      <c r="A405" s="6" t="s">
        <v>2006</v>
      </c>
      <c r="B405" s="7" t="s">
        <v>1522</v>
      </c>
      <c r="C405" s="17" t="s">
        <v>2007</v>
      </c>
      <c r="D405" s="17"/>
      <c r="E405" s="8">
        <v>16178</v>
      </c>
      <c r="F405" s="9">
        <v>78</v>
      </c>
      <c r="G405" s="6" t="s">
        <v>2008</v>
      </c>
      <c r="H405" s="7" t="s">
        <v>39</v>
      </c>
      <c r="I405" s="6" t="s">
        <v>321</v>
      </c>
      <c r="J405" s="7" t="s">
        <v>20</v>
      </c>
      <c r="K405" s="7" t="s">
        <v>26</v>
      </c>
      <c r="L405" s="6"/>
      <c r="M405" s="10">
        <v>6.3600000000000004E-2</v>
      </c>
      <c r="N405" s="6" t="s">
        <v>2009</v>
      </c>
      <c r="O405" s="11">
        <v>4000</v>
      </c>
      <c r="P405" s="11">
        <f t="shared" si="17"/>
        <v>3552.0299999999997</v>
      </c>
      <c r="Q405" s="18">
        <v>394.44</v>
      </c>
      <c r="R405" s="19"/>
    </row>
    <row r="406" spans="1:19" ht="43.2" x14ac:dyDescent="0.3">
      <c r="A406" s="6" t="s">
        <v>2010</v>
      </c>
      <c r="B406" s="7" t="s">
        <v>2011</v>
      </c>
      <c r="C406" s="17" t="s">
        <v>2012</v>
      </c>
      <c r="D406" s="17"/>
      <c r="E406" s="8">
        <v>18579</v>
      </c>
      <c r="F406" s="9">
        <v>72</v>
      </c>
      <c r="G406" s="6" t="s">
        <v>2013</v>
      </c>
      <c r="H406" s="7" t="s">
        <v>39</v>
      </c>
      <c r="I406" s="6" t="s">
        <v>100</v>
      </c>
      <c r="J406" s="7" t="s">
        <v>41</v>
      </c>
      <c r="K406" s="7" t="s">
        <v>32</v>
      </c>
      <c r="L406" s="9">
        <v>71</v>
      </c>
      <c r="M406" s="10">
        <v>5.28E-2</v>
      </c>
      <c r="N406" s="6" t="s">
        <v>2014</v>
      </c>
      <c r="O406" s="11">
        <v>6000</v>
      </c>
      <c r="P406" s="11">
        <f t="shared" si="17"/>
        <v>5499.53</v>
      </c>
      <c r="Q406" s="18">
        <v>3490.88</v>
      </c>
      <c r="R406" s="19"/>
      <c r="S406" s="2" t="e">
        <f t="shared" ref="S406:S407" si="18">IF(P414&lt;O414,"CATCHUP","NONE")</f>
        <v>#VALUE!</v>
      </c>
    </row>
    <row r="407" spans="1:19" ht="43.2" x14ac:dyDescent="0.3">
      <c r="A407" s="6" t="s">
        <v>2015</v>
      </c>
      <c r="B407" s="7" t="s">
        <v>2016</v>
      </c>
      <c r="C407" s="17" t="s">
        <v>2017</v>
      </c>
      <c r="D407" s="17"/>
      <c r="E407" s="8">
        <v>18197</v>
      </c>
      <c r="F407" s="9">
        <v>73</v>
      </c>
      <c r="G407" s="6" t="s">
        <v>2018</v>
      </c>
      <c r="H407" s="7" t="s">
        <v>39</v>
      </c>
      <c r="I407" s="6" t="s">
        <v>47</v>
      </c>
      <c r="J407" s="7" t="s">
        <v>41</v>
      </c>
      <c r="K407" s="7" t="s">
        <v>26</v>
      </c>
      <c r="L407" s="9">
        <v>63</v>
      </c>
      <c r="M407" s="10">
        <v>3.6999999999999998E-2</v>
      </c>
      <c r="N407" s="6" t="s">
        <v>2019</v>
      </c>
      <c r="O407" s="11">
        <v>8000</v>
      </c>
      <c r="P407" s="11">
        <f t="shared" si="17"/>
        <v>7759.59</v>
      </c>
      <c r="Q407" s="18">
        <v>1000</v>
      </c>
      <c r="R407" s="19"/>
      <c r="S407" s="2" t="str">
        <f t="shared" si="18"/>
        <v>CATCHUP</v>
      </c>
    </row>
    <row r="408" spans="1:19" ht="43.2" hidden="1" x14ac:dyDescent="0.3">
      <c r="A408" s="6" t="s">
        <v>2020</v>
      </c>
      <c r="B408" s="7" t="s">
        <v>2021</v>
      </c>
      <c r="C408" s="17" t="s">
        <v>2022</v>
      </c>
      <c r="D408" s="17"/>
      <c r="E408" s="8">
        <v>17522</v>
      </c>
      <c r="F408" s="9">
        <v>75</v>
      </c>
      <c r="G408" s="6" t="s">
        <v>2023</v>
      </c>
      <c r="H408" s="7" t="s">
        <v>39</v>
      </c>
      <c r="I408" s="6" t="s">
        <v>122</v>
      </c>
      <c r="J408" s="7" t="s">
        <v>20</v>
      </c>
      <c r="K408" s="7" t="s">
        <v>26</v>
      </c>
      <c r="L408" s="6"/>
      <c r="M408" s="10">
        <v>5.8200000000000002E-2</v>
      </c>
      <c r="N408" s="6" t="s">
        <v>2024</v>
      </c>
      <c r="O408" s="11">
        <v>16000</v>
      </c>
      <c r="P408" s="11">
        <f t="shared" si="17"/>
        <v>15130.97</v>
      </c>
      <c r="Q408" s="18">
        <v>2000</v>
      </c>
      <c r="R408" s="19"/>
    </row>
    <row r="409" spans="1:19" ht="43.2" x14ac:dyDescent="0.3">
      <c r="A409" s="6" t="s">
        <v>2025</v>
      </c>
      <c r="B409" s="7" t="s">
        <v>373</v>
      </c>
      <c r="C409" s="17" t="s">
        <v>2026</v>
      </c>
      <c r="D409" s="17"/>
      <c r="E409" s="8">
        <v>15905</v>
      </c>
      <c r="F409" s="9">
        <v>79</v>
      </c>
      <c r="G409" s="6" t="s">
        <v>2027</v>
      </c>
      <c r="H409" s="7" t="s">
        <v>39</v>
      </c>
      <c r="I409" s="6" t="s">
        <v>1105</v>
      </c>
      <c r="J409" s="7" t="s">
        <v>41</v>
      </c>
      <c r="K409" s="7" t="s">
        <v>26</v>
      </c>
      <c r="L409" s="9">
        <v>78</v>
      </c>
      <c r="M409" s="10">
        <v>6.3600000000000004E-2</v>
      </c>
      <c r="N409" s="6" t="s">
        <v>2028</v>
      </c>
      <c r="O409" s="11">
        <v>10400</v>
      </c>
      <c r="P409" s="11">
        <f t="shared" si="17"/>
        <v>10049.77</v>
      </c>
      <c r="Q409" s="18">
        <v>1300</v>
      </c>
      <c r="R409" s="19"/>
      <c r="S409" s="2" t="e">
        <f t="shared" ref="S409:S410" si="19">IF(P417&lt;O417,"CATCHUP","NONE")</f>
        <v>#VALUE!</v>
      </c>
    </row>
    <row r="410" spans="1:19" ht="43.2" x14ac:dyDescent="0.3">
      <c r="A410" s="6" t="s">
        <v>2029</v>
      </c>
      <c r="B410" s="7" t="s">
        <v>488</v>
      </c>
      <c r="C410" s="17" t="s">
        <v>2030</v>
      </c>
      <c r="D410" s="17"/>
      <c r="E410" s="8">
        <v>17436</v>
      </c>
      <c r="F410" s="9">
        <v>75</v>
      </c>
      <c r="G410" s="6" t="s">
        <v>2031</v>
      </c>
      <c r="H410" s="7" t="s">
        <v>39</v>
      </c>
      <c r="I410" s="6" t="s">
        <v>144</v>
      </c>
      <c r="J410" s="7" t="s">
        <v>41</v>
      </c>
      <c r="K410" s="7" t="s">
        <v>26</v>
      </c>
      <c r="L410" s="9">
        <v>73</v>
      </c>
      <c r="M410" s="10">
        <v>5.5300000000000002E-2</v>
      </c>
      <c r="N410" s="6" t="s">
        <v>2032</v>
      </c>
      <c r="O410" s="11">
        <v>40000</v>
      </c>
      <c r="P410" s="11">
        <f t="shared" si="17"/>
        <v>35015.89</v>
      </c>
      <c r="Q410" s="18">
        <v>5000</v>
      </c>
      <c r="R410" s="19"/>
      <c r="S410" s="2" t="str">
        <f t="shared" si="19"/>
        <v>CATCHUP</v>
      </c>
    </row>
    <row r="411" spans="1:19" ht="43.2" hidden="1" x14ac:dyDescent="0.3">
      <c r="A411" s="6" t="s">
        <v>2033</v>
      </c>
      <c r="B411" s="7" t="s">
        <v>2034</v>
      </c>
      <c r="C411" s="17" t="s">
        <v>2035</v>
      </c>
      <c r="D411" s="17"/>
      <c r="E411" s="8">
        <v>17454</v>
      </c>
      <c r="F411" s="9">
        <v>75</v>
      </c>
      <c r="G411" s="6" t="s">
        <v>2036</v>
      </c>
      <c r="H411" s="7" t="s">
        <v>39</v>
      </c>
      <c r="I411" s="6" t="s">
        <v>122</v>
      </c>
      <c r="J411" s="7" t="s">
        <v>20</v>
      </c>
      <c r="K411" s="7" t="s">
        <v>26</v>
      </c>
      <c r="L411" s="6"/>
      <c r="M411" s="10">
        <v>5.8200000000000002E-2</v>
      </c>
      <c r="N411" s="6" t="s">
        <v>2037</v>
      </c>
      <c r="O411" s="11">
        <v>12800</v>
      </c>
      <c r="P411" s="11">
        <f t="shared" si="17"/>
        <v>8825.81</v>
      </c>
      <c r="Q411" s="18">
        <v>2000</v>
      </c>
      <c r="R411" s="19"/>
    </row>
    <row r="412" spans="1:19" ht="28.8" hidden="1" x14ac:dyDescent="0.3">
      <c r="A412" s="6" t="s">
        <v>2038</v>
      </c>
      <c r="B412" s="7" t="s">
        <v>270</v>
      </c>
      <c r="C412" s="17" t="s">
        <v>2039</v>
      </c>
      <c r="D412" s="17"/>
      <c r="E412" s="8">
        <v>16700</v>
      </c>
      <c r="F412" s="9">
        <v>77</v>
      </c>
      <c r="G412" s="6" t="s">
        <v>2040</v>
      </c>
      <c r="H412" s="7" t="s">
        <v>39</v>
      </c>
      <c r="I412" s="6" t="s">
        <v>941</v>
      </c>
      <c r="J412" s="7" t="s">
        <v>20</v>
      </c>
      <c r="K412" s="7" t="s">
        <v>26</v>
      </c>
      <c r="L412" s="6"/>
      <c r="M412" s="10">
        <v>6.1699999999999998E-2</v>
      </c>
      <c r="N412" s="6" t="s">
        <v>2041</v>
      </c>
      <c r="O412" s="11">
        <v>2400</v>
      </c>
      <c r="P412" s="11">
        <f t="shared" si="17"/>
        <v>2215.3200000000002</v>
      </c>
      <c r="Q412" s="18">
        <v>300</v>
      </c>
      <c r="R412" s="19"/>
    </row>
    <row r="413" spans="1:19" ht="28.8" hidden="1" x14ac:dyDescent="0.3">
      <c r="A413" s="6" t="s">
        <v>2042</v>
      </c>
      <c r="B413" s="7" t="s">
        <v>22</v>
      </c>
      <c r="C413" s="17" t="s">
        <v>2039</v>
      </c>
      <c r="D413" s="17"/>
      <c r="E413" s="8">
        <v>17280</v>
      </c>
      <c r="F413" s="9">
        <v>75</v>
      </c>
      <c r="G413" s="6" t="s">
        <v>2043</v>
      </c>
      <c r="H413" s="7" t="s">
        <v>39</v>
      </c>
      <c r="I413" s="6" t="s">
        <v>2044</v>
      </c>
      <c r="J413" s="7" t="s">
        <v>20</v>
      </c>
      <c r="K413" s="7" t="s">
        <v>26</v>
      </c>
      <c r="L413" s="6"/>
      <c r="M413" s="10">
        <v>5.8200000000000002E-2</v>
      </c>
      <c r="N413" s="6" t="s">
        <v>2045</v>
      </c>
      <c r="O413" s="11">
        <v>2720</v>
      </c>
      <c r="P413" s="11">
        <f t="shared" si="17"/>
        <v>2256.39</v>
      </c>
      <c r="Q413" s="18">
        <v>340</v>
      </c>
      <c r="R413" s="19"/>
    </row>
    <row r="414" spans="1:19" hidden="1" x14ac:dyDescent="0.3">
      <c r="A414" s="6" t="s">
        <v>2046</v>
      </c>
      <c r="B414" s="7" t="s">
        <v>678</v>
      </c>
      <c r="C414" s="17" t="s">
        <v>2047</v>
      </c>
      <c r="D414" s="17"/>
      <c r="E414" s="7" t="s">
        <v>2048</v>
      </c>
      <c r="F414" s="9">
        <v>77</v>
      </c>
      <c r="G414" s="6" t="s">
        <v>2049</v>
      </c>
      <c r="H414" s="7" t="s">
        <v>25</v>
      </c>
      <c r="I414" s="6" t="s">
        <v>19</v>
      </c>
      <c r="J414" s="7" t="s">
        <v>41</v>
      </c>
      <c r="K414" s="7" t="s">
        <v>26</v>
      </c>
      <c r="L414" s="9">
        <v>74</v>
      </c>
      <c r="M414" s="10">
        <v>5.67E-2</v>
      </c>
      <c r="N414" s="6" t="s">
        <v>2050</v>
      </c>
      <c r="O414" s="6" t="s">
        <v>19</v>
      </c>
      <c r="P414" s="11" t="e">
        <f t="shared" si="17"/>
        <v>#VALUE!</v>
      </c>
      <c r="Q414" s="19" t="s">
        <v>19</v>
      </c>
      <c r="R414" s="19"/>
    </row>
    <row r="415" spans="1:19" ht="43.2" hidden="1" x14ac:dyDescent="0.3">
      <c r="A415" s="6" t="s">
        <v>2051</v>
      </c>
      <c r="B415" s="7" t="s">
        <v>488</v>
      </c>
      <c r="C415" s="17" t="s">
        <v>2052</v>
      </c>
      <c r="D415" s="17"/>
      <c r="E415" s="8">
        <v>17842</v>
      </c>
      <c r="F415" s="9">
        <v>74</v>
      </c>
      <c r="G415" s="6" t="s">
        <v>2053</v>
      </c>
      <c r="H415" s="7" t="s">
        <v>39</v>
      </c>
      <c r="I415" s="6" t="s">
        <v>728</v>
      </c>
      <c r="J415" s="7" t="s">
        <v>20</v>
      </c>
      <c r="K415" s="7" t="s">
        <v>26</v>
      </c>
      <c r="L415" s="6"/>
      <c r="M415" s="10">
        <v>5.67E-2</v>
      </c>
      <c r="N415" s="6" t="s">
        <v>2054</v>
      </c>
      <c r="O415" s="11">
        <v>28000</v>
      </c>
      <c r="P415" s="11">
        <f t="shared" si="17"/>
        <v>24933.48</v>
      </c>
      <c r="Q415" s="18">
        <v>3500</v>
      </c>
      <c r="R415" s="19"/>
    </row>
    <row r="416" spans="1:19" ht="43.2" hidden="1" x14ac:dyDescent="0.3">
      <c r="A416" s="6" t="s">
        <v>2055</v>
      </c>
      <c r="B416" s="7" t="s">
        <v>531</v>
      </c>
      <c r="C416" s="17" t="s">
        <v>2056</v>
      </c>
      <c r="D416" s="17"/>
      <c r="E416" s="8">
        <v>18343</v>
      </c>
      <c r="F416" s="9">
        <v>72</v>
      </c>
      <c r="G416" s="6" t="s">
        <v>2057</v>
      </c>
      <c r="H416" s="7" t="s">
        <v>39</v>
      </c>
      <c r="I416" s="6" t="s">
        <v>122</v>
      </c>
      <c r="J416" s="7" t="s">
        <v>20</v>
      </c>
      <c r="K416" s="7" t="s">
        <v>26</v>
      </c>
      <c r="L416" s="6"/>
      <c r="M416" s="10">
        <v>5.3999999999999999E-2</v>
      </c>
      <c r="N416" s="6" t="s">
        <v>2058</v>
      </c>
      <c r="O416" s="11">
        <v>6000</v>
      </c>
      <c r="P416" s="11">
        <f t="shared" si="17"/>
        <v>4771.21</v>
      </c>
      <c r="Q416" s="18">
        <v>2000</v>
      </c>
      <c r="R416" s="19"/>
    </row>
    <row r="417" spans="1:19" hidden="1" x14ac:dyDescent="0.3">
      <c r="A417" s="6" t="s">
        <v>2059</v>
      </c>
      <c r="B417" s="7" t="s">
        <v>2060</v>
      </c>
      <c r="C417" s="17" t="s">
        <v>2061</v>
      </c>
      <c r="D417" s="17"/>
      <c r="E417" s="7" t="s">
        <v>2062</v>
      </c>
      <c r="F417" s="9">
        <v>82</v>
      </c>
      <c r="G417" s="6" t="s">
        <v>2063</v>
      </c>
      <c r="H417" s="7" t="s">
        <v>25</v>
      </c>
      <c r="I417" s="6" t="s">
        <v>19</v>
      </c>
      <c r="J417" s="7" t="s">
        <v>20</v>
      </c>
      <c r="K417" s="7" t="s">
        <v>32</v>
      </c>
      <c r="L417" s="6"/>
      <c r="M417" s="10">
        <v>7.3800000000000004E-2</v>
      </c>
      <c r="N417" s="6" t="s">
        <v>2064</v>
      </c>
      <c r="O417" s="6" t="s">
        <v>19</v>
      </c>
      <c r="P417" s="11" t="e">
        <f t="shared" si="17"/>
        <v>#VALUE!</v>
      </c>
      <c r="Q417" s="19" t="s">
        <v>19</v>
      </c>
      <c r="R417" s="19"/>
    </row>
    <row r="418" spans="1:19" ht="43.2" x14ac:dyDescent="0.3">
      <c r="A418" s="6" t="s">
        <v>2065</v>
      </c>
      <c r="B418" s="7" t="s">
        <v>1964</v>
      </c>
      <c r="C418" s="17" t="s">
        <v>2066</v>
      </c>
      <c r="D418" s="17"/>
      <c r="E418" s="8">
        <v>18414</v>
      </c>
      <c r="F418" s="9">
        <v>72</v>
      </c>
      <c r="G418" s="6" t="s">
        <v>2067</v>
      </c>
      <c r="H418" s="7" t="s">
        <v>39</v>
      </c>
      <c r="I418" s="6" t="s">
        <v>47</v>
      </c>
      <c r="J418" s="7" t="s">
        <v>41</v>
      </c>
      <c r="K418" s="7" t="s">
        <v>26</v>
      </c>
      <c r="L418" s="9">
        <v>71</v>
      </c>
      <c r="M418" s="10">
        <v>5.28E-2</v>
      </c>
      <c r="N418" s="6" t="s">
        <v>2068</v>
      </c>
      <c r="O418" s="11">
        <v>8000</v>
      </c>
      <c r="P418" s="11">
        <f t="shared" si="17"/>
        <v>5965.92</v>
      </c>
      <c r="Q418" s="18">
        <v>1000</v>
      </c>
      <c r="R418" s="19"/>
      <c r="S418" s="2" t="str">
        <f>IF(P426&lt;O426,"CATCHUP","NONE")</f>
        <v>CATCHUP</v>
      </c>
    </row>
    <row r="419" spans="1:19" ht="43.2" hidden="1" x14ac:dyDescent="0.3">
      <c r="A419" s="6" t="s">
        <v>2069</v>
      </c>
      <c r="B419" s="7" t="s">
        <v>1762</v>
      </c>
      <c r="C419" s="17" t="s">
        <v>2070</v>
      </c>
      <c r="D419" s="17"/>
      <c r="E419" s="8">
        <v>17209</v>
      </c>
      <c r="F419" s="9">
        <v>75</v>
      </c>
      <c r="G419" s="6" t="s">
        <v>2072</v>
      </c>
      <c r="H419" s="7" t="s">
        <v>39</v>
      </c>
      <c r="I419" s="6" t="s">
        <v>132</v>
      </c>
      <c r="J419" s="7" t="s">
        <v>20</v>
      </c>
      <c r="K419" s="7" t="s">
        <v>26</v>
      </c>
      <c r="L419" s="6"/>
      <c r="M419" s="10">
        <v>5.8200000000000002E-2</v>
      </c>
      <c r="N419" s="6" t="s">
        <v>2073</v>
      </c>
      <c r="O419" s="11">
        <v>12000</v>
      </c>
      <c r="P419" s="11">
        <f t="shared" si="17"/>
        <v>10227.69</v>
      </c>
      <c r="Q419" s="18">
        <v>323.69</v>
      </c>
      <c r="R419" s="19"/>
    </row>
    <row r="420" spans="1:19" hidden="1" x14ac:dyDescent="0.3">
      <c r="A420" s="6" t="s">
        <v>2074</v>
      </c>
      <c r="B420" s="7" t="s">
        <v>185</v>
      </c>
      <c r="C420" s="17" t="s">
        <v>2075</v>
      </c>
      <c r="D420" s="17"/>
      <c r="E420" s="8">
        <v>18484</v>
      </c>
      <c r="F420" s="9">
        <v>72</v>
      </c>
      <c r="G420" s="6" t="s">
        <v>2076</v>
      </c>
      <c r="H420" s="7" t="s">
        <v>25</v>
      </c>
      <c r="I420" s="6"/>
      <c r="J420" s="7" t="s">
        <v>20</v>
      </c>
      <c r="K420" s="7" t="s">
        <v>26</v>
      </c>
      <c r="L420" s="6"/>
      <c r="M420" s="10">
        <v>5.3999999999999999E-2</v>
      </c>
      <c r="N420" s="6" t="s">
        <v>2077</v>
      </c>
      <c r="O420" s="11">
        <v>11158.32</v>
      </c>
      <c r="P420" s="11">
        <f t="shared" si="17"/>
        <v>9763.5299999999988</v>
      </c>
      <c r="Q420" s="18">
        <v>1394.79</v>
      </c>
      <c r="R420" s="19"/>
    </row>
    <row r="421" spans="1:19" ht="28.8" x14ac:dyDescent="0.3">
      <c r="A421" s="6" t="s">
        <v>2078</v>
      </c>
      <c r="B421" s="7" t="s">
        <v>120</v>
      </c>
      <c r="C421" s="17" t="s">
        <v>2079</v>
      </c>
      <c r="D421" s="17"/>
      <c r="E421" s="8">
        <v>17044</v>
      </c>
      <c r="F421" s="9">
        <v>76</v>
      </c>
      <c r="G421" s="6" t="s">
        <v>2080</v>
      </c>
      <c r="H421" s="7" t="s">
        <v>39</v>
      </c>
      <c r="I421" s="6" t="s">
        <v>321</v>
      </c>
      <c r="J421" s="7" t="s">
        <v>41</v>
      </c>
      <c r="K421" s="7" t="s">
        <v>26</v>
      </c>
      <c r="L421" s="9">
        <v>68</v>
      </c>
      <c r="M421" s="10">
        <v>4.5499999999999999E-2</v>
      </c>
      <c r="N421" s="6" t="s">
        <v>2081</v>
      </c>
      <c r="O421" s="11">
        <v>14000</v>
      </c>
      <c r="P421" s="11">
        <f t="shared" si="17"/>
        <v>13384.72</v>
      </c>
      <c r="Q421" s="18">
        <v>500</v>
      </c>
      <c r="R421" s="19"/>
      <c r="S421" s="2" t="str">
        <f t="shared" ref="S421:S422" si="20">IF(P429&lt;O429,"CATCHUP","NONE")</f>
        <v>CATCHUP</v>
      </c>
    </row>
    <row r="422" spans="1:19" ht="28.8" x14ac:dyDescent="0.3">
      <c r="A422" s="6" t="s">
        <v>2082</v>
      </c>
      <c r="B422" s="7" t="s">
        <v>2083</v>
      </c>
      <c r="C422" s="17" t="s">
        <v>2084</v>
      </c>
      <c r="D422" s="17"/>
      <c r="E422" s="8">
        <v>16922</v>
      </c>
      <c r="F422" s="9">
        <v>76</v>
      </c>
      <c r="G422" s="6" t="s">
        <v>2085</v>
      </c>
      <c r="H422" s="7" t="s">
        <v>39</v>
      </c>
      <c r="I422" s="6" t="s">
        <v>681</v>
      </c>
      <c r="J422" s="7" t="s">
        <v>41</v>
      </c>
      <c r="K422" s="7" t="s">
        <v>26</v>
      </c>
      <c r="L422" s="9">
        <v>70</v>
      </c>
      <c r="M422" s="10">
        <v>0.05</v>
      </c>
      <c r="N422" s="6" t="s">
        <v>2086</v>
      </c>
      <c r="O422" s="11">
        <v>5600</v>
      </c>
      <c r="P422" s="11">
        <f t="shared" si="17"/>
        <v>5263.07</v>
      </c>
      <c r="Q422" s="18">
        <v>700</v>
      </c>
      <c r="R422" s="19"/>
      <c r="S422" s="2" t="str">
        <f t="shared" si="20"/>
        <v>CATCHUP</v>
      </c>
    </row>
    <row r="423" spans="1:19" hidden="1" x14ac:dyDescent="0.3">
      <c r="A423" s="6" t="s">
        <v>2087</v>
      </c>
      <c r="B423" s="7" t="s">
        <v>1822</v>
      </c>
      <c r="C423" s="17" t="s">
        <v>2088</v>
      </c>
      <c r="D423" s="17"/>
      <c r="E423" s="7" t="s">
        <v>2089</v>
      </c>
      <c r="F423" s="9">
        <v>80</v>
      </c>
      <c r="G423" s="6" t="s">
        <v>2090</v>
      </c>
      <c r="H423" s="7" t="s">
        <v>25</v>
      </c>
      <c r="I423" s="6" t="s">
        <v>19</v>
      </c>
      <c r="J423" s="7" t="s">
        <v>20</v>
      </c>
      <c r="K423" s="7" t="s">
        <v>32</v>
      </c>
      <c r="L423" s="6"/>
      <c r="M423" s="10">
        <v>6.8199999999999997E-2</v>
      </c>
      <c r="N423" s="6" t="s">
        <v>2091</v>
      </c>
      <c r="O423" s="6" t="s">
        <v>19</v>
      </c>
      <c r="P423" s="11" t="e">
        <f t="shared" si="17"/>
        <v>#VALUE!</v>
      </c>
      <c r="Q423" s="19" t="s">
        <v>19</v>
      </c>
      <c r="R423" s="19"/>
    </row>
    <row r="424" spans="1:19" ht="43.2" x14ac:dyDescent="0.3">
      <c r="A424" s="6" t="s">
        <v>2092</v>
      </c>
      <c r="B424" s="7" t="s">
        <v>190</v>
      </c>
      <c r="C424" s="17" t="s">
        <v>2093</v>
      </c>
      <c r="D424" s="17"/>
      <c r="E424" s="8">
        <v>17687</v>
      </c>
      <c r="F424" s="9">
        <v>74</v>
      </c>
      <c r="G424" s="6" t="s">
        <v>2094</v>
      </c>
      <c r="H424" s="7" t="s">
        <v>39</v>
      </c>
      <c r="I424" s="6" t="s">
        <v>877</v>
      </c>
      <c r="J424" s="7" t="s">
        <v>41</v>
      </c>
      <c r="K424" s="7" t="s">
        <v>32</v>
      </c>
      <c r="L424" s="9">
        <v>69</v>
      </c>
      <c r="M424" s="10">
        <v>4.7600000000000003E-2</v>
      </c>
      <c r="N424" s="6" t="s">
        <v>2095</v>
      </c>
      <c r="O424" s="11">
        <v>38000</v>
      </c>
      <c r="P424" s="11">
        <f t="shared" si="17"/>
        <v>35965.019999999997</v>
      </c>
      <c r="Q424" s="18">
        <v>18000</v>
      </c>
      <c r="R424" s="19"/>
      <c r="S424" s="2" t="str">
        <f>IF(P432&lt;O432,"CATCHUP","NONE")</f>
        <v>CATCHUP</v>
      </c>
    </row>
    <row r="425" spans="1:19" hidden="1" x14ac:dyDescent="0.3">
      <c r="A425" s="6" t="s">
        <v>2096</v>
      </c>
      <c r="B425" s="7" t="s">
        <v>22</v>
      </c>
      <c r="C425" s="17" t="s">
        <v>2097</v>
      </c>
      <c r="D425" s="17"/>
      <c r="E425" s="8">
        <v>17551</v>
      </c>
      <c r="F425" s="9">
        <v>74</v>
      </c>
      <c r="G425" s="6" t="s">
        <v>2098</v>
      </c>
      <c r="H425" s="7" t="s">
        <v>25</v>
      </c>
      <c r="I425" s="6"/>
      <c r="J425" s="7" t="s">
        <v>20</v>
      </c>
      <c r="K425" s="7" t="s">
        <v>26</v>
      </c>
      <c r="L425" s="6"/>
      <c r="M425" s="10">
        <v>5.67E-2</v>
      </c>
      <c r="N425" s="6" t="s">
        <v>2099</v>
      </c>
      <c r="O425" s="11">
        <v>17566.240000000002</v>
      </c>
      <c r="P425" s="11">
        <f t="shared" si="17"/>
        <v>15370.460000000001</v>
      </c>
      <c r="Q425" s="18">
        <v>2195.7800000000002</v>
      </c>
      <c r="R425" s="19"/>
    </row>
    <row r="426" spans="1:19" ht="28.8" hidden="1" x14ac:dyDescent="0.3">
      <c r="A426" s="6" t="s">
        <v>2100</v>
      </c>
      <c r="B426" s="7" t="s">
        <v>2101</v>
      </c>
      <c r="C426" s="17" t="s">
        <v>2102</v>
      </c>
      <c r="D426" s="17"/>
      <c r="E426" s="8">
        <v>16751</v>
      </c>
      <c r="F426" s="9">
        <v>77</v>
      </c>
      <c r="G426" s="6" t="s">
        <v>2103</v>
      </c>
      <c r="H426" s="7" t="s">
        <v>39</v>
      </c>
      <c r="I426" s="6" t="s">
        <v>321</v>
      </c>
      <c r="J426" s="7" t="s">
        <v>20</v>
      </c>
      <c r="K426" s="7" t="s">
        <v>26</v>
      </c>
      <c r="L426" s="6"/>
      <c r="M426" s="10">
        <v>6.1699999999999998E-2</v>
      </c>
      <c r="N426" s="6" t="s">
        <v>2104</v>
      </c>
      <c r="O426" s="11">
        <v>4000</v>
      </c>
      <c r="P426" s="11">
        <f t="shared" si="17"/>
        <v>3776.72</v>
      </c>
      <c r="Q426" s="18">
        <v>500</v>
      </c>
      <c r="R426" s="19"/>
    </row>
    <row r="427" spans="1:19" ht="43.2" hidden="1" x14ac:dyDescent="0.3">
      <c r="A427" s="6" t="s">
        <v>2105</v>
      </c>
      <c r="B427" s="7" t="s">
        <v>1303</v>
      </c>
      <c r="C427" s="17" t="s">
        <v>2106</v>
      </c>
      <c r="D427" s="17"/>
      <c r="E427" s="8">
        <v>17993</v>
      </c>
      <c r="F427" s="9">
        <v>73</v>
      </c>
      <c r="G427" s="6" t="s">
        <v>2107</v>
      </c>
      <c r="H427" s="7" t="s">
        <v>39</v>
      </c>
      <c r="I427" s="6" t="s">
        <v>47</v>
      </c>
      <c r="J427" s="7" t="s">
        <v>20</v>
      </c>
      <c r="K427" s="7" t="s">
        <v>26</v>
      </c>
      <c r="L427" s="6"/>
      <c r="M427" s="10">
        <v>5.5300000000000002E-2</v>
      </c>
      <c r="N427" s="6" t="s">
        <v>2108</v>
      </c>
      <c r="O427" s="11">
        <v>8000</v>
      </c>
      <c r="P427" s="11">
        <f t="shared" si="17"/>
        <v>6967.12</v>
      </c>
      <c r="Q427" s="18">
        <v>1000</v>
      </c>
      <c r="R427" s="19"/>
    </row>
    <row r="428" spans="1:19" ht="28.8" x14ac:dyDescent="0.3">
      <c r="A428" s="6" t="s">
        <v>2109</v>
      </c>
      <c r="B428" s="7" t="s">
        <v>2110</v>
      </c>
      <c r="C428" s="17" t="s">
        <v>2111</v>
      </c>
      <c r="D428" s="17"/>
      <c r="E428" s="8">
        <v>16227</v>
      </c>
      <c r="F428" s="9">
        <v>78</v>
      </c>
      <c r="G428" s="6" t="s">
        <v>2112</v>
      </c>
      <c r="H428" s="7" t="s">
        <v>25</v>
      </c>
      <c r="I428" s="6"/>
      <c r="J428" s="7" t="s">
        <v>41</v>
      </c>
      <c r="K428" s="7" t="s">
        <v>26</v>
      </c>
      <c r="L428" s="9">
        <v>68</v>
      </c>
      <c r="M428" s="10">
        <v>4.5499999999999999E-2</v>
      </c>
      <c r="N428" s="6" t="s">
        <v>2113</v>
      </c>
      <c r="O428" s="11">
        <v>3281.36</v>
      </c>
      <c r="P428" s="11">
        <f t="shared" si="17"/>
        <v>2871.19</v>
      </c>
      <c r="Q428" s="18">
        <v>410.17</v>
      </c>
      <c r="R428" s="19"/>
      <c r="S428" s="2" t="str">
        <f>IF(P436&lt;O436,"CATCHUP","NONE")</f>
        <v>CATCHUP</v>
      </c>
    </row>
    <row r="429" spans="1:19" hidden="1" x14ac:dyDescent="0.3">
      <c r="A429" s="6" t="s">
        <v>2114</v>
      </c>
      <c r="B429" s="7" t="s">
        <v>330</v>
      </c>
      <c r="C429" s="17" t="s">
        <v>2115</v>
      </c>
      <c r="D429" s="17"/>
      <c r="E429" s="8">
        <v>18574</v>
      </c>
      <c r="F429" s="9">
        <v>72</v>
      </c>
      <c r="G429" s="6" t="s">
        <v>2116</v>
      </c>
      <c r="H429" s="7" t="s">
        <v>25</v>
      </c>
      <c r="I429" s="6"/>
      <c r="J429" s="7" t="s">
        <v>20</v>
      </c>
      <c r="K429" s="7" t="s">
        <v>26</v>
      </c>
      <c r="L429" s="6"/>
      <c r="M429" s="10">
        <v>5.3999999999999999E-2</v>
      </c>
      <c r="N429" s="6" t="s">
        <v>2117</v>
      </c>
      <c r="O429" s="11">
        <v>55000</v>
      </c>
      <c r="P429" s="11">
        <f t="shared" si="17"/>
        <v>54446.82</v>
      </c>
      <c r="Q429" s="18">
        <v>55000</v>
      </c>
      <c r="R429" s="19"/>
    </row>
    <row r="430" spans="1:19" ht="43.2" hidden="1" x14ac:dyDescent="0.3">
      <c r="A430" s="6" t="s">
        <v>2118</v>
      </c>
      <c r="B430" s="7" t="s">
        <v>2119</v>
      </c>
      <c r="C430" s="17" t="s">
        <v>2120</v>
      </c>
      <c r="D430" s="17"/>
      <c r="E430" s="8">
        <v>18405</v>
      </c>
      <c r="F430" s="9">
        <v>72</v>
      </c>
      <c r="G430" s="6" t="s">
        <v>2121</v>
      </c>
      <c r="H430" s="7" t="s">
        <v>39</v>
      </c>
      <c r="I430" s="6" t="s">
        <v>2122</v>
      </c>
      <c r="J430" s="7" t="s">
        <v>20</v>
      </c>
      <c r="K430" s="7" t="s">
        <v>26</v>
      </c>
      <c r="L430" s="6"/>
      <c r="M430" s="10">
        <v>5.3999999999999999E-2</v>
      </c>
      <c r="N430" s="6" t="s">
        <v>2123</v>
      </c>
      <c r="O430" s="11">
        <v>10200</v>
      </c>
      <c r="P430" s="11">
        <f t="shared" si="17"/>
        <v>9211.7099999999991</v>
      </c>
      <c r="Q430" s="18">
        <v>1275</v>
      </c>
      <c r="R430" s="19"/>
    </row>
    <row r="431" spans="1:19" ht="43.2" hidden="1" x14ac:dyDescent="0.3">
      <c r="A431" s="6" t="s">
        <v>2124</v>
      </c>
      <c r="B431" s="7" t="s">
        <v>29</v>
      </c>
      <c r="C431" s="17" t="s">
        <v>2125</v>
      </c>
      <c r="D431" s="17"/>
      <c r="E431" s="8">
        <v>17902</v>
      </c>
      <c r="F431" s="9">
        <v>73</v>
      </c>
      <c r="G431" s="6" t="s">
        <v>2126</v>
      </c>
      <c r="H431" s="7" t="s">
        <v>39</v>
      </c>
      <c r="I431" s="6" t="s">
        <v>243</v>
      </c>
      <c r="J431" s="7" t="s">
        <v>20</v>
      </c>
      <c r="K431" s="7" t="s">
        <v>26</v>
      </c>
      <c r="L431" s="6"/>
      <c r="M431" s="10">
        <v>5.5300000000000002E-2</v>
      </c>
      <c r="N431" s="6" t="s">
        <v>2127</v>
      </c>
      <c r="O431" s="11">
        <v>14400</v>
      </c>
      <c r="P431" s="11">
        <f t="shared" si="17"/>
        <v>13161.74</v>
      </c>
      <c r="Q431" s="18">
        <v>1800</v>
      </c>
      <c r="R431" s="19"/>
    </row>
    <row r="432" spans="1:19" ht="28.8" x14ac:dyDescent="0.3">
      <c r="A432" s="6" t="s">
        <v>2128</v>
      </c>
      <c r="B432" s="7" t="s">
        <v>330</v>
      </c>
      <c r="C432" s="17" t="s">
        <v>2129</v>
      </c>
      <c r="D432" s="17"/>
      <c r="E432" s="8">
        <v>17716</v>
      </c>
      <c r="F432" s="9">
        <v>74</v>
      </c>
      <c r="G432" s="6" t="s">
        <v>2131</v>
      </c>
      <c r="H432" s="7" t="s">
        <v>39</v>
      </c>
      <c r="I432" s="6" t="s">
        <v>176</v>
      </c>
      <c r="J432" s="7" t="s">
        <v>41</v>
      </c>
      <c r="K432" s="7" t="s">
        <v>26</v>
      </c>
      <c r="L432" s="9">
        <v>70</v>
      </c>
      <c r="M432" s="10">
        <v>0.05</v>
      </c>
      <c r="N432" s="6" t="s">
        <v>2132</v>
      </c>
      <c r="O432" s="11">
        <v>4800</v>
      </c>
      <c r="P432" s="11">
        <f t="shared" si="17"/>
        <v>4382.71</v>
      </c>
      <c r="Q432" s="18">
        <v>600</v>
      </c>
      <c r="R432" s="19"/>
      <c r="S432" s="2" t="e">
        <f t="shared" ref="S432:S433" si="21">IF(P440&lt;O440,"CATCHUP","NONE")</f>
        <v>#VALUE!</v>
      </c>
    </row>
    <row r="433" spans="1:19" ht="43.2" x14ac:dyDescent="0.3">
      <c r="A433" s="6" t="s">
        <v>2133</v>
      </c>
      <c r="B433" s="7" t="s">
        <v>1712</v>
      </c>
      <c r="C433" s="17" t="s">
        <v>2134</v>
      </c>
      <c r="D433" s="17"/>
      <c r="E433" s="8">
        <v>17949</v>
      </c>
      <c r="F433" s="9">
        <v>73</v>
      </c>
      <c r="G433" s="6" t="s">
        <v>2135</v>
      </c>
      <c r="H433" s="7" t="s">
        <v>39</v>
      </c>
      <c r="I433" s="6" t="s">
        <v>1031</v>
      </c>
      <c r="J433" s="7" t="s">
        <v>41</v>
      </c>
      <c r="K433" s="7" t="s">
        <v>26</v>
      </c>
      <c r="L433" s="9">
        <v>71</v>
      </c>
      <c r="M433" s="10">
        <v>5.28E-2</v>
      </c>
      <c r="N433" s="6" t="s">
        <v>2136</v>
      </c>
      <c r="O433" s="11">
        <v>18000</v>
      </c>
      <c r="P433" s="11">
        <f t="shared" si="17"/>
        <v>16169.48</v>
      </c>
      <c r="Q433" s="18">
        <v>2250</v>
      </c>
      <c r="R433" s="19"/>
      <c r="S433" s="2" t="e">
        <f t="shared" si="21"/>
        <v>#VALUE!</v>
      </c>
    </row>
    <row r="434" spans="1:19" ht="43.2" hidden="1" x14ac:dyDescent="0.3">
      <c r="A434" s="6" t="s">
        <v>2137</v>
      </c>
      <c r="B434" s="7" t="s">
        <v>2138</v>
      </c>
      <c r="C434" s="17" t="s">
        <v>2139</v>
      </c>
      <c r="D434" s="17"/>
      <c r="E434" s="8">
        <v>17899</v>
      </c>
      <c r="F434" s="9">
        <v>73</v>
      </c>
      <c r="G434" s="6" t="s">
        <v>2140</v>
      </c>
      <c r="H434" s="7" t="s">
        <v>39</v>
      </c>
      <c r="I434" s="6" t="s">
        <v>47</v>
      </c>
      <c r="J434" s="7" t="s">
        <v>20</v>
      </c>
      <c r="K434" s="7" t="s">
        <v>26</v>
      </c>
      <c r="L434" s="6"/>
      <c r="M434" s="10">
        <v>5.5300000000000002E-2</v>
      </c>
      <c r="N434" s="6" t="s">
        <v>2141</v>
      </c>
      <c r="O434" s="11">
        <v>8000</v>
      </c>
      <c r="P434" s="11">
        <f t="shared" si="17"/>
        <v>7446.1</v>
      </c>
      <c r="Q434" s="18">
        <v>1000</v>
      </c>
      <c r="R434" s="19"/>
    </row>
    <row r="435" spans="1:19" hidden="1" x14ac:dyDescent="0.3">
      <c r="A435" s="6" t="s">
        <v>2142</v>
      </c>
      <c r="B435" s="7" t="s">
        <v>2143</v>
      </c>
      <c r="C435" s="17" t="s">
        <v>2144</v>
      </c>
      <c r="D435" s="17"/>
      <c r="E435" s="7" t="s">
        <v>2145</v>
      </c>
      <c r="F435" s="9">
        <v>73</v>
      </c>
      <c r="G435" s="6" t="s">
        <v>2146</v>
      </c>
      <c r="H435" s="7" t="s">
        <v>25</v>
      </c>
      <c r="I435" s="6" t="s">
        <v>19</v>
      </c>
      <c r="J435" s="7" t="s">
        <v>41</v>
      </c>
      <c r="K435" s="7" t="s">
        <v>26</v>
      </c>
      <c r="L435" s="9">
        <v>70</v>
      </c>
      <c r="M435" s="10">
        <v>0.05</v>
      </c>
      <c r="N435" s="6" t="s">
        <v>2147</v>
      </c>
      <c r="O435" s="6" t="s">
        <v>19</v>
      </c>
      <c r="P435" s="11" t="e">
        <f t="shared" si="17"/>
        <v>#VALUE!</v>
      </c>
      <c r="Q435" s="19" t="s">
        <v>19</v>
      </c>
      <c r="R435" s="19"/>
    </row>
    <row r="436" spans="1:19" ht="43.2" hidden="1" x14ac:dyDescent="0.3">
      <c r="A436" s="6" t="s">
        <v>2148</v>
      </c>
      <c r="B436" s="7" t="s">
        <v>125</v>
      </c>
      <c r="C436" s="17" t="s">
        <v>2149</v>
      </c>
      <c r="D436" s="17"/>
      <c r="E436" s="8">
        <v>15322</v>
      </c>
      <c r="F436" s="9">
        <v>81</v>
      </c>
      <c r="G436" s="6" t="s">
        <v>2150</v>
      </c>
      <c r="H436" s="7" t="s">
        <v>39</v>
      </c>
      <c r="I436" s="6" t="s">
        <v>2151</v>
      </c>
      <c r="J436" s="7" t="s">
        <v>20</v>
      </c>
      <c r="K436" s="7" t="s">
        <v>26</v>
      </c>
      <c r="L436" s="6"/>
      <c r="M436" s="10">
        <v>7.0800000000000002E-2</v>
      </c>
      <c r="N436" s="6" t="s">
        <v>2152</v>
      </c>
      <c r="O436" s="11">
        <v>96000</v>
      </c>
      <c r="P436" s="11">
        <f t="shared" si="17"/>
        <v>94828.82</v>
      </c>
      <c r="Q436" s="18">
        <v>12000</v>
      </c>
      <c r="R436" s="19"/>
    </row>
    <row r="437" spans="1:19" hidden="1" x14ac:dyDescent="0.3">
      <c r="A437" s="6" t="s">
        <v>2153</v>
      </c>
      <c r="B437" s="7" t="s">
        <v>2154</v>
      </c>
      <c r="C437" s="17" t="s">
        <v>2155</v>
      </c>
      <c r="D437" s="17"/>
      <c r="E437" s="7" t="s">
        <v>2156</v>
      </c>
      <c r="F437" s="9">
        <v>76</v>
      </c>
      <c r="G437" s="6" t="s">
        <v>2157</v>
      </c>
      <c r="H437" s="7" t="s">
        <v>25</v>
      </c>
      <c r="I437" s="6" t="s">
        <v>19</v>
      </c>
      <c r="J437" s="7" t="s">
        <v>20</v>
      </c>
      <c r="K437" s="7" t="s">
        <v>32</v>
      </c>
      <c r="L437" s="6"/>
      <c r="M437" s="10">
        <v>5.9799999999999999E-2</v>
      </c>
      <c r="N437" s="6" t="s">
        <v>2158</v>
      </c>
      <c r="O437" s="6" t="s">
        <v>19</v>
      </c>
      <c r="P437" s="11" t="e">
        <f t="shared" si="17"/>
        <v>#VALUE!</v>
      </c>
      <c r="Q437" s="19" t="s">
        <v>19</v>
      </c>
      <c r="R437" s="19"/>
    </row>
    <row r="438" spans="1:19" ht="28.8" hidden="1" x14ac:dyDescent="0.3">
      <c r="A438" s="6" t="s">
        <v>2159</v>
      </c>
      <c r="B438" s="7" t="s">
        <v>2160</v>
      </c>
      <c r="C438" s="17" t="s">
        <v>2161</v>
      </c>
      <c r="D438" s="17"/>
      <c r="E438" s="7" t="s">
        <v>2162</v>
      </c>
      <c r="F438" s="9">
        <v>72</v>
      </c>
      <c r="G438" s="6" t="s">
        <v>2163</v>
      </c>
      <c r="H438" s="7" t="s">
        <v>39</v>
      </c>
      <c r="I438" s="6" t="s">
        <v>1160</v>
      </c>
      <c r="J438" s="7" t="s">
        <v>20</v>
      </c>
      <c r="K438" s="7" t="s">
        <v>26</v>
      </c>
      <c r="L438" s="6"/>
      <c r="M438" s="10">
        <v>5.3999999999999999E-2</v>
      </c>
      <c r="N438" s="6" t="s">
        <v>2164</v>
      </c>
      <c r="O438" s="6" t="s">
        <v>19</v>
      </c>
      <c r="P438" s="11" t="e">
        <f t="shared" si="17"/>
        <v>#VALUE!</v>
      </c>
      <c r="Q438" s="19" t="s">
        <v>19</v>
      </c>
      <c r="R438" s="19"/>
    </row>
    <row r="439" spans="1:19" hidden="1" x14ac:dyDescent="0.3">
      <c r="A439" s="6" t="s">
        <v>2165</v>
      </c>
      <c r="B439" s="7" t="s">
        <v>2166</v>
      </c>
      <c r="C439" s="17" t="s">
        <v>2167</v>
      </c>
      <c r="D439" s="17"/>
      <c r="E439" s="8">
        <v>17035</v>
      </c>
      <c r="F439" s="9">
        <v>76</v>
      </c>
      <c r="G439" s="6" t="s">
        <v>2168</v>
      </c>
      <c r="H439" s="7" t="s">
        <v>25</v>
      </c>
      <c r="I439" s="6"/>
      <c r="J439" s="7" t="s">
        <v>20</v>
      </c>
      <c r="K439" s="7" t="s">
        <v>26</v>
      </c>
      <c r="L439" s="6"/>
      <c r="M439" s="10">
        <v>5.9799999999999999E-2</v>
      </c>
      <c r="N439" s="6" t="s">
        <v>2169</v>
      </c>
      <c r="O439" s="11">
        <v>91072.72</v>
      </c>
      <c r="P439" s="11">
        <f t="shared" si="17"/>
        <v>79688.63</v>
      </c>
      <c r="Q439" s="18">
        <v>11384.09</v>
      </c>
      <c r="R439" s="19"/>
    </row>
    <row r="440" spans="1:19" hidden="1" x14ac:dyDescent="0.3">
      <c r="A440" s="6" t="s">
        <v>2170</v>
      </c>
      <c r="B440" s="7" t="s">
        <v>140</v>
      </c>
      <c r="C440" s="17" t="s">
        <v>2171</v>
      </c>
      <c r="D440" s="17"/>
      <c r="E440" s="7" t="s">
        <v>2172</v>
      </c>
      <c r="F440" s="9">
        <v>76</v>
      </c>
      <c r="G440" s="6" t="s">
        <v>2173</v>
      </c>
      <c r="H440" s="7" t="s">
        <v>25</v>
      </c>
      <c r="I440" s="6" t="s">
        <v>19</v>
      </c>
      <c r="J440" s="7" t="s">
        <v>20</v>
      </c>
      <c r="K440" s="7" t="s">
        <v>26</v>
      </c>
      <c r="L440" s="6"/>
      <c r="M440" s="10">
        <v>5.9799999999999999E-2</v>
      </c>
      <c r="N440" s="6" t="s">
        <v>2174</v>
      </c>
      <c r="O440" s="6" t="s">
        <v>19</v>
      </c>
      <c r="P440" s="11" t="e">
        <f t="shared" si="17"/>
        <v>#VALUE!</v>
      </c>
      <c r="Q440" s="19" t="s">
        <v>19</v>
      </c>
      <c r="R440" s="19"/>
    </row>
    <row r="441" spans="1:19" hidden="1" x14ac:dyDescent="0.3">
      <c r="A441" s="6" t="s">
        <v>2175</v>
      </c>
      <c r="B441" s="7" t="s">
        <v>2176</v>
      </c>
      <c r="C441" s="17" t="s">
        <v>2177</v>
      </c>
      <c r="D441" s="17"/>
      <c r="E441" s="7" t="s">
        <v>2178</v>
      </c>
      <c r="F441" s="9">
        <v>80</v>
      </c>
      <c r="G441" s="6" t="s">
        <v>2179</v>
      </c>
      <c r="H441" s="7" t="s">
        <v>25</v>
      </c>
      <c r="I441" s="6" t="s">
        <v>19</v>
      </c>
      <c r="J441" s="7" t="s">
        <v>20</v>
      </c>
      <c r="K441" s="7" t="s">
        <v>32</v>
      </c>
      <c r="L441" s="6"/>
      <c r="M441" s="10">
        <v>6.8199999999999997E-2</v>
      </c>
      <c r="N441" s="6" t="s">
        <v>2180</v>
      </c>
      <c r="O441" s="6" t="s">
        <v>19</v>
      </c>
      <c r="P441" s="11" t="e">
        <f t="shared" si="17"/>
        <v>#VALUE!</v>
      </c>
      <c r="Q441" s="19" t="s">
        <v>19</v>
      </c>
      <c r="R441" s="19"/>
    </row>
    <row r="442" spans="1:19" ht="43.2" hidden="1" x14ac:dyDescent="0.3">
      <c r="A442" s="6" t="s">
        <v>2181</v>
      </c>
      <c r="B442" s="7" t="s">
        <v>2182</v>
      </c>
      <c r="C442" s="17" t="s">
        <v>2183</v>
      </c>
      <c r="D442" s="17"/>
      <c r="E442" s="8">
        <v>18603</v>
      </c>
      <c r="F442" s="9">
        <v>72</v>
      </c>
      <c r="G442" s="6" t="s">
        <v>2185</v>
      </c>
      <c r="H442" s="7" t="s">
        <v>39</v>
      </c>
      <c r="I442" s="6" t="s">
        <v>132</v>
      </c>
      <c r="J442" s="7" t="s">
        <v>20</v>
      </c>
      <c r="K442" s="7" t="s">
        <v>26</v>
      </c>
      <c r="L442" s="6"/>
      <c r="M442" s="10">
        <v>5.3999999999999999E-2</v>
      </c>
      <c r="N442" s="6" t="s">
        <v>2186</v>
      </c>
      <c r="O442" s="11">
        <v>12000</v>
      </c>
      <c r="P442" s="11">
        <f t="shared" si="17"/>
        <v>9774.56</v>
      </c>
      <c r="Q442" s="18">
        <v>1500</v>
      </c>
      <c r="R442" s="19"/>
    </row>
    <row r="443" spans="1:19" hidden="1" x14ac:dyDescent="0.3">
      <c r="A443" s="6" t="s">
        <v>2187</v>
      </c>
      <c r="B443" s="7" t="s">
        <v>2188</v>
      </c>
      <c r="C443" s="17" t="s">
        <v>2183</v>
      </c>
      <c r="D443" s="17"/>
      <c r="E443" s="8">
        <v>17336</v>
      </c>
      <c r="F443" s="9">
        <v>75</v>
      </c>
      <c r="G443" s="6" t="s">
        <v>2189</v>
      </c>
      <c r="H443" s="7" t="s">
        <v>25</v>
      </c>
      <c r="I443" s="6"/>
      <c r="J443" s="7" t="s">
        <v>20</v>
      </c>
      <c r="K443" s="7" t="s">
        <v>26</v>
      </c>
      <c r="L443" s="6"/>
      <c r="M443" s="10">
        <v>5.8200000000000002E-2</v>
      </c>
      <c r="N443" s="6" t="s">
        <v>2190</v>
      </c>
      <c r="O443" s="11">
        <v>19085.439999999999</v>
      </c>
      <c r="P443" s="11">
        <f t="shared" si="17"/>
        <v>16699.759999999998</v>
      </c>
      <c r="Q443" s="18">
        <v>2385.6799999999998</v>
      </c>
      <c r="R443" s="19"/>
    </row>
    <row r="444" spans="1:19" ht="43.2" x14ac:dyDescent="0.3">
      <c r="A444" s="6" t="s">
        <v>2191</v>
      </c>
      <c r="B444" s="7" t="s">
        <v>2192</v>
      </c>
      <c r="C444" s="17" t="s">
        <v>2193</v>
      </c>
      <c r="D444" s="17"/>
      <c r="E444" s="8">
        <v>18373</v>
      </c>
      <c r="F444" s="9">
        <v>72</v>
      </c>
      <c r="G444" s="6" t="s">
        <v>2194</v>
      </c>
      <c r="H444" s="7" t="s">
        <v>39</v>
      </c>
      <c r="I444" s="6" t="s">
        <v>122</v>
      </c>
      <c r="J444" s="7" t="s">
        <v>41</v>
      </c>
      <c r="K444" s="7" t="s">
        <v>26</v>
      </c>
      <c r="L444" s="9">
        <v>70</v>
      </c>
      <c r="M444" s="10">
        <v>0.05</v>
      </c>
      <c r="N444" s="6" t="s">
        <v>2195</v>
      </c>
      <c r="O444" s="11">
        <v>16000</v>
      </c>
      <c r="P444" s="11">
        <f t="shared" si="17"/>
        <v>15444.28</v>
      </c>
      <c r="Q444" s="18">
        <v>2000</v>
      </c>
      <c r="R444" s="19"/>
      <c r="S444" s="2" t="str">
        <f>IF(P452&lt;O452,"CATCHUP","NONE")</f>
        <v>CATCHUP</v>
      </c>
    </row>
    <row r="445" spans="1:19" hidden="1" x14ac:dyDescent="0.3">
      <c r="A445" s="6" t="s">
        <v>2196</v>
      </c>
      <c r="B445" s="7" t="s">
        <v>2197</v>
      </c>
      <c r="C445" s="17" t="s">
        <v>2198</v>
      </c>
      <c r="D445" s="17"/>
      <c r="E445" s="7" t="s">
        <v>2199</v>
      </c>
      <c r="F445" s="9">
        <v>76</v>
      </c>
      <c r="G445" s="6" t="s">
        <v>2200</v>
      </c>
      <c r="H445" s="7" t="s">
        <v>25</v>
      </c>
      <c r="I445" s="6" t="s">
        <v>19</v>
      </c>
      <c r="J445" s="7" t="s">
        <v>20</v>
      </c>
      <c r="K445" s="7" t="s">
        <v>32</v>
      </c>
      <c r="L445" s="6"/>
      <c r="M445" s="10">
        <v>5.9799999999999999E-2</v>
      </c>
      <c r="N445" s="6" t="s">
        <v>2201</v>
      </c>
      <c r="O445" s="6" t="s">
        <v>19</v>
      </c>
      <c r="P445" s="11" t="e">
        <f t="shared" si="17"/>
        <v>#VALUE!</v>
      </c>
      <c r="Q445" s="19" t="s">
        <v>19</v>
      </c>
      <c r="R445" s="19"/>
    </row>
    <row r="446" spans="1:19" ht="43.2" hidden="1" x14ac:dyDescent="0.3">
      <c r="A446" s="6" t="s">
        <v>2202</v>
      </c>
      <c r="B446" s="7" t="s">
        <v>210</v>
      </c>
      <c r="C446" s="17" t="s">
        <v>2198</v>
      </c>
      <c r="D446" s="17"/>
      <c r="E446" s="8">
        <v>18150</v>
      </c>
      <c r="F446" s="9">
        <v>73</v>
      </c>
      <c r="G446" s="6" t="s">
        <v>2203</v>
      </c>
      <c r="H446" s="7" t="s">
        <v>39</v>
      </c>
      <c r="I446" s="6" t="s">
        <v>40</v>
      </c>
      <c r="J446" s="7" t="s">
        <v>20</v>
      </c>
      <c r="K446" s="7" t="s">
        <v>26</v>
      </c>
      <c r="L446" s="6"/>
      <c r="M446" s="10">
        <v>5.5300000000000002E-2</v>
      </c>
      <c r="N446" s="6" t="s">
        <v>2204</v>
      </c>
      <c r="O446" s="11">
        <v>24000</v>
      </c>
      <c r="P446" s="11">
        <f t="shared" si="17"/>
        <v>20832.86</v>
      </c>
      <c r="Q446" s="18">
        <v>3000</v>
      </c>
      <c r="R446" s="19"/>
    </row>
    <row r="447" spans="1:19" hidden="1" x14ac:dyDescent="0.3">
      <c r="A447" s="6" t="s">
        <v>2205</v>
      </c>
      <c r="B447" s="7" t="s">
        <v>707</v>
      </c>
      <c r="C447" s="17" t="s">
        <v>2206</v>
      </c>
      <c r="D447" s="17"/>
      <c r="E447" s="7" t="s">
        <v>2207</v>
      </c>
      <c r="F447" s="9">
        <v>77</v>
      </c>
      <c r="G447" s="6" t="s">
        <v>2208</v>
      </c>
      <c r="H447" s="7" t="s">
        <v>25</v>
      </c>
      <c r="I447" s="6" t="s">
        <v>19</v>
      </c>
      <c r="J447" s="7" t="s">
        <v>20</v>
      </c>
      <c r="K447" s="7" t="s">
        <v>32</v>
      </c>
      <c r="L447" s="6"/>
      <c r="M447" s="10">
        <v>6.1699999999999998E-2</v>
      </c>
      <c r="N447" s="6" t="s">
        <v>2209</v>
      </c>
      <c r="O447" s="6" t="s">
        <v>19</v>
      </c>
      <c r="P447" s="11" t="e">
        <f t="shared" si="17"/>
        <v>#VALUE!</v>
      </c>
      <c r="Q447" s="19" t="s">
        <v>19</v>
      </c>
      <c r="R447" s="19"/>
    </row>
    <row r="448" spans="1:19" ht="28.8" hidden="1" x14ac:dyDescent="0.3">
      <c r="A448" s="6" t="s">
        <v>2210</v>
      </c>
      <c r="B448" s="7" t="s">
        <v>2211</v>
      </c>
      <c r="C448" s="17" t="s">
        <v>2212</v>
      </c>
      <c r="D448" s="17"/>
      <c r="E448" s="8">
        <v>18199</v>
      </c>
      <c r="F448" s="9">
        <v>73</v>
      </c>
      <c r="G448" s="6" t="s">
        <v>2213</v>
      </c>
      <c r="H448" s="7" t="s">
        <v>39</v>
      </c>
      <c r="I448" s="6" t="s">
        <v>1160</v>
      </c>
      <c r="J448" s="7" t="s">
        <v>20</v>
      </c>
      <c r="K448" s="7" t="s">
        <v>26</v>
      </c>
      <c r="L448" s="6"/>
      <c r="M448" s="10">
        <v>5.5300000000000002E-2</v>
      </c>
      <c r="N448" s="6" t="s">
        <v>2214</v>
      </c>
      <c r="O448" s="11">
        <v>3200</v>
      </c>
      <c r="P448" s="11">
        <f t="shared" si="17"/>
        <v>2875.98</v>
      </c>
      <c r="Q448" s="18">
        <v>400</v>
      </c>
      <c r="R448" s="19"/>
    </row>
    <row r="449" spans="1:19" ht="43.2" hidden="1" x14ac:dyDescent="0.3">
      <c r="A449" s="6" t="s">
        <v>2215</v>
      </c>
      <c r="B449" s="7" t="s">
        <v>190</v>
      </c>
      <c r="C449" s="17" t="s">
        <v>2216</v>
      </c>
      <c r="D449" s="17"/>
      <c r="E449" s="8">
        <v>16885</v>
      </c>
      <c r="F449" s="9">
        <v>76</v>
      </c>
      <c r="G449" s="6" t="s">
        <v>2217</v>
      </c>
      <c r="H449" s="7" t="s">
        <v>39</v>
      </c>
      <c r="I449" s="6" t="s">
        <v>106</v>
      </c>
      <c r="J449" s="7" t="s">
        <v>20</v>
      </c>
      <c r="K449" s="7" t="s">
        <v>26</v>
      </c>
      <c r="L449" s="6"/>
      <c r="M449" s="10">
        <v>5.9799999999999999E-2</v>
      </c>
      <c r="N449" s="6" t="s">
        <v>2218</v>
      </c>
      <c r="O449" s="11">
        <v>37000</v>
      </c>
      <c r="P449" s="11">
        <f t="shared" si="17"/>
        <v>32902.729999999996</v>
      </c>
      <c r="Q449" s="18">
        <v>4000</v>
      </c>
      <c r="R449" s="19"/>
    </row>
    <row r="450" spans="1:19" ht="43.2" hidden="1" x14ac:dyDescent="0.3">
      <c r="A450" s="6" t="s">
        <v>2219</v>
      </c>
      <c r="B450" s="7" t="s">
        <v>1207</v>
      </c>
      <c r="C450" s="17" t="s">
        <v>2220</v>
      </c>
      <c r="D450" s="17"/>
      <c r="E450" s="8">
        <v>16895</v>
      </c>
      <c r="F450" s="9">
        <v>76</v>
      </c>
      <c r="G450" s="6" t="s">
        <v>2221</v>
      </c>
      <c r="H450" s="7" t="s">
        <v>39</v>
      </c>
      <c r="I450" s="6" t="s">
        <v>728</v>
      </c>
      <c r="J450" s="7" t="s">
        <v>20</v>
      </c>
      <c r="K450" s="7" t="s">
        <v>26</v>
      </c>
      <c r="L450" s="6"/>
      <c r="M450" s="10">
        <v>5.9799999999999999E-2</v>
      </c>
      <c r="N450" s="6" t="s">
        <v>2222</v>
      </c>
      <c r="O450" s="11">
        <v>28000</v>
      </c>
      <c r="P450" s="11">
        <f t="shared" si="17"/>
        <v>25081.35</v>
      </c>
      <c r="Q450" s="18">
        <v>660.96</v>
      </c>
      <c r="R450" s="19"/>
    </row>
    <row r="451" spans="1:19" ht="43.2" hidden="1" x14ac:dyDescent="0.3">
      <c r="A451" s="6" t="s">
        <v>2223</v>
      </c>
      <c r="B451" s="7" t="s">
        <v>2224</v>
      </c>
      <c r="C451" s="17" t="s">
        <v>2225</v>
      </c>
      <c r="D451" s="17"/>
      <c r="E451" s="8">
        <v>16614</v>
      </c>
      <c r="F451" s="9">
        <v>77</v>
      </c>
      <c r="G451" s="6" t="s">
        <v>2226</v>
      </c>
      <c r="H451" s="7" t="s">
        <v>39</v>
      </c>
      <c r="I451" s="6" t="s">
        <v>1147</v>
      </c>
      <c r="J451" s="7" t="s">
        <v>20</v>
      </c>
      <c r="K451" s="7" t="s">
        <v>26</v>
      </c>
      <c r="L451" s="6"/>
      <c r="M451" s="10">
        <v>6.1699999999999998E-2</v>
      </c>
      <c r="N451" s="6" t="s">
        <v>2227</v>
      </c>
      <c r="O451" s="11">
        <v>24800</v>
      </c>
      <c r="P451" s="11">
        <f t="shared" si="17"/>
        <v>22316.57</v>
      </c>
      <c r="Q451" s="18">
        <v>3100</v>
      </c>
      <c r="R451" s="19"/>
    </row>
    <row r="452" spans="1:19" ht="43.2" hidden="1" x14ac:dyDescent="0.3">
      <c r="A452" s="6" t="s">
        <v>2228</v>
      </c>
      <c r="B452" s="7" t="s">
        <v>129</v>
      </c>
      <c r="C452" s="17" t="s">
        <v>2229</v>
      </c>
      <c r="D452" s="17"/>
      <c r="E452" s="8">
        <v>18450</v>
      </c>
      <c r="F452" s="9">
        <v>72</v>
      </c>
      <c r="G452" s="6" t="s">
        <v>2230</v>
      </c>
      <c r="H452" s="7" t="s">
        <v>39</v>
      </c>
      <c r="I452" s="6" t="s">
        <v>106</v>
      </c>
      <c r="J452" s="7" t="s">
        <v>20</v>
      </c>
      <c r="K452" s="7" t="s">
        <v>32</v>
      </c>
      <c r="L452" s="6"/>
      <c r="M452" s="10">
        <v>5.3999999999999999E-2</v>
      </c>
      <c r="N452" s="6" t="s">
        <v>2231</v>
      </c>
      <c r="O452" s="11">
        <v>4000</v>
      </c>
      <c r="P452" s="11">
        <f t="shared" ref="P452:P492" si="22">O452-N452</f>
        <v>3749.36</v>
      </c>
      <c r="Q452" s="18">
        <v>4000</v>
      </c>
      <c r="R452" s="19"/>
    </row>
    <row r="453" spans="1:19" x14ac:dyDescent="0.3">
      <c r="A453" s="6" t="s">
        <v>2232</v>
      </c>
      <c r="B453" s="7" t="s">
        <v>129</v>
      </c>
      <c r="C453" s="17" t="s">
        <v>2229</v>
      </c>
      <c r="D453" s="17"/>
      <c r="E453" s="8">
        <v>17987</v>
      </c>
      <c r="F453" s="9">
        <v>73</v>
      </c>
      <c r="G453" s="6" t="s">
        <v>2233</v>
      </c>
      <c r="H453" s="7" t="s">
        <v>25</v>
      </c>
      <c r="I453" s="6"/>
      <c r="J453" s="7" t="s">
        <v>41</v>
      </c>
      <c r="K453" s="7" t="s">
        <v>26</v>
      </c>
      <c r="L453" s="9">
        <v>69</v>
      </c>
      <c r="M453" s="10">
        <v>4.7600000000000003E-2</v>
      </c>
      <c r="N453" s="6" t="s">
        <v>2234</v>
      </c>
      <c r="O453" s="11">
        <v>39587.040000000001</v>
      </c>
      <c r="P453" s="11">
        <f t="shared" si="22"/>
        <v>34638.660000000003</v>
      </c>
      <c r="Q453" s="18">
        <v>4948.38</v>
      </c>
      <c r="R453" s="19"/>
      <c r="S453" s="2" t="str">
        <f>IF(P461&lt;O461,"CATCHUP","NONE")</f>
        <v>CATCHUP</v>
      </c>
    </row>
    <row r="454" spans="1:19" ht="43.2" hidden="1" x14ac:dyDescent="0.3">
      <c r="A454" s="6" t="s">
        <v>2235</v>
      </c>
      <c r="B454" s="7" t="s">
        <v>2236</v>
      </c>
      <c r="C454" s="17" t="s">
        <v>2229</v>
      </c>
      <c r="D454" s="17"/>
      <c r="E454" s="8">
        <v>17335</v>
      </c>
      <c r="F454" s="9">
        <v>75</v>
      </c>
      <c r="G454" s="6" t="s">
        <v>2237</v>
      </c>
      <c r="H454" s="7" t="s">
        <v>39</v>
      </c>
      <c r="I454" s="6" t="s">
        <v>122</v>
      </c>
      <c r="J454" s="7" t="s">
        <v>20</v>
      </c>
      <c r="K454" s="7" t="s">
        <v>26</v>
      </c>
      <c r="L454" s="6"/>
      <c r="M454" s="10">
        <v>5.8200000000000002E-2</v>
      </c>
      <c r="N454" s="6" t="s">
        <v>2238</v>
      </c>
      <c r="O454" s="11">
        <v>16000</v>
      </c>
      <c r="P454" s="11">
        <f t="shared" si="22"/>
        <v>14155.34</v>
      </c>
      <c r="Q454" s="18">
        <v>2000</v>
      </c>
      <c r="R454" s="19"/>
    </row>
    <row r="455" spans="1:19" x14ac:dyDescent="0.3">
      <c r="A455" s="6" t="s">
        <v>2239</v>
      </c>
      <c r="B455" s="7" t="s">
        <v>270</v>
      </c>
      <c r="C455" s="17" t="s">
        <v>2240</v>
      </c>
      <c r="D455" s="17"/>
      <c r="E455" s="8">
        <v>17823</v>
      </c>
      <c r="F455" s="9">
        <v>74</v>
      </c>
      <c r="G455" s="6" t="s">
        <v>2241</v>
      </c>
      <c r="H455" s="7" t="s">
        <v>25</v>
      </c>
      <c r="I455" s="6"/>
      <c r="J455" s="7" t="s">
        <v>41</v>
      </c>
      <c r="K455" s="7" t="s">
        <v>26</v>
      </c>
      <c r="L455" s="9">
        <v>73</v>
      </c>
      <c r="M455" s="10">
        <v>5.5300000000000002E-2</v>
      </c>
      <c r="N455" s="6" t="s">
        <v>2242</v>
      </c>
      <c r="O455" s="11">
        <v>39240.239999999998</v>
      </c>
      <c r="P455" s="11">
        <f t="shared" si="22"/>
        <v>34335.21</v>
      </c>
      <c r="Q455" s="18">
        <v>4905.03</v>
      </c>
      <c r="R455" s="19"/>
      <c r="S455" s="2" t="str">
        <f>IF(P463&lt;O463,"CATCHUP","NONE")</f>
        <v>CATCHUP</v>
      </c>
    </row>
    <row r="456" spans="1:19" hidden="1" x14ac:dyDescent="0.3">
      <c r="A456" s="6" t="s">
        <v>2243</v>
      </c>
      <c r="B456" s="7" t="s">
        <v>655</v>
      </c>
      <c r="C456" s="17" t="s">
        <v>2240</v>
      </c>
      <c r="D456" s="17"/>
      <c r="E456" s="8">
        <v>18043</v>
      </c>
      <c r="F456" s="9">
        <v>73</v>
      </c>
      <c r="G456" s="6" t="s">
        <v>2244</v>
      </c>
      <c r="H456" s="7" t="s">
        <v>25</v>
      </c>
      <c r="I456" s="6"/>
      <c r="J456" s="7" t="s">
        <v>20</v>
      </c>
      <c r="K456" s="7" t="s">
        <v>26</v>
      </c>
      <c r="L456" s="6"/>
      <c r="M456" s="10">
        <v>5.5300000000000002E-2</v>
      </c>
      <c r="N456" s="6" t="s">
        <v>2245</v>
      </c>
      <c r="O456" s="11">
        <v>17883.439999999999</v>
      </c>
      <c r="P456" s="11">
        <f t="shared" si="22"/>
        <v>15648.009999999998</v>
      </c>
      <c r="Q456" s="18">
        <v>2235.4299999999998</v>
      </c>
      <c r="R456" s="19"/>
    </row>
    <row r="457" spans="1:19" ht="43.2" hidden="1" x14ac:dyDescent="0.3">
      <c r="A457" s="6" t="s">
        <v>2246</v>
      </c>
      <c r="B457" s="7" t="s">
        <v>2247</v>
      </c>
      <c r="C457" s="17" t="s">
        <v>2240</v>
      </c>
      <c r="D457" s="17"/>
      <c r="E457" s="8">
        <v>17582</v>
      </c>
      <c r="F457" s="9">
        <v>74</v>
      </c>
      <c r="G457" s="6" t="s">
        <v>2248</v>
      </c>
      <c r="H457" s="7" t="s">
        <v>39</v>
      </c>
      <c r="I457" s="6" t="s">
        <v>533</v>
      </c>
      <c r="J457" s="7" t="s">
        <v>20</v>
      </c>
      <c r="K457" s="7" t="s">
        <v>32</v>
      </c>
      <c r="L457" s="6"/>
      <c r="M457" s="10">
        <v>5.67E-2</v>
      </c>
      <c r="N457" s="6" t="s">
        <v>2249</v>
      </c>
      <c r="O457" s="11">
        <v>10000</v>
      </c>
      <c r="P457" s="11">
        <f t="shared" si="22"/>
        <v>9752.4699999999993</v>
      </c>
      <c r="Q457" s="18">
        <v>10000</v>
      </c>
      <c r="R457" s="19"/>
    </row>
    <row r="458" spans="1:19" ht="43.2" hidden="1" x14ac:dyDescent="0.3">
      <c r="A458" s="6" t="s">
        <v>2250</v>
      </c>
      <c r="B458" s="7" t="s">
        <v>125</v>
      </c>
      <c r="C458" s="17" t="s">
        <v>2251</v>
      </c>
      <c r="D458" s="17"/>
      <c r="E458" s="8">
        <v>17567</v>
      </c>
      <c r="F458" s="9">
        <v>74</v>
      </c>
      <c r="G458" s="6" t="s">
        <v>2252</v>
      </c>
      <c r="H458" s="7" t="s">
        <v>39</v>
      </c>
      <c r="I458" s="6" t="s">
        <v>2253</v>
      </c>
      <c r="J458" s="7" t="s">
        <v>20</v>
      </c>
      <c r="K458" s="7" t="s">
        <v>26</v>
      </c>
      <c r="L458" s="6"/>
      <c r="M458" s="10">
        <v>5.67E-2</v>
      </c>
      <c r="N458" s="6" t="s">
        <v>2254</v>
      </c>
      <c r="O458" s="11">
        <v>60032</v>
      </c>
      <c r="P458" s="11">
        <f t="shared" si="22"/>
        <v>51388.6</v>
      </c>
      <c r="Q458" s="18">
        <v>7504</v>
      </c>
      <c r="R458" s="19"/>
    </row>
    <row r="459" spans="1:19" ht="43.2" x14ac:dyDescent="0.3">
      <c r="A459" s="6" t="s">
        <v>2255</v>
      </c>
      <c r="B459" s="7" t="s">
        <v>76</v>
      </c>
      <c r="C459" s="17" t="s">
        <v>2256</v>
      </c>
      <c r="D459" s="17"/>
      <c r="E459" s="8">
        <v>16835</v>
      </c>
      <c r="F459" s="9">
        <v>76</v>
      </c>
      <c r="G459" s="6" t="s">
        <v>2257</v>
      </c>
      <c r="H459" s="7" t="s">
        <v>39</v>
      </c>
      <c r="I459" s="6" t="s">
        <v>243</v>
      </c>
      <c r="J459" s="7" t="s">
        <v>41</v>
      </c>
      <c r="K459" s="7" t="s">
        <v>26</v>
      </c>
      <c r="L459" s="9">
        <v>74</v>
      </c>
      <c r="M459" s="10">
        <v>5.67E-2</v>
      </c>
      <c r="N459" s="6" t="s">
        <v>2258</v>
      </c>
      <c r="O459" s="11">
        <v>14400</v>
      </c>
      <c r="P459" s="11">
        <f t="shared" si="22"/>
        <v>13047.71</v>
      </c>
      <c r="Q459" s="18">
        <v>1800</v>
      </c>
      <c r="R459" s="19"/>
      <c r="S459" s="2" t="e">
        <f>IF(P467&lt;O467,"CATCHUP","NONE")</f>
        <v>#VALUE!</v>
      </c>
    </row>
    <row r="460" spans="1:19" ht="28.8" hidden="1" x14ac:dyDescent="0.3">
      <c r="A460" s="6" t="s">
        <v>2259</v>
      </c>
      <c r="B460" s="7" t="s">
        <v>778</v>
      </c>
      <c r="C460" s="17" t="s">
        <v>2260</v>
      </c>
      <c r="D460" s="17"/>
      <c r="E460" s="8">
        <v>17716</v>
      </c>
      <c r="F460" s="9">
        <v>74</v>
      </c>
      <c r="G460" s="6" t="s">
        <v>2261</v>
      </c>
      <c r="H460" s="7" t="s">
        <v>39</v>
      </c>
      <c r="I460" s="6" t="s">
        <v>385</v>
      </c>
      <c r="J460" s="7" t="s">
        <v>20</v>
      </c>
      <c r="K460" s="7" t="s">
        <v>26</v>
      </c>
      <c r="L460" s="6"/>
      <c r="M460" s="10">
        <v>5.67E-2</v>
      </c>
      <c r="N460" s="6" t="s">
        <v>2262</v>
      </c>
      <c r="O460" s="11">
        <v>6749.56</v>
      </c>
      <c r="P460" s="11">
        <f t="shared" si="22"/>
        <v>6029.7800000000007</v>
      </c>
      <c r="Q460" s="18">
        <v>885</v>
      </c>
      <c r="R460" s="19"/>
    </row>
    <row r="461" spans="1:19" ht="43.2" hidden="1" x14ac:dyDescent="0.3">
      <c r="A461" s="6" t="s">
        <v>2263</v>
      </c>
      <c r="B461" s="7" t="s">
        <v>195</v>
      </c>
      <c r="C461" s="17" t="s">
        <v>2264</v>
      </c>
      <c r="D461" s="17"/>
      <c r="E461" s="8">
        <v>18485</v>
      </c>
      <c r="F461" s="9">
        <v>72</v>
      </c>
      <c r="G461" s="6" t="s">
        <v>2265</v>
      </c>
      <c r="H461" s="7" t="s">
        <v>39</v>
      </c>
      <c r="I461" s="6" t="s">
        <v>151</v>
      </c>
      <c r="J461" s="7" t="s">
        <v>20</v>
      </c>
      <c r="K461" s="7" t="s">
        <v>26</v>
      </c>
      <c r="L461" s="6"/>
      <c r="M461" s="10">
        <v>5.3999999999999999E-2</v>
      </c>
      <c r="N461" s="6" t="s">
        <v>2266</v>
      </c>
      <c r="O461" s="11">
        <v>20000</v>
      </c>
      <c r="P461" s="11">
        <f t="shared" si="22"/>
        <v>17507.939999999999</v>
      </c>
      <c r="Q461" s="18">
        <v>2500</v>
      </c>
      <c r="R461" s="19"/>
    </row>
    <row r="462" spans="1:19" hidden="1" x14ac:dyDescent="0.3">
      <c r="A462" s="6" t="s">
        <v>2267</v>
      </c>
      <c r="B462" s="7" t="s">
        <v>2268</v>
      </c>
      <c r="C462" s="17" t="s">
        <v>2269</v>
      </c>
      <c r="D462" s="17"/>
      <c r="E462" s="7" t="s">
        <v>2270</v>
      </c>
      <c r="F462" s="9">
        <v>77</v>
      </c>
      <c r="G462" s="6" t="s">
        <v>2271</v>
      </c>
      <c r="H462" s="7" t="s">
        <v>25</v>
      </c>
      <c r="I462" s="6" t="s">
        <v>19</v>
      </c>
      <c r="J462" s="7" t="s">
        <v>20</v>
      </c>
      <c r="K462" s="7" t="s">
        <v>26</v>
      </c>
      <c r="L462" s="6"/>
      <c r="M462" s="10">
        <v>6.1699999999999998E-2</v>
      </c>
      <c r="N462" s="6" t="s">
        <v>2272</v>
      </c>
      <c r="O462" s="6" t="s">
        <v>19</v>
      </c>
      <c r="P462" s="11" t="e">
        <f t="shared" si="22"/>
        <v>#VALUE!</v>
      </c>
      <c r="Q462" s="19" t="s">
        <v>19</v>
      </c>
      <c r="R462" s="19"/>
    </row>
    <row r="463" spans="1:19" ht="43.2" x14ac:dyDescent="0.3">
      <c r="A463" s="6" t="s">
        <v>2273</v>
      </c>
      <c r="B463" s="7" t="s">
        <v>1125</v>
      </c>
      <c r="C463" s="17" t="s">
        <v>2274</v>
      </c>
      <c r="D463" s="17"/>
      <c r="E463" s="8">
        <v>18446</v>
      </c>
      <c r="F463" s="9">
        <v>72</v>
      </c>
      <c r="G463" s="6" t="s">
        <v>2276</v>
      </c>
      <c r="H463" s="7" t="s">
        <v>39</v>
      </c>
      <c r="I463" s="6" t="s">
        <v>2277</v>
      </c>
      <c r="J463" s="7" t="s">
        <v>41</v>
      </c>
      <c r="K463" s="7" t="s">
        <v>26</v>
      </c>
      <c r="L463" s="9">
        <v>71</v>
      </c>
      <c r="M463" s="10">
        <v>5.28E-2</v>
      </c>
      <c r="N463" s="6" t="s">
        <v>2278</v>
      </c>
      <c r="O463" s="11">
        <v>27200</v>
      </c>
      <c r="P463" s="11">
        <f t="shared" si="22"/>
        <v>24639.64</v>
      </c>
      <c r="Q463" s="18">
        <v>3400</v>
      </c>
      <c r="R463" s="19"/>
      <c r="S463" s="2" t="str">
        <f>IF(P471&lt;O471,"CATCHUP","NONE")</f>
        <v>CATCHUP</v>
      </c>
    </row>
    <row r="464" spans="1:19" hidden="1" x14ac:dyDescent="0.3">
      <c r="A464" s="6" t="s">
        <v>2279</v>
      </c>
      <c r="B464" s="7" t="s">
        <v>240</v>
      </c>
      <c r="C464" s="17" t="s">
        <v>2280</v>
      </c>
      <c r="D464" s="17"/>
      <c r="E464" s="8">
        <v>15215</v>
      </c>
      <c r="F464" s="9">
        <v>81</v>
      </c>
      <c r="G464" s="6" t="s">
        <v>2281</v>
      </c>
      <c r="H464" s="7" t="s">
        <v>25</v>
      </c>
      <c r="I464" s="6"/>
      <c r="J464" s="7" t="s">
        <v>20</v>
      </c>
      <c r="K464" s="7" t="s">
        <v>26</v>
      </c>
      <c r="L464" s="6"/>
      <c r="M464" s="10">
        <v>7.0800000000000002E-2</v>
      </c>
      <c r="N464" s="6" t="s">
        <v>2282</v>
      </c>
      <c r="O464" s="11">
        <v>88559.84</v>
      </c>
      <c r="P464" s="11">
        <f t="shared" si="22"/>
        <v>77489.86</v>
      </c>
      <c r="Q464" s="18">
        <v>174.36</v>
      </c>
      <c r="R464" s="19"/>
    </row>
    <row r="465" spans="1:19" hidden="1" x14ac:dyDescent="0.3">
      <c r="A465" s="6" t="s">
        <v>2283</v>
      </c>
      <c r="B465" s="7" t="s">
        <v>129</v>
      </c>
      <c r="C465" s="17" t="s">
        <v>2284</v>
      </c>
      <c r="D465" s="17"/>
      <c r="E465" s="8">
        <v>17842</v>
      </c>
      <c r="F465" s="9">
        <v>74</v>
      </c>
      <c r="G465" s="6" t="s">
        <v>2285</v>
      </c>
      <c r="H465" s="7" t="s">
        <v>25</v>
      </c>
      <c r="I465" s="6"/>
      <c r="J465" s="7" t="s">
        <v>20</v>
      </c>
      <c r="K465" s="7" t="s">
        <v>26</v>
      </c>
      <c r="L465" s="6"/>
      <c r="M465" s="10">
        <v>5.67E-2</v>
      </c>
      <c r="N465" s="6" t="s">
        <v>2286</v>
      </c>
      <c r="O465" s="11">
        <v>18895.439999999999</v>
      </c>
      <c r="P465" s="11">
        <f t="shared" si="22"/>
        <v>16533.509999999998</v>
      </c>
      <c r="Q465" s="18">
        <v>2361.9299999999998</v>
      </c>
      <c r="R465" s="19"/>
    </row>
    <row r="466" spans="1:19" hidden="1" x14ac:dyDescent="0.3">
      <c r="A466" s="6" t="s">
        <v>2287</v>
      </c>
      <c r="B466" s="7" t="s">
        <v>2288</v>
      </c>
      <c r="C466" s="17" t="s">
        <v>2289</v>
      </c>
      <c r="D466" s="17"/>
      <c r="E466" s="8">
        <v>17291</v>
      </c>
      <c r="F466" s="9">
        <v>75</v>
      </c>
      <c r="G466" s="6" t="s">
        <v>2291</v>
      </c>
      <c r="H466" s="7" t="s">
        <v>25</v>
      </c>
      <c r="I466" s="6"/>
      <c r="J466" s="7" t="s">
        <v>20</v>
      </c>
      <c r="K466" s="7" t="s">
        <v>26</v>
      </c>
      <c r="L466" s="6"/>
      <c r="M466" s="10">
        <v>5.8200000000000002E-2</v>
      </c>
      <c r="N466" s="6" t="s">
        <v>2292</v>
      </c>
      <c r="O466" s="11">
        <v>9840.64</v>
      </c>
      <c r="P466" s="11">
        <f t="shared" si="22"/>
        <v>8610.56</v>
      </c>
      <c r="Q466" s="18">
        <v>1230.08</v>
      </c>
      <c r="R466" s="19"/>
    </row>
    <row r="467" spans="1:19" ht="43.2" hidden="1" x14ac:dyDescent="0.3">
      <c r="A467" s="6" t="s">
        <v>2293</v>
      </c>
      <c r="B467" s="7" t="s">
        <v>2294</v>
      </c>
      <c r="C467" s="17" t="s">
        <v>2295</v>
      </c>
      <c r="D467" s="17"/>
      <c r="E467" s="7" t="s">
        <v>2296</v>
      </c>
      <c r="F467" s="9">
        <v>76</v>
      </c>
      <c r="G467" s="6" t="s">
        <v>2297</v>
      </c>
      <c r="H467" s="7" t="s">
        <v>39</v>
      </c>
      <c r="I467" s="6" t="s">
        <v>2298</v>
      </c>
      <c r="J467" s="7" t="s">
        <v>41</v>
      </c>
      <c r="K467" s="7" t="s">
        <v>32</v>
      </c>
      <c r="L467" s="9">
        <v>74</v>
      </c>
      <c r="M467" s="10">
        <v>5.67E-2</v>
      </c>
      <c r="N467" s="6" t="s">
        <v>2299</v>
      </c>
      <c r="O467" s="6" t="s">
        <v>19</v>
      </c>
      <c r="P467" s="11" t="e">
        <f t="shared" si="22"/>
        <v>#VALUE!</v>
      </c>
      <c r="Q467" s="19" t="s">
        <v>19</v>
      </c>
      <c r="R467" s="19"/>
    </row>
    <row r="468" spans="1:19" ht="43.2" hidden="1" x14ac:dyDescent="0.3">
      <c r="A468" s="6" t="s">
        <v>2300</v>
      </c>
      <c r="B468" s="7" t="s">
        <v>2301</v>
      </c>
      <c r="C468" s="17" t="s">
        <v>2302</v>
      </c>
      <c r="D468" s="17"/>
      <c r="E468" s="8">
        <v>18092</v>
      </c>
      <c r="F468" s="9">
        <v>73</v>
      </c>
      <c r="G468" s="6" t="s">
        <v>2303</v>
      </c>
      <c r="H468" s="7" t="s">
        <v>39</v>
      </c>
      <c r="I468" s="6" t="s">
        <v>89</v>
      </c>
      <c r="J468" s="7" t="s">
        <v>20</v>
      </c>
      <c r="K468" s="7" t="s">
        <v>26</v>
      </c>
      <c r="L468" s="6"/>
      <c r="M468" s="10">
        <v>5.5300000000000002E-2</v>
      </c>
      <c r="N468" s="6" t="s">
        <v>2304</v>
      </c>
      <c r="O468" s="11">
        <v>9600</v>
      </c>
      <c r="P468" s="11">
        <f t="shared" si="22"/>
        <v>8837.98</v>
      </c>
      <c r="Q468" s="18">
        <v>1200</v>
      </c>
      <c r="R468" s="19"/>
    </row>
    <row r="469" spans="1:19" ht="43.2" hidden="1" x14ac:dyDescent="0.3">
      <c r="A469" s="6" t="s">
        <v>2305</v>
      </c>
      <c r="B469" s="7" t="s">
        <v>2306</v>
      </c>
      <c r="C469" s="17" t="s">
        <v>2307</v>
      </c>
      <c r="D469" s="17"/>
      <c r="E469" s="8">
        <v>18173</v>
      </c>
      <c r="F469" s="9">
        <v>73</v>
      </c>
      <c r="G469" s="6" t="s">
        <v>2308</v>
      </c>
      <c r="H469" s="7" t="s">
        <v>39</v>
      </c>
      <c r="I469" s="6" t="s">
        <v>40</v>
      </c>
      <c r="J469" s="7" t="s">
        <v>20</v>
      </c>
      <c r="K469" s="7" t="s">
        <v>26</v>
      </c>
      <c r="L469" s="6"/>
      <c r="M469" s="10">
        <v>5.5300000000000002E-2</v>
      </c>
      <c r="N469" s="6" t="s">
        <v>2309</v>
      </c>
      <c r="O469" s="11">
        <v>44000</v>
      </c>
      <c r="P469" s="11">
        <f t="shared" si="22"/>
        <v>41137.26</v>
      </c>
      <c r="Q469" s="18">
        <v>3000</v>
      </c>
      <c r="R469" s="19"/>
    </row>
    <row r="470" spans="1:19" ht="28.8" hidden="1" x14ac:dyDescent="0.3">
      <c r="A470" s="6" t="s">
        <v>2310</v>
      </c>
      <c r="B470" s="7" t="s">
        <v>2311</v>
      </c>
      <c r="C470" s="17" t="s">
        <v>2312</v>
      </c>
      <c r="D470" s="17"/>
      <c r="E470" s="7" t="s">
        <v>2313</v>
      </c>
      <c r="F470" s="9">
        <v>72</v>
      </c>
      <c r="G470" s="6" t="s">
        <v>2314</v>
      </c>
      <c r="H470" s="7" t="s">
        <v>39</v>
      </c>
      <c r="I470" s="6" t="s">
        <v>2315</v>
      </c>
      <c r="J470" s="7" t="s">
        <v>20</v>
      </c>
      <c r="K470" s="7" t="s">
        <v>26</v>
      </c>
      <c r="L470" s="6"/>
      <c r="M470" s="10">
        <v>5.3999999999999999E-2</v>
      </c>
      <c r="N470" s="6" t="s">
        <v>2316</v>
      </c>
      <c r="O470" s="6" t="s">
        <v>19</v>
      </c>
      <c r="P470" s="11" t="e">
        <f t="shared" si="22"/>
        <v>#VALUE!</v>
      </c>
      <c r="Q470" s="19" t="s">
        <v>19</v>
      </c>
      <c r="R470" s="19"/>
    </row>
    <row r="471" spans="1:19" ht="28.8" hidden="1" x14ac:dyDescent="0.3">
      <c r="A471" s="6" t="s">
        <v>2317</v>
      </c>
      <c r="B471" s="7" t="s">
        <v>1694</v>
      </c>
      <c r="C471" s="17" t="s">
        <v>2312</v>
      </c>
      <c r="D471" s="17"/>
      <c r="E471" s="8">
        <v>16678</v>
      </c>
      <c r="F471" s="9">
        <v>77</v>
      </c>
      <c r="G471" s="6" t="s">
        <v>2318</v>
      </c>
      <c r="H471" s="7" t="s">
        <v>39</v>
      </c>
      <c r="I471" s="6" t="s">
        <v>2319</v>
      </c>
      <c r="J471" s="7" t="s">
        <v>20</v>
      </c>
      <c r="K471" s="7" t="s">
        <v>26</v>
      </c>
      <c r="L471" s="6"/>
      <c r="M471" s="10">
        <v>6.1699999999999998E-2</v>
      </c>
      <c r="N471" s="6" t="s">
        <v>2320</v>
      </c>
      <c r="O471" s="11">
        <v>2200</v>
      </c>
      <c r="P471" s="11">
        <f t="shared" si="22"/>
        <v>1922.83</v>
      </c>
      <c r="Q471" s="18">
        <v>275</v>
      </c>
      <c r="R471" s="19"/>
    </row>
    <row r="472" spans="1:19" ht="43.2" hidden="1" x14ac:dyDescent="0.3">
      <c r="A472" s="6" t="s">
        <v>2321</v>
      </c>
      <c r="B472" s="7" t="s">
        <v>2322</v>
      </c>
      <c r="C472" s="17" t="s">
        <v>2323</v>
      </c>
      <c r="D472" s="17"/>
      <c r="E472" s="8">
        <v>18437</v>
      </c>
      <c r="F472" s="9">
        <v>72</v>
      </c>
      <c r="G472" s="6" t="s">
        <v>2324</v>
      </c>
      <c r="H472" s="7" t="s">
        <v>39</v>
      </c>
      <c r="I472" s="6" t="s">
        <v>2325</v>
      </c>
      <c r="J472" s="7" t="s">
        <v>20</v>
      </c>
      <c r="K472" s="7" t="s">
        <v>26</v>
      </c>
      <c r="L472" s="6"/>
      <c r="M472" s="10">
        <v>5.3999999999999999E-2</v>
      </c>
      <c r="N472" s="6" t="s">
        <v>2326</v>
      </c>
      <c r="O472" s="11">
        <v>50000</v>
      </c>
      <c r="P472" s="11">
        <f t="shared" si="22"/>
        <v>45137.440000000002</v>
      </c>
      <c r="Q472" s="18">
        <v>6250</v>
      </c>
      <c r="R472" s="19"/>
    </row>
    <row r="473" spans="1:19" ht="43.2" hidden="1" x14ac:dyDescent="0.3">
      <c r="A473" s="6" t="s">
        <v>2327</v>
      </c>
      <c r="B473" s="7" t="s">
        <v>1143</v>
      </c>
      <c r="C473" s="17" t="s">
        <v>2328</v>
      </c>
      <c r="D473" s="17"/>
      <c r="E473" s="8">
        <v>18312</v>
      </c>
      <c r="F473" s="9">
        <v>72</v>
      </c>
      <c r="G473" s="6" t="s">
        <v>2330</v>
      </c>
      <c r="H473" s="7" t="s">
        <v>39</v>
      </c>
      <c r="I473" s="6" t="s">
        <v>47</v>
      </c>
      <c r="J473" s="7" t="s">
        <v>20</v>
      </c>
      <c r="K473" s="7" t="s">
        <v>26</v>
      </c>
      <c r="L473" s="6"/>
      <c r="M473" s="10">
        <v>5.3999999999999999E-2</v>
      </c>
      <c r="N473" s="6" t="s">
        <v>2331</v>
      </c>
      <c r="O473" s="11">
        <v>18000</v>
      </c>
      <c r="P473" s="11">
        <f t="shared" si="22"/>
        <v>17159.09</v>
      </c>
      <c r="Q473" s="18">
        <v>1000</v>
      </c>
      <c r="R473" s="19"/>
    </row>
    <row r="474" spans="1:19" x14ac:dyDescent="0.3">
      <c r="A474" s="6" t="s">
        <v>2332</v>
      </c>
      <c r="B474" s="7" t="s">
        <v>373</v>
      </c>
      <c r="C474" s="17" t="s">
        <v>2333</v>
      </c>
      <c r="D474" s="17"/>
      <c r="E474" s="8">
        <v>18073</v>
      </c>
      <c r="F474" s="9">
        <v>73</v>
      </c>
      <c r="G474" s="6" t="s">
        <v>2334</v>
      </c>
      <c r="H474" s="7" t="s">
        <v>25</v>
      </c>
      <c r="I474" s="6"/>
      <c r="J474" s="7" t="s">
        <v>41</v>
      </c>
      <c r="K474" s="7" t="s">
        <v>26</v>
      </c>
      <c r="L474" s="9">
        <v>69</v>
      </c>
      <c r="M474" s="10">
        <v>4.7600000000000003E-2</v>
      </c>
      <c r="N474" s="6" t="s">
        <v>2335</v>
      </c>
      <c r="O474" s="11">
        <v>29393.759999999998</v>
      </c>
      <c r="P474" s="11">
        <f t="shared" si="22"/>
        <v>25719.539999999997</v>
      </c>
      <c r="Q474" s="18">
        <v>3674.22</v>
      </c>
      <c r="R474" s="19"/>
      <c r="S474" s="2" t="str">
        <f>IF(P482&lt;O482,"CATCHUP","NONE")</f>
        <v>CATCHUP</v>
      </c>
    </row>
    <row r="475" spans="1:19" ht="43.2" hidden="1" x14ac:dyDescent="0.3">
      <c r="A475" s="6" t="s">
        <v>2336</v>
      </c>
      <c r="B475" s="7" t="s">
        <v>2337</v>
      </c>
      <c r="C475" s="17" t="s">
        <v>2338</v>
      </c>
      <c r="D475" s="17"/>
      <c r="E475" s="8">
        <v>17570</v>
      </c>
      <c r="F475" s="9">
        <v>74</v>
      </c>
      <c r="G475" s="6" t="s">
        <v>2340</v>
      </c>
      <c r="H475" s="7" t="s">
        <v>39</v>
      </c>
      <c r="I475" s="6" t="s">
        <v>106</v>
      </c>
      <c r="J475" s="7" t="s">
        <v>20</v>
      </c>
      <c r="K475" s="7" t="s">
        <v>26</v>
      </c>
      <c r="L475" s="6"/>
      <c r="M475" s="10">
        <v>5.67E-2</v>
      </c>
      <c r="N475" s="6" t="s">
        <v>2341</v>
      </c>
      <c r="O475" s="11">
        <v>32000</v>
      </c>
      <c r="P475" s="11">
        <f t="shared" si="22"/>
        <v>30917.360000000001</v>
      </c>
      <c r="Q475" s="18">
        <v>4000</v>
      </c>
      <c r="R475" s="19"/>
    </row>
    <row r="476" spans="1:19" ht="43.2" hidden="1" x14ac:dyDescent="0.3">
      <c r="A476" s="6" t="s">
        <v>2342</v>
      </c>
      <c r="B476" s="7" t="s">
        <v>301</v>
      </c>
      <c r="C476" s="17" t="s">
        <v>2338</v>
      </c>
      <c r="D476" s="17"/>
      <c r="E476" s="8">
        <v>18463</v>
      </c>
      <c r="F476" s="9">
        <v>72</v>
      </c>
      <c r="G476" s="6" t="s">
        <v>2343</v>
      </c>
      <c r="H476" s="7" t="s">
        <v>39</v>
      </c>
      <c r="I476" s="6" t="s">
        <v>132</v>
      </c>
      <c r="J476" s="7" t="s">
        <v>20</v>
      </c>
      <c r="K476" s="7" t="s">
        <v>26</v>
      </c>
      <c r="L476" s="6"/>
      <c r="M476" s="10">
        <v>5.3999999999999999E-2</v>
      </c>
      <c r="N476" s="6" t="s">
        <v>2344</v>
      </c>
      <c r="O476" s="11">
        <v>12500</v>
      </c>
      <c r="P476" s="11">
        <f t="shared" si="22"/>
        <v>12292.46</v>
      </c>
      <c r="Q476" s="18">
        <v>1500</v>
      </c>
      <c r="R476" s="19"/>
    </row>
    <row r="477" spans="1:19" hidden="1" x14ac:dyDescent="0.3">
      <c r="A477" s="6" t="s">
        <v>2345</v>
      </c>
      <c r="B477" s="7" t="s">
        <v>678</v>
      </c>
      <c r="C477" s="17" t="s">
        <v>2346</v>
      </c>
      <c r="D477" s="17"/>
      <c r="E477" s="8">
        <v>18322</v>
      </c>
      <c r="F477" s="9">
        <v>72</v>
      </c>
      <c r="G477" s="6" t="s">
        <v>2347</v>
      </c>
      <c r="H477" s="7"/>
      <c r="I477" s="6"/>
      <c r="J477" s="7" t="s">
        <v>20</v>
      </c>
      <c r="K477" s="7"/>
      <c r="L477" s="6"/>
      <c r="M477" s="10">
        <v>5.3999999999999999E-2</v>
      </c>
      <c r="N477" s="6" t="s">
        <v>2348</v>
      </c>
      <c r="O477" s="11">
        <v>16501.759999999998</v>
      </c>
      <c r="P477" s="11">
        <f t="shared" si="22"/>
        <v>15126.609999999999</v>
      </c>
      <c r="Q477" s="18">
        <v>2004.9</v>
      </c>
      <c r="R477" s="19"/>
    </row>
    <row r="478" spans="1:19" hidden="1" x14ac:dyDescent="0.3">
      <c r="A478" s="6" t="s">
        <v>2349</v>
      </c>
      <c r="B478" s="7" t="s">
        <v>918</v>
      </c>
      <c r="C478" s="17" t="s">
        <v>2350</v>
      </c>
      <c r="D478" s="17"/>
      <c r="E478" s="7" t="s">
        <v>2351</v>
      </c>
      <c r="F478" s="9">
        <v>76</v>
      </c>
      <c r="G478" s="6" t="s">
        <v>2352</v>
      </c>
      <c r="H478" s="7" t="s">
        <v>25</v>
      </c>
      <c r="I478" s="6" t="s">
        <v>19</v>
      </c>
      <c r="J478" s="7" t="s">
        <v>20</v>
      </c>
      <c r="K478" s="7" t="s">
        <v>26</v>
      </c>
      <c r="L478" s="6"/>
      <c r="M478" s="10">
        <v>5.9799999999999999E-2</v>
      </c>
      <c r="N478" s="6" t="s">
        <v>2353</v>
      </c>
      <c r="O478" s="6" t="s">
        <v>19</v>
      </c>
      <c r="P478" s="11" t="e">
        <f t="shared" si="22"/>
        <v>#VALUE!</v>
      </c>
      <c r="Q478" s="19" t="s">
        <v>19</v>
      </c>
      <c r="R478" s="19"/>
    </row>
    <row r="479" spans="1:19" hidden="1" x14ac:dyDescent="0.3">
      <c r="A479" s="6" t="s">
        <v>2354</v>
      </c>
      <c r="B479" s="7" t="s">
        <v>334</v>
      </c>
      <c r="C479" s="17" t="s">
        <v>2355</v>
      </c>
      <c r="D479" s="17"/>
      <c r="E479" s="7" t="s">
        <v>2356</v>
      </c>
      <c r="F479" s="9">
        <v>77</v>
      </c>
      <c r="G479" s="6" t="s">
        <v>2357</v>
      </c>
      <c r="H479" s="7" t="s">
        <v>25</v>
      </c>
      <c r="I479" s="6" t="s">
        <v>19</v>
      </c>
      <c r="J479" s="7" t="s">
        <v>20</v>
      </c>
      <c r="K479" s="7" t="s">
        <v>32</v>
      </c>
      <c r="L479" s="6"/>
      <c r="M479" s="10">
        <v>6.1699999999999998E-2</v>
      </c>
      <c r="N479" s="6" t="s">
        <v>2358</v>
      </c>
      <c r="O479" s="6" t="s">
        <v>19</v>
      </c>
      <c r="P479" s="11" t="e">
        <f t="shared" si="22"/>
        <v>#VALUE!</v>
      </c>
      <c r="Q479" s="19" t="s">
        <v>19</v>
      </c>
      <c r="R479" s="19"/>
    </row>
    <row r="480" spans="1:19" x14ac:dyDescent="0.3">
      <c r="A480" s="6" t="s">
        <v>2359</v>
      </c>
      <c r="B480" s="7" t="s">
        <v>287</v>
      </c>
      <c r="C480" s="17" t="s">
        <v>2360</v>
      </c>
      <c r="D480" s="17"/>
      <c r="E480" s="8">
        <v>15994</v>
      </c>
      <c r="F480" s="9">
        <v>79</v>
      </c>
      <c r="G480" s="6" t="s">
        <v>2361</v>
      </c>
      <c r="H480" s="7" t="s">
        <v>25</v>
      </c>
      <c r="I480" s="6"/>
      <c r="J480" s="7" t="s">
        <v>41</v>
      </c>
      <c r="K480" s="7" t="s">
        <v>26</v>
      </c>
      <c r="L480" s="9">
        <v>73</v>
      </c>
      <c r="M480" s="10">
        <v>5.5300000000000002E-2</v>
      </c>
      <c r="N480" s="6" t="s">
        <v>2362</v>
      </c>
      <c r="O480" s="11">
        <v>35957.839999999997</v>
      </c>
      <c r="P480" s="11">
        <f t="shared" si="22"/>
        <v>31463.109999999997</v>
      </c>
      <c r="Q480" s="18">
        <v>4494.7299999999996</v>
      </c>
      <c r="R480" s="19"/>
      <c r="S480" s="2" t="str">
        <f>IF(P488&lt;O488,"CATCHUP","NONE")</f>
        <v>CATCHUP</v>
      </c>
    </row>
    <row r="481" spans="1:19" hidden="1" x14ac:dyDescent="0.3">
      <c r="A481" s="6" t="s">
        <v>2363</v>
      </c>
      <c r="B481" s="7" t="s">
        <v>2364</v>
      </c>
      <c r="C481" s="17" t="s">
        <v>2360</v>
      </c>
      <c r="D481" s="17"/>
      <c r="E481" s="8">
        <v>18356</v>
      </c>
      <c r="F481" s="9">
        <v>72</v>
      </c>
      <c r="G481" s="6" t="s">
        <v>2365</v>
      </c>
      <c r="H481" s="7" t="s">
        <v>25</v>
      </c>
      <c r="I481" s="6"/>
      <c r="J481" s="7" t="s">
        <v>20</v>
      </c>
      <c r="K481" s="7" t="s">
        <v>26</v>
      </c>
      <c r="L481" s="6"/>
      <c r="M481" s="10">
        <v>5.3999999999999999E-2</v>
      </c>
      <c r="N481" s="6" t="s">
        <v>2366</v>
      </c>
      <c r="O481" s="11">
        <v>5561.84</v>
      </c>
      <c r="P481" s="11">
        <f t="shared" si="22"/>
        <v>4866.6100000000006</v>
      </c>
      <c r="Q481" s="18">
        <v>38.06</v>
      </c>
      <c r="R481" s="19"/>
    </row>
    <row r="482" spans="1:19" ht="43.2" hidden="1" x14ac:dyDescent="0.3">
      <c r="A482" s="6" t="s">
        <v>2367</v>
      </c>
      <c r="B482" s="7" t="s">
        <v>2368</v>
      </c>
      <c r="C482" s="17" t="s">
        <v>2360</v>
      </c>
      <c r="D482" s="17"/>
      <c r="E482" s="8">
        <v>18074</v>
      </c>
      <c r="F482" s="9">
        <v>73</v>
      </c>
      <c r="G482" s="6" t="s">
        <v>2369</v>
      </c>
      <c r="H482" s="7" t="s">
        <v>39</v>
      </c>
      <c r="I482" s="6" t="s">
        <v>132</v>
      </c>
      <c r="J482" s="7" t="s">
        <v>20</v>
      </c>
      <c r="K482" s="7" t="s">
        <v>26</v>
      </c>
      <c r="L482" s="6"/>
      <c r="M482" s="10">
        <v>5.5300000000000002E-2</v>
      </c>
      <c r="N482" s="6" t="s">
        <v>2370</v>
      </c>
      <c r="O482" s="11">
        <v>12000</v>
      </c>
      <c r="P482" s="11">
        <f t="shared" si="22"/>
        <v>10978.53</v>
      </c>
      <c r="Q482" s="18">
        <v>1500</v>
      </c>
      <c r="R482" s="19"/>
    </row>
    <row r="483" spans="1:19" ht="43.2" hidden="1" x14ac:dyDescent="0.3">
      <c r="A483" s="6" t="s">
        <v>2371</v>
      </c>
      <c r="B483" s="7" t="s">
        <v>1762</v>
      </c>
      <c r="C483" s="17" t="s">
        <v>2360</v>
      </c>
      <c r="D483" s="17"/>
      <c r="E483" s="8">
        <v>17961</v>
      </c>
      <c r="F483" s="9">
        <v>73</v>
      </c>
      <c r="G483" s="6" t="s">
        <v>2372</v>
      </c>
      <c r="H483" s="7" t="s">
        <v>39</v>
      </c>
      <c r="I483" s="6" t="s">
        <v>151</v>
      </c>
      <c r="J483" s="7" t="s">
        <v>20</v>
      </c>
      <c r="K483" s="7" t="s">
        <v>26</v>
      </c>
      <c r="L483" s="6"/>
      <c r="M483" s="10">
        <v>5.5300000000000002E-2</v>
      </c>
      <c r="N483" s="6" t="s">
        <v>2373</v>
      </c>
      <c r="O483" s="11">
        <v>20000</v>
      </c>
      <c r="P483" s="11">
        <f t="shared" si="22"/>
        <v>17749.09</v>
      </c>
      <c r="Q483" s="18">
        <v>2500</v>
      </c>
      <c r="R483" s="19"/>
    </row>
    <row r="484" spans="1:19" ht="28.8" hidden="1" x14ac:dyDescent="0.3">
      <c r="A484" s="6" t="s">
        <v>2374</v>
      </c>
      <c r="B484" s="7" t="s">
        <v>793</v>
      </c>
      <c r="C484" s="17" t="s">
        <v>2375</v>
      </c>
      <c r="D484" s="17"/>
      <c r="E484" s="8">
        <v>17816</v>
      </c>
      <c r="F484" s="9">
        <v>74</v>
      </c>
      <c r="G484" s="6" t="s">
        <v>2376</v>
      </c>
      <c r="H484" s="7" t="s">
        <v>39</v>
      </c>
      <c r="I484" s="6" t="s">
        <v>176</v>
      </c>
      <c r="J484" s="7" t="s">
        <v>20</v>
      </c>
      <c r="K484" s="7" t="s">
        <v>26</v>
      </c>
      <c r="L484" s="6"/>
      <c r="M484" s="10">
        <v>5.67E-2</v>
      </c>
      <c r="N484" s="6" t="s">
        <v>2377</v>
      </c>
      <c r="O484" s="11">
        <v>4800</v>
      </c>
      <c r="P484" s="11">
        <f t="shared" si="22"/>
        <v>4693.8100000000004</v>
      </c>
      <c r="Q484" s="18">
        <v>600</v>
      </c>
      <c r="R484" s="19"/>
    </row>
    <row r="485" spans="1:19" hidden="1" x14ac:dyDescent="0.3">
      <c r="A485" s="6" t="s">
        <v>2378</v>
      </c>
      <c r="B485" s="7" t="s">
        <v>401</v>
      </c>
      <c r="C485" s="17" t="s">
        <v>2379</v>
      </c>
      <c r="D485" s="17"/>
      <c r="E485" s="8">
        <v>18466</v>
      </c>
      <c r="F485" s="9">
        <v>72</v>
      </c>
      <c r="G485" s="6" t="s">
        <v>2380</v>
      </c>
      <c r="H485" s="7" t="s">
        <v>25</v>
      </c>
      <c r="I485" s="6"/>
      <c r="J485" s="7" t="s">
        <v>20</v>
      </c>
      <c r="K485" s="7" t="s">
        <v>26</v>
      </c>
      <c r="L485" s="6"/>
      <c r="M485" s="10">
        <v>5.3999999999999999E-2</v>
      </c>
      <c r="N485" s="6" t="s">
        <v>2381</v>
      </c>
      <c r="O485" s="11">
        <v>4242.16</v>
      </c>
      <c r="P485" s="11">
        <f t="shared" si="22"/>
        <v>3711.89</v>
      </c>
      <c r="Q485" s="18">
        <v>530.27</v>
      </c>
      <c r="R485" s="19"/>
    </row>
    <row r="486" spans="1:19" hidden="1" x14ac:dyDescent="0.3">
      <c r="A486" s="6" t="s">
        <v>2382</v>
      </c>
      <c r="B486" s="7" t="s">
        <v>493</v>
      </c>
      <c r="C486" s="17" t="s">
        <v>2383</v>
      </c>
      <c r="D486" s="17"/>
      <c r="E486" s="7" t="s">
        <v>2384</v>
      </c>
      <c r="F486" s="9">
        <v>82</v>
      </c>
      <c r="G486" s="6" t="s">
        <v>2385</v>
      </c>
      <c r="H486" s="7" t="s">
        <v>25</v>
      </c>
      <c r="I486" s="6" t="s">
        <v>19</v>
      </c>
      <c r="J486" s="7" t="s">
        <v>20</v>
      </c>
      <c r="K486" s="7" t="s">
        <v>26</v>
      </c>
      <c r="L486" s="6"/>
      <c r="M486" s="10">
        <v>7.3800000000000004E-2</v>
      </c>
      <c r="N486" s="6" t="s">
        <v>2386</v>
      </c>
      <c r="O486" s="6" t="s">
        <v>19</v>
      </c>
      <c r="P486" s="11" t="e">
        <f t="shared" si="22"/>
        <v>#VALUE!</v>
      </c>
      <c r="Q486" s="19" t="s">
        <v>19</v>
      </c>
      <c r="R486" s="19"/>
    </row>
    <row r="487" spans="1:19" ht="43.2" hidden="1" x14ac:dyDescent="0.3">
      <c r="A487" s="6" t="s">
        <v>2387</v>
      </c>
      <c r="B487" s="7" t="s">
        <v>29</v>
      </c>
      <c r="C487" s="17" t="s">
        <v>2388</v>
      </c>
      <c r="D487" s="17"/>
      <c r="E487" s="8">
        <v>17626</v>
      </c>
      <c r="F487" s="9">
        <v>74</v>
      </c>
      <c r="G487" s="6" t="s">
        <v>2389</v>
      </c>
      <c r="H487" s="7" t="s">
        <v>39</v>
      </c>
      <c r="I487" s="6" t="s">
        <v>40</v>
      </c>
      <c r="J487" s="7" t="s">
        <v>20</v>
      </c>
      <c r="K487" s="7" t="s">
        <v>26</v>
      </c>
      <c r="L487" s="6"/>
      <c r="M487" s="10">
        <v>5.67E-2</v>
      </c>
      <c r="N487" s="6" t="s">
        <v>2390</v>
      </c>
      <c r="O487" s="11">
        <v>26500</v>
      </c>
      <c r="P487" s="11">
        <f t="shared" si="22"/>
        <v>24618.83</v>
      </c>
      <c r="Q487" s="18">
        <v>3000</v>
      </c>
      <c r="R487" s="19"/>
    </row>
    <row r="488" spans="1:19" ht="43.2" x14ac:dyDescent="0.3">
      <c r="A488" s="6" t="s">
        <v>2391</v>
      </c>
      <c r="B488" s="7" t="s">
        <v>406</v>
      </c>
      <c r="C488" s="17" t="s">
        <v>2392</v>
      </c>
      <c r="D488" s="17"/>
      <c r="E488" s="8">
        <v>17098</v>
      </c>
      <c r="F488" s="9">
        <v>76</v>
      </c>
      <c r="G488" s="6" t="s">
        <v>2393</v>
      </c>
      <c r="H488" s="7" t="s">
        <v>39</v>
      </c>
      <c r="I488" s="6" t="s">
        <v>106</v>
      </c>
      <c r="J488" s="7" t="s">
        <v>41</v>
      </c>
      <c r="K488" s="7" t="s">
        <v>26</v>
      </c>
      <c r="L488" s="9">
        <v>70</v>
      </c>
      <c r="M488" s="10">
        <v>0.05</v>
      </c>
      <c r="N488" s="6" t="s">
        <v>2394</v>
      </c>
      <c r="O488" s="11">
        <v>52000</v>
      </c>
      <c r="P488" s="11">
        <f t="shared" si="22"/>
        <v>46225.94</v>
      </c>
      <c r="Q488" s="18">
        <v>3596.33</v>
      </c>
      <c r="R488" s="19"/>
      <c r="S488" s="2" t="str">
        <f>IF(P496&lt;O496,"CATCHUP","NONE")</f>
        <v>CATCHUP</v>
      </c>
    </row>
    <row r="489" spans="1:19" hidden="1" x14ac:dyDescent="0.3">
      <c r="A489" s="6" t="s">
        <v>2395</v>
      </c>
      <c r="B489" s="7" t="s">
        <v>2396</v>
      </c>
      <c r="C489" s="17" t="s">
        <v>2397</v>
      </c>
      <c r="D489" s="17"/>
      <c r="E489" s="8">
        <v>18301</v>
      </c>
      <c r="F489" s="9">
        <v>72</v>
      </c>
      <c r="G489" s="6" t="s">
        <v>2398</v>
      </c>
      <c r="H489" s="7" t="s">
        <v>25</v>
      </c>
      <c r="I489" s="6"/>
      <c r="J489" s="7" t="s">
        <v>20</v>
      </c>
      <c r="K489" s="7" t="s">
        <v>26</v>
      </c>
      <c r="L489" s="6"/>
      <c r="M489" s="10">
        <v>5.3999999999999999E-2</v>
      </c>
      <c r="N489" s="6" t="s">
        <v>2399</v>
      </c>
      <c r="O489" s="11">
        <v>10160.24</v>
      </c>
      <c r="P489" s="11">
        <f t="shared" si="22"/>
        <v>8890.2099999999991</v>
      </c>
      <c r="Q489" s="18">
        <v>1270.03</v>
      </c>
      <c r="R489" s="19"/>
    </row>
    <row r="490" spans="1:19" hidden="1" x14ac:dyDescent="0.3">
      <c r="A490" s="6" t="s">
        <v>2400</v>
      </c>
      <c r="B490" s="7" t="s">
        <v>640</v>
      </c>
      <c r="C490" s="17" t="s">
        <v>2397</v>
      </c>
      <c r="D490" s="17"/>
      <c r="E490" s="8">
        <v>17973</v>
      </c>
      <c r="F490" s="9">
        <v>73</v>
      </c>
      <c r="G490" s="6" t="s">
        <v>2402</v>
      </c>
      <c r="H490" s="7" t="s">
        <v>25</v>
      </c>
      <c r="I490" s="6"/>
      <c r="J490" s="7" t="s">
        <v>20</v>
      </c>
      <c r="K490" s="7" t="s">
        <v>26</v>
      </c>
      <c r="L490" s="6"/>
      <c r="M490" s="10">
        <v>5.5300000000000002E-2</v>
      </c>
      <c r="N490" s="6" t="s">
        <v>2403</v>
      </c>
      <c r="O490" s="11">
        <v>31530.32</v>
      </c>
      <c r="P490" s="11">
        <f t="shared" si="22"/>
        <v>29464.03</v>
      </c>
      <c r="Q490" s="18">
        <v>11952.19</v>
      </c>
      <c r="R490" s="19"/>
    </row>
    <row r="491" spans="1:19" ht="43.2" x14ac:dyDescent="0.3">
      <c r="A491" s="6" t="s">
        <v>2404</v>
      </c>
      <c r="B491" s="7" t="s">
        <v>2405</v>
      </c>
      <c r="C491" s="17" t="s">
        <v>2406</v>
      </c>
      <c r="D491" s="17"/>
      <c r="E491" s="8">
        <v>18243</v>
      </c>
      <c r="F491" s="9">
        <v>73</v>
      </c>
      <c r="G491" s="6" t="s">
        <v>2407</v>
      </c>
      <c r="H491" s="7" t="s">
        <v>39</v>
      </c>
      <c r="I491" s="6" t="s">
        <v>106</v>
      </c>
      <c r="J491" s="7" t="s">
        <v>41</v>
      </c>
      <c r="K491" s="7" t="s">
        <v>26</v>
      </c>
      <c r="L491" s="9">
        <v>67</v>
      </c>
      <c r="M491" s="10">
        <v>4.3499999999999997E-2</v>
      </c>
      <c r="N491" s="6" t="s">
        <v>2408</v>
      </c>
      <c r="O491" s="11">
        <v>32000</v>
      </c>
      <c r="P491" s="11">
        <f t="shared" si="22"/>
        <v>30830.26</v>
      </c>
      <c r="Q491" s="18">
        <v>4000</v>
      </c>
      <c r="R491" s="19"/>
      <c r="S491" s="2" t="str">
        <f>IF(P499&lt;O499,"CATCHUP","NONE")</f>
        <v>CATCHUP</v>
      </c>
    </row>
    <row r="492" spans="1:19" ht="43.2" hidden="1" x14ac:dyDescent="0.3">
      <c r="A492" s="6" t="s">
        <v>2409</v>
      </c>
      <c r="B492" s="7" t="s">
        <v>240</v>
      </c>
      <c r="C492" s="17" t="s">
        <v>2406</v>
      </c>
      <c r="D492" s="17"/>
      <c r="E492" s="8">
        <v>18155</v>
      </c>
      <c r="F492" s="9">
        <v>73</v>
      </c>
      <c r="G492" s="6" t="s">
        <v>2410</v>
      </c>
      <c r="H492" s="7" t="s">
        <v>39</v>
      </c>
      <c r="I492" s="6" t="s">
        <v>227</v>
      </c>
      <c r="J492" s="7" t="s">
        <v>20</v>
      </c>
      <c r="K492" s="7" t="s">
        <v>26</v>
      </c>
      <c r="L492" s="6"/>
      <c r="M492" s="10">
        <v>5.5300000000000002E-2</v>
      </c>
      <c r="N492" s="6" t="s">
        <v>2411</v>
      </c>
      <c r="O492" s="11">
        <v>18400</v>
      </c>
      <c r="P492" s="11">
        <f t="shared" si="22"/>
        <v>16121.29</v>
      </c>
      <c r="Q492" s="18">
        <v>2300</v>
      </c>
      <c r="R492" s="19"/>
    </row>
    <row r="493" spans="1:19" hidden="1" x14ac:dyDescent="0.3">
      <c r="A493" s="6" t="s">
        <v>2412</v>
      </c>
      <c r="B493" s="7" t="s">
        <v>550</v>
      </c>
      <c r="C493" s="17" t="s">
        <v>2406</v>
      </c>
      <c r="D493" s="17"/>
      <c r="E493" s="7" t="s">
        <v>2413</v>
      </c>
      <c r="F493" s="9">
        <v>74</v>
      </c>
      <c r="G493" s="6" t="s">
        <v>2414</v>
      </c>
      <c r="H493" s="7" t="s">
        <v>25</v>
      </c>
      <c r="I493" s="6" t="s">
        <v>19</v>
      </c>
      <c r="J493" s="7" t="s">
        <v>20</v>
      </c>
      <c r="K493" s="7" t="s">
        <v>26</v>
      </c>
      <c r="L493" s="6"/>
      <c r="M493" s="10">
        <v>5.67E-2</v>
      </c>
      <c r="N493" s="6" t="s">
        <v>2415</v>
      </c>
      <c r="O493" s="6" t="s">
        <v>19</v>
      </c>
      <c r="P493" s="6"/>
      <c r="Q493" s="19" t="s">
        <v>19</v>
      </c>
      <c r="R493" s="19"/>
    </row>
    <row r="494" spans="1:19" ht="28.8" hidden="1" x14ac:dyDescent="0.3">
      <c r="A494" s="6" t="s">
        <v>2416</v>
      </c>
      <c r="B494" s="7" t="s">
        <v>2417</v>
      </c>
      <c r="C494" s="17" t="s">
        <v>2418</v>
      </c>
      <c r="D494" s="17"/>
      <c r="E494" s="8">
        <v>13777</v>
      </c>
      <c r="F494" s="9">
        <v>85</v>
      </c>
      <c r="G494" s="6" t="s">
        <v>2419</v>
      </c>
      <c r="H494" s="7" t="s">
        <v>39</v>
      </c>
      <c r="I494" s="6" t="s">
        <v>2420</v>
      </c>
      <c r="J494" s="7" t="s">
        <v>20</v>
      </c>
      <c r="K494" s="7" t="s">
        <v>26</v>
      </c>
      <c r="L494" s="6"/>
      <c r="M494" s="10">
        <v>8.5099999999999995E-2</v>
      </c>
      <c r="N494" s="6" t="s">
        <v>2421</v>
      </c>
      <c r="O494" s="11">
        <v>7861.28</v>
      </c>
      <c r="P494" s="11"/>
      <c r="Q494" s="18">
        <v>982.66</v>
      </c>
      <c r="R494" s="19"/>
    </row>
    <row r="495" spans="1:19" ht="28.8" hidden="1" x14ac:dyDescent="0.3">
      <c r="A495" s="6" t="s">
        <v>2422</v>
      </c>
      <c r="B495" s="7" t="s">
        <v>2423</v>
      </c>
      <c r="C495" s="17" t="s">
        <v>2418</v>
      </c>
      <c r="D495" s="17"/>
      <c r="E495" s="8">
        <v>17707</v>
      </c>
      <c r="F495" s="9">
        <v>74</v>
      </c>
      <c r="G495" s="6" t="s">
        <v>2424</v>
      </c>
      <c r="H495" s="7" t="s">
        <v>39</v>
      </c>
      <c r="I495" s="6" t="s">
        <v>321</v>
      </c>
      <c r="J495" s="7" t="s">
        <v>20</v>
      </c>
      <c r="K495" s="7" t="s">
        <v>26</v>
      </c>
      <c r="L495" s="6"/>
      <c r="M495" s="10">
        <v>5.67E-2</v>
      </c>
      <c r="N495" s="6" t="s">
        <v>2425</v>
      </c>
      <c r="O495" s="11">
        <v>4000</v>
      </c>
      <c r="P495" s="11"/>
      <c r="Q495" s="18">
        <v>500</v>
      </c>
      <c r="R495" s="19"/>
    </row>
    <row r="496" spans="1:19" ht="43.2" x14ac:dyDescent="0.3">
      <c r="A496" s="6" t="s">
        <v>2426</v>
      </c>
      <c r="B496" s="7" t="s">
        <v>793</v>
      </c>
      <c r="C496" s="17" t="s">
        <v>2427</v>
      </c>
      <c r="D496" s="17"/>
      <c r="E496" s="8">
        <v>17443</v>
      </c>
      <c r="F496" s="9">
        <v>75</v>
      </c>
      <c r="G496" s="6" t="s">
        <v>2428</v>
      </c>
      <c r="H496" s="7" t="s">
        <v>39</v>
      </c>
      <c r="I496" s="6" t="s">
        <v>2429</v>
      </c>
      <c r="J496" s="7" t="s">
        <v>41</v>
      </c>
      <c r="K496" s="7" t="s">
        <v>26</v>
      </c>
      <c r="L496" s="9">
        <v>72</v>
      </c>
      <c r="M496" s="10">
        <v>5.3999999999999999E-2</v>
      </c>
      <c r="N496" s="6" t="s">
        <v>2430</v>
      </c>
      <c r="O496" s="11">
        <v>10480</v>
      </c>
      <c r="P496" s="11"/>
      <c r="Q496" s="18">
        <v>1310</v>
      </c>
      <c r="R496" s="19"/>
    </row>
    <row r="497" spans="1:18" ht="43.2" x14ac:dyDescent="0.3">
      <c r="A497" s="6" t="s">
        <v>2431</v>
      </c>
      <c r="B497" s="7" t="s">
        <v>276</v>
      </c>
      <c r="C497" s="17" t="s">
        <v>2432</v>
      </c>
      <c r="D497" s="17"/>
      <c r="E497" s="8">
        <v>17113</v>
      </c>
      <c r="F497" s="9">
        <v>76</v>
      </c>
      <c r="G497" s="6" t="s">
        <v>2433</v>
      </c>
      <c r="H497" s="7" t="s">
        <v>39</v>
      </c>
      <c r="I497" s="6" t="s">
        <v>122</v>
      </c>
      <c r="J497" s="7" t="s">
        <v>41</v>
      </c>
      <c r="K497" s="7" t="s">
        <v>26</v>
      </c>
      <c r="L497" s="9">
        <v>75</v>
      </c>
      <c r="M497" s="10">
        <v>5.8200000000000002E-2</v>
      </c>
      <c r="N497" s="6" t="s">
        <v>2434</v>
      </c>
      <c r="O497" s="11">
        <v>16000</v>
      </c>
      <c r="P497" s="11"/>
      <c r="Q497" s="18">
        <v>2000</v>
      </c>
      <c r="R497" s="19"/>
    </row>
    <row r="498" spans="1:18" ht="28.8" hidden="1" x14ac:dyDescent="0.3">
      <c r="A498" s="6" t="s">
        <v>2435</v>
      </c>
      <c r="B498" s="7" t="s">
        <v>401</v>
      </c>
      <c r="C498" s="17" t="s">
        <v>2432</v>
      </c>
      <c r="D498" s="17"/>
      <c r="E498" s="8">
        <v>17438</v>
      </c>
      <c r="F498" s="9">
        <v>75</v>
      </c>
      <c r="G498" s="6" t="s">
        <v>2436</v>
      </c>
      <c r="H498" s="7" t="s">
        <v>39</v>
      </c>
      <c r="I498" s="6" t="s">
        <v>321</v>
      </c>
      <c r="J498" s="7" t="s">
        <v>20</v>
      </c>
      <c r="K498" s="7" t="s">
        <v>26</v>
      </c>
      <c r="L498" s="6"/>
      <c r="M498" s="10">
        <v>5.8200000000000002E-2</v>
      </c>
      <c r="N498" s="6" t="s">
        <v>2437</v>
      </c>
      <c r="O498" s="11">
        <v>4000</v>
      </c>
      <c r="P498" s="11"/>
      <c r="Q498" s="18">
        <v>500</v>
      </c>
      <c r="R498" s="19"/>
    </row>
    <row r="499" spans="1:18" hidden="1" x14ac:dyDescent="0.3">
      <c r="A499" s="6" t="s">
        <v>2438</v>
      </c>
      <c r="B499" s="7" t="s">
        <v>401</v>
      </c>
      <c r="C499" s="17" t="s">
        <v>2439</v>
      </c>
      <c r="D499" s="17"/>
      <c r="E499" s="8">
        <v>17314</v>
      </c>
      <c r="F499" s="9">
        <v>75</v>
      </c>
      <c r="G499" s="6" t="s">
        <v>2440</v>
      </c>
      <c r="H499" s="7" t="s">
        <v>25</v>
      </c>
      <c r="I499" s="6"/>
      <c r="J499" s="7" t="s">
        <v>20</v>
      </c>
      <c r="K499" s="7" t="s">
        <v>26</v>
      </c>
      <c r="L499" s="6"/>
      <c r="M499" s="10">
        <v>5.8200000000000002E-2</v>
      </c>
      <c r="N499" s="6" t="s">
        <v>2441</v>
      </c>
      <c r="O499" s="11">
        <v>12585.04</v>
      </c>
      <c r="P499" s="11"/>
      <c r="Q499" s="18">
        <v>1573.13</v>
      </c>
      <c r="R499" s="19"/>
    </row>
    <row r="500" spans="1:18" x14ac:dyDescent="0.3">
      <c r="A500" s="6" t="s">
        <v>2442</v>
      </c>
      <c r="B500" s="7" t="s">
        <v>2443</v>
      </c>
      <c r="C500" s="17" t="s">
        <v>2439</v>
      </c>
      <c r="D500" s="17"/>
      <c r="E500" s="8">
        <v>17042</v>
      </c>
      <c r="F500" s="9">
        <v>76</v>
      </c>
      <c r="G500" s="6" t="s">
        <v>2444</v>
      </c>
      <c r="H500" s="7" t="s">
        <v>25</v>
      </c>
      <c r="I500" s="6"/>
      <c r="J500" s="7" t="s">
        <v>41</v>
      </c>
      <c r="K500" s="7" t="s">
        <v>26</v>
      </c>
      <c r="L500" s="9">
        <v>75</v>
      </c>
      <c r="M500" s="10">
        <v>5.8200000000000002E-2</v>
      </c>
      <c r="N500" s="6" t="s">
        <v>2445</v>
      </c>
      <c r="O500" s="11">
        <v>9637.1200000000008</v>
      </c>
      <c r="P500" s="11"/>
      <c r="Q500" s="18">
        <v>1204.6400000000001</v>
      </c>
      <c r="R500" s="19"/>
    </row>
    <row r="501" spans="1:18" ht="43.2" hidden="1" x14ac:dyDescent="0.3">
      <c r="A501" s="6" t="s">
        <v>2446</v>
      </c>
      <c r="B501" s="7" t="s">
        <v>766</v>
      </c>
      <c r="C501" s="17" t="s">
        <v>2447</v>
      </c>
      <c r="D501" s="17"/>
      <c r="E501" s="8">
        <v>16592</v>
      </c>
      <c r="F501" s="9">
        <v>77</v>
      </c>
      <c r="G501" s="6" t="s">
        <v>2448</v>
      </c>
      <c r="H501" s="7" t="s">
        <v>39</v>
      </c>
      <c r="I501" s="6" t="s">
        <v>352</v>
      </c>
      <c r="J501" s="7" t="s">
        <v>20</v>
      </c>
      <c r="K501" s="7" t="s">
        <v>26</v>
      </c>
      <c r="L501" s="6"/>
      <c r="M501" s="10">
        <v>6.1699999999999998E-2</v>
      </c>
      <c r="N501" s="6" t="s">
        <v>2449</v>
      </c>
      <c r="O501" s="11">
        <v>29600</v>
      </c>
      <c r="P501" s="11"/>
      <c r="Q501" s="18">
        <v>3700</v>
      </c>
      <c r="R501" s="19"/>
    </row>
    <row r="502" spans="1:18" ht="43.2" hidden="1" x14ac:dyDescent="0.3">
      <c r="A502" s="6" t="s">
        <v>2450</v>
      </c>
      <c r="B502" s="7" t="s">
        <v>830</v>
      </c>
      <c r="C502" s="17" t="s">
        <v>2451</v>
      </c>
      <c r="D502" s="17"/>
      <c r="E502" s="8">
        <v>17978</v>
      </c>
      <c r="F502" s="9">
        <v>73</v>
      </c>
      <c r="G502" s="6" t="s">
        <v>2452</v>
      </c>
      <c r="H502" s="7" t="s">
        <v>39</v>
      </c>
      <c r="I502" s="6" t="s">
        <v>2453</v>
      </c>
      <c r="J502" s="7" t="s">
        <v>20</v>
      </c>
      <c r="K502" s="7" t="s">
        <v>26</v>
      </c>
      <c r="L502" s="6"/>
      <c r="M502" s="10">
        <v>5.5300000000000002E-2</v>
      </c>
      <c r="N502" s="6" t="s">
        <v>2454</v>
      </c>
      <c r="O502" s="11">
        <v>23200</v>
      </c>
      <c r="P502" s="11"/>
      <c r="Q502" s="18">
        <v>2900</v>
      </c>
      <c r="R502" s="19"/>
    </row>
    <row r="503" spans="1:18" ht="43.2" hidden="1" x14ac:dyDescent="0.3">
      <c r="A503" s="6" t="s">
        <v>2455</v>
      </c>
      <c r="B503" s="7" t="s">
        <v>2456</v>
      </c>
      <c r="C503" s="17" t="s">
        <v>2457</v>
      </c>
      <c r="D503" s="17"/>
      <c r="E503" s="8">
        <v>18206</v>
      </c>
      <c r="F503" s="9">
        <v>73</v>
      </c>
      <c r="G503" s="6" t="s">
        <v>2458</v>
      </c>
      <c r="H503" s="7" t="s">
        <v>39</v>
      </c>
      <c r="I503" s="6" t="s">
        <v>1026</v>
      </c>
      <c r="J503" s="7" t="s">
        <v>20</v>
      </c>
      <c r="K503" s="7" t="s">
        <v>26</v>
      </c>
      <c r="L503" s="6"/>
      <c r="M503" s="10">
        <v>5.5300000000000002E-2</v>
      </c>
      <c r="N503" s="6" t="s">
        <v>2459</v>
      </c>
      <c r="O503" s="11">
        <v>8800</v>
      </c>
      <c r="P503" s="11"/>
      <c r="Q503" s="18">
        <v>1100</v>
      </c>
      <c r="R503" s="19"/>
    </row>
    <row r="504" spans="1:18" hidden="1" x14ac:dyDescent="0.3">
      <c r="A504" s="6" t="s">
        <v>2460</v>
      </c>
      <c r="B504" s="7" t="s">
        <v>115</v>
      </c>
      <c r="C504" s="17" t="s">
        <v>2461</v>
      </c>
      <c r="D504" s="17"/>
      <c r="E504" s="7" t="s">
        <v>2462</v>
      </c>
      <c r="F504" s="9">
        <v>73</v>
      </c>
      <c r="G504" s="6" t="s">
        <v>2463</v>
      </c>
      <c r="H504" s="7" t="s">
        <v>25</v>
      </c>
      <c r="I504" s="6" t="s">
        <v>19</v>
      </c>
      <c r="J504" s="7" t="s">
        <v>20</v>
      </c>
      <c r="K504" s="7" t="s">
        <v>26</v>
      </c>
      <c r="L504" s="6"/>
      <c r="M504" s="10">
        <v>5.5300000000000002E-2</v>
      </c>
      <c r="N504" s="6" t="s">
        <v>2464</v>
      </c>
      <c r="O504" s="6" t="s">
        <v>19</v>
      </c>
      <c r="P504" s="6"/>
      <c r="Q504" s="19" t="s">
        <v>19</v>
      </c>
      <c r="R504" s="19"/>
    </row>
    <row r="505" spans="1:18" hidden="1" x14ac:dyDescent="0.3">
      <c r="A505" s="6" t="s">
        <v>2465</v>
      </c>
      <c r="B505" s="7" t="s">
        <v>125</v>
      </c>
      <c r="C505" s="17" t="s">
        <v>2466</v>
      </c>
      <c r="D505" s="17"/>
      <c r="E505" s="8">
        <v>18228</v>
      </c>
      <c r="F505" s="9">
        <v>73</v>
      </c>
      <c r="G505" s="6" t="s">
        <v>2467</v>
      </c>
      <c r="H505" s="7" t="s">
        <v>25</v>
      </c>
      <c r="I505" s="6"/>
      <c r="J505" s="7" t="s">
        <v>20</v>
      </c>
      <c r="K505" s="7" t="s">
        <v>26</v>
      </c>
      <c r="L505" s="6"/>
      <c r="M505" s="10">
        <v>5.5300000000000002E-2</v>
      </c>
      <c r="N505" s="6" t="s">
        <v>2468</v>
      </c>
      <c r="O505" s="11">
        <v>39355.839999999997</v>
      </c>
      <c r="P505" s="11"/>
      <c r="Q505" s="18">
        <v>4919.4799999999996</v>
      </c>
      <c r="R505" s="19"/>
    </row>
    <row r="506" spans="1:18" ht="43.2" hidden="1" x14ac:dyDescent="0.3">
      <c r="A506" s="6" t="s">
        <v>2469</v>
      </c>
      <c r="B506" s="7" t="s">
        <v>324</v>
      </c>
      <c r="C506" s="17" t="s">
        <v>2470</v>
      </c>
      <c r="D506" s="17"/>
      <c r="E506" s="8">
        <v>17980</v>
      </c>
      <c r="F506" s="9">
        <v>73</v>
      </c>
      <c r="G506" s="6" t="s">
        <v>2471</v>
      </c>
      <c r="H506" s="7" t="s">
        <v>39</v>
      </c>
      <c r="I506" s="6" t="s">
        <v>2472</v>
      </c>
      <c r="J506" s="7" t="s">
        <v>20</v>
      </c>
      <c r="K506" s="7" t="s">
        <v>26</v>
      </c>
      <c r="L506" s="6"/>
      <c r="M506" s="10">
        <v>5.5300000000000002E-2</v>
      </c>
      <c r="N506" s="6" t="s">
        <v>2473</v>
      </c>
      <c r="O506" s="11">
        <v>37600</v>
      </c>
      <c r="P506" s="11"/>
      <c r="Q506" s="18">
        <v>4700</v>
      </c>
      <c r="R506" s="19"/>
    </row>
    <row r="507" spans="1:18" ht="43.2" hidden="1" x14ac:dyDescent="0.3">
      <c r="A507" s="6" t="s">
        <v>2474</v>
      </c>
      <c r="B507" s="7" t="s">
        <v>983</v>
      </c>
      <c r="C507" s="17" t="s">
        <v>2470</v>
      </c>
      <c r="D507" s="17"/>
      <c r="E507" s="8">
        <v>18566</v>
      </c>
      <c r="F507" s="9">
        <v>72</v>
      </c>
      <c r="G507" s="6" t="s">
        <v>2476</v>
      </c>
      <c r="H507" s="7" t="s">
        <v>39</v>
      </c>
      <c r="I507" s="6" t="s">
        <v>2477</v>
      </c>
      <c r="J507" s="7" t="s">
        <v>20</v>
      </c>
      <c r="K507" s="7" t="s">
        <v>26</v>
      </c>
      <c r="L507" s="6"/>
      <c r="M507" s="10">
        <v>5.3999999999999999E-2</v>
      </c>
      <c r="N507" s="6" t="s">
        <v>2478</v>
      </c>
      <c r="O507" s="11">
        <v>18800</v>
      </c>
      <c r="P507" s="11"/>
      <c r="Q507" s="18">
        <v>1019.36</v>
      </c>
      <c r="R507" s="19"/>
    </row>
    <row r="508" spans="1:18" ht="43.2" hidden="1" x14ac:dyDescent="0.3">
      <c r="A508" s="6" t="s">
        <v>2479</v>
      </c>
      <c r="B508" s="7" t="s">
        <v>2480</v>
      </c>
      <c r="C508" s="17" t="s">
        <v>2470</v>
      </c>
      <c r="D508" s="17"/>
      <c r="E508" s="8">
        <v>17862</v>
      </c>
      <c r="F508" s="9">
        <v>74</v>
      </c>
      <c r="G508" s="6" t="s">
        <v>2481</v>
      </c>
      <c r="H508" s="7" t="s">
        <v>39</v>
      </c>
      <c r="I508" s="6" t="s">
        <v>2482</v>
      </c>
      <c r="J508" s="7" t="s">
        <v>20</v>
      </c>
      <c r="K508" s="7" t="s">
        <v>26</v>
      </c>
      <c r="L508" s="6"/>
      <c r="M508" s="10">
        <v>5.67E-2</v>
      </c>
      <c r="N508" s="6" t="s">
        <v>2483</v>
      </c>
      <c r="O508" s="11">
        <v>13560</v>
      </c>
      <c r="P508" s="11"/>
      <c r="Q508" s="18">
        <v>1695</v>
      </c>
      <c r="R508" s="19"/>
    </row>
    <row r="509" spans="1:18" ht="28.8" hidden="1" x14ac:dyDescent="0.3">
      <c r="A509" s="6" t="s">
        <v>2484</v>
      </c>
      <c r="B509" s="7" t="s">
        <v>918</v>
      </c>
      <c r="C509" s="17" t="s">
        <v>2470</v>
      </c>
      <c r="D509" s="17"/>
      <c r="E509" s="8">
        <v>15528</v>
      </c>
      <c r="F509" s="9">
        <v>80</v>
      </c>
      <c r="G509" s="6" t="s">
        <v>2485</v>
      </c>
      <c r="H509" s="7" t="s">
        <v>39</v>
      </c>
      <c r="I509" s="6" t="s">
        <v>249</v>
      </c>
      <c r="J509" s="7" t="s">
        <v>20</v>
      </c>
      <c r="K509" s="7" t="s">
        <v>26</v>
      </c>
      <c r="L509" s="6"/>
      <c r="M509" s="10">
        <v>6.8199999999999997E-2</v>
      </c>
      <c r="N509" s="6" t="s">
        <v>2486</v>
      </c>
      <c r="O509" s="11">
        <v>1600</v>
      </c>
      <c r="P509" s="11"/>
      <c r="Q509" s="18">
        <v>200</v>
      </c>
      <c r="R509" s="19"/>
    </row>
    <row r="510" spans="1:18" ht="28.8" hidden="1" x14ac:dyDescent="0.3">
      <c r="A510" s="6" t="s">
        <v>2487</v>
      </c>
      <c r="B510" s="7" t="s">
        <v>115</v>
      </c>
      <c r="C510" s="17" t="s">
        <v>2488</v>
      </c>
      <c r="D510" s="17"/>
      <c r="E510" s="8">
        <v>18452</v>
      </c>
      <c r="F510" s="9">
        <v>72</v>
      </c>
      <c r="G510" s="6" t="s">
        <v>2489</v>
      </c>
      <c r="H510" s="7" t="s">
        <v>39</v>
      </c>
      <c r="I510" s="6" t="s">
        <v>321</v>
      </c>
      <c r="J510" s="7" t="s">
        <v>20</v>
      </c>
      <c r="K510" s="7" t="s">
        <v>26</v>
      </c>
      <c r="L510" s="6"/>
      <c r="M510" s="10">
        <v>5.3999999999999999E-2</v>
      </c>
      <c r="N510" s="6" t="s">
        <v>2490</v>
      </c>
      <c r="O510" s="11">
        <v>3500</v>
      </c>
      <c r="P510" s="11"/>
      <c r="Q510" s="18">
        <v>500</v>
      </c>
      <c r="R510" s="19"/>
    </row>
    <row r="511" spans="1:18" hidden="1" x14ac:dyDescent="0.3">
      <c r="A511" s="6" t="s">
        <v>2491</v>
      </c>
      <c r="B511" s="7" t="s">
        <v>2492</v>
      </c>
      <c r="C511" s="17" t="s">
        <v>2488</v>
      </c>
      <c r="D511" s="17"/>
      <c r="E511" s="7" t="s">
        <v>2493</v>
      </c>
      <c r="F511" s="9">
        <v>76</v>
      </c>
      <c r="G511" s="6" t="s">
        <v>2494</v>
      </c>
      <c r="H511" s="7" t="s">
        <v>25</v>
      </c>
      <c r="I511" s="6" t="s">
        <v>19</v>
      </c>
      <c r="J511" s="7" t="s">
        <v>41</v>
      </c>
      <c r="K511" s="7" t="s">
        <v>26</v>
      </c>
      <c r="L511" s="9">
        <v>75</v>
      </c>
      <c r="M511" s="10">
        <v>5.8200000000000002E-2</v>
      </c>
      <c r="N511" s="6" t="s">
        <v>2495</v>
      </c>
      <c r="O511" s="6" t="s">
        <v>19</v>
      </c>
      <c r="P511" s="6"/>
      <c r="Q511" s="19" t="s">
        <v>19</v>
      </c>
      <c r="R511" s="19"/>
    </row>
    <row r="512" spans="1:18" ht="43.2" hidden="1" x14ac:dyDescent="0.3">
      <c r="A512" s="6" t="s">
        <v>2496</v>
      </c>
      <c r="B512" s="7" t="s">
        <v>401</v>
      </c>
      <c r="C512" s="17" t="s">
        <v>2488</v>
      </c>
      <c r="D512" s="17"/>
      <c r="E512" s="8">
        <v>18368</v>
      </c>
      <c r="F512" s="9">
        <v>72</v>
      </c>
      <c r="G512" s="6" t="s">
        <v>2497</v>
      </c>
      <c r="H512" s="7" t="s">
        <v>39</v>
      </c>
      <c r="I512" s="6" t="s">
        <v>47</v>
      </c>
      <c r="J512" s="7" t="s">
        <v>20</v>
      </c>
      <c r="K512" s="7" t="s">
        <v>26</v>
      </c>
      <c r="L512" s="6"/>
      <c r="M512" s="10">
        <v>5.3999999999999999E-2</v>
      </c>
      <c r="N512" s="6" t="s">
        <v>2498</v>
      </c>
      <c r="O512" s="11">
        <v>8000</v>
      </c>
      <c r="P512" s="11"/>
      <c r="Q512" s="18">
        <v>1000</v>
      </c>
      <c r="R512" s="19"/>
    </row>
    <row r="513" spans="1:18" ht="43.2" hidden="1" x14ac:dyDescent="0.3">
      <c r="A513" s="6" t="s">
        <v>2499</v>
      </c>
      <c r="B513" s="7" t="s">
        <v>1125</v>
      </c>
      <c r="C513" s="17" t="s">
        <v>2488</v>
      </c>
      <c r="D513" s="17"/>
      <c r="E513" s="8">
        <v>17798</v>
      </c>
      <c r="F513" s="9">
        <v>74</v>
      </c>
      <c r="G513" s="6" t="s">
        <v>2500</v>
      </c>
      <c r="H513" s="7" t="s">
        <v>39</v>
      </c>
      <c r="I513" s="6" t="s">
        <v>47</v>
      </c>
      <c r="J513" s="7" t="s">
        <v>20</v>
      </c>
      <c r="K513" s="7" t="s">
        <v>26</v>
      </c>
      <c r="L513" s="6"/>
      <c r="M513" s="10">
        <v>5.67E-2</v>
      </c>
      <c r="N513" s="6" t="s">
        <v>2501</v>
      </c>
      <c r="O513" s="11">
        <v>8000</v>
      </c>
      <c r="P513" s="11"/>
      <c r="Q513" s="18">
        <v>1000</v>
      </c>
      <c r="R513" s="19"/>
    </row>
    <row r="514" spans="1:18" hidden="1" x14ac:dyDescent="0.3">
      <c r="A514" s="6" t="s">
        <v>2502</v>
      </c>
      <c r="B514" s="7" t="s">
        <v>498</v>
      </c>
      <c r="C514" s="17" t="s">
        <v>2503</v>
      </c>
      <c r="D514" s="17"/>
      <c r="E514" s="7" t="s">
        <v>1810</v>
      </c>
      <c r="F514" s="9">
        <v>72</v>
      </c>
      <c r="G514" s="6" t="s">
        <v>2504</v>
      </c>
      <c r="H514" s="7" t="s">
        <v>19</v>
      </c>
      <c r="I514" s="6" t="s">
        <v>19</v>
      </c>
      <c r="J514" s="7" t="s">
        <v>20</v>
      </c>
      <c r="K514" s="7"/>
      <c r="L514" s="6"/>
      <c r="M514" s="10">
        <v>5.3999999999999999E-2</v>
      </c>
      <c r="N514" s="6" t="s">
        <v>2505</v>
      </c>
      <c r="O514" s="6" t="s">
        <v>19</v>
      </c>
      <c r="P514" s="6"/>
      <c r="Q514" s="19" t="s">
        <v>19</v>
      </c>
      <c r="R514" s="19"/>
    </row>
    <row r="515" spans="1:18" hidden="1" x14ac:dyDescent="0.3">
      <c r="A515" s="6" t="s">
        <v>2506</v>
      </c>
      <c r="B515" s="7" t="s">
        <v>1163</v>
      </c>
      <c r="C515" s="17" t="s">
        <v>2503</v>
      </c>
      <c r="D515" s="17"/>
      <c r="E515" s="7" t="s">
        <v>2507</v>
      </c>
      <c r="F515" s="9">
        <v>76</v>
      </c>
      <c r="G515" s="6" t="s">
        <v>2508</v>
      </c>
      <c r="H515" s="7" t="s">
        <v>25</v>
      </c>
      <c r="I515" s="6" t="s">
        <v>19</v>
      </c>
      <c r="J515" s="7" t="s">
        <v>41</v>
      </c>
      <c r="K515" s="7" t="s">
        <v>32</v>
      </c>
      <c r="L515" s="9">
        <v>75</v>
      </c>
      <c r="M515" s="10">
        <v>5.8200000000000002E-2</v>
      </c>
      <c r="N515" s="6" t="s">
        <v>2509</v>
      </c>
      <c r="O515" s="6" t="s">
        <v>19</v>
      </c>
      <c r="P515" s="6"/>
      <c r="Q515" s="19" t="s">
        <v>19</v>
      </c>
      <c r="R515" s="19"/>
    </row>
    <row r="516" spans="1:18" ht="43.2" hidden="1" x14ac:dyDescent="0.3">
      <c r="A516" s="6" t="s">
        <v>2510</v>
      </c>
      <c r="B516" s="7" t="s">
        <v>2511</v>
      </c>
      <c r="C516" s="17" t="s">
        <v>2503</v>
      </c>
      <c r="D516" s="17"/>
      <c r="E516" s="7" t="s">
        <v>2512</v>
      </c>
      <c r="F516" s="9">
        <v>78</v>
      </c>
      <c r="G516" s="6" t="s">
        <v>2513</v>
      </c>
      <c r="H516" s="7" t="s">
        <v>39</v>
      </c>
      <c r="I516" s="6" t="s">
        <v>47</v>
      </c>
      <c r="J516" s="7" t="s">
        <v>20</v>
      </c>
      <c r="K516" s="7" t="s">
        <v>26</v>
      </c>
      <c r="L516" s="6"/>
      <c r="M516" s="10">
        <v>6.3600000000000004E-2</v>
      </c>
      <c r="N516" s="6" t="s">
        <v>2514</v>
      </c>
      <c r="O516" s="6" t="s">
        <v>19</v>
      </c>
      <c r="P516" s="6"/>
      <c r="Q516" s="19" t="s">
        <v>19</v>
      </c>
      <c r="R516" s="19"/>
    </row>
    <row r="517" spans="1:18" hidden="1" x14ac:dyDescent="0.3">
      <c r="A517" s="6" t="s">
        <v>2515</v>
      </c>
      <c r="B517" s="7" t="s">
        <v>2516</v>
      </c>
      <c r="C517" s="17" t="s">
        <v>2517</v>
      </c>
      <c r="D517" s="17"/>
      <c r="E517" s="8">
        <v>17428</v>
      </c>
      <c r="F517" s="9">
        <v>75</v>
      </c>
      <c r="G517" s="6" t="s">
        <v>2519</v>
      </c>
      <c r="H517" s="7" t="s">
        <v>25</v>
      </c>
      <c r="I517" s="6"/>
      <c r="J517" s="7" t="s">
        <v>20</v>
      </c>
      <c r="K517" s="7" t="s">
        <v>26</v>
      </c>
      <c r="L517" s="6"/>
      <c r="M517" s="10">
        <v>5.8200000000000002E-2</v>
      </c>
      <c r="N517" s="6" t="s">
        <v>2520</v>
      </c>
      <c r="O517" s="11">
        <v>17335.12</v>
      </c>
      <c r="P517" s="11"/>
      <c r="Q517" s="18">
        <v>50.13</v>
      </c>
      <c r="R517" s="19"/>
    </row>
    <row r="518" spans="1:18" ht="28.8" hidden="1" x14ac:dyDescent="0.3">
      <c r="A518" s="6" t="s">
        <v>2521</v>
      </c>
      <c r="B518" s="7" t="s">
        <v>2522</v>
      </c>
      <c r="C518" s="17" t="s">
        <v>2523</v>
      </c>
      <c r="D518" s="17"/>
      <c r="E518" s="8">
        <v>16999</v>
      </c>
      <c r="F518" s="9">
        <v>76</v>
      </c>
      <c r="G518" s="6" t="s">
        <v>2524</v>
      </c>
      <c r="H518" s="7" t="s">
        <v>2525</v>
      </c>
      <c r="I518" s="6"/>
      <c r="J518" s="7" t="s">
        <v>20</v>
      </c>
      <c r="K518" s="7" t="s">
        <v>26</v>
      </c>
      <c r="L518" s="6"/>
      <c r="M518" s="10">
        <v>5.9799999999999999E-2</v>
      </c>
      <c r="N518" s="6" t="s">
        <v>2526</v>
      </c>
      <c r="O518" s="11">
        <v>22825.14</v>
      </c>
      <c r="P518" s="11"/>
      <c r="Q518" s="18">
        <v>2900.16</v>
      </c>
      <c r="R518" s="19"/>
    </row>
    <row r="519" spans="1:18" ht="43.2" hidden="1" x14ac:dyDescent="0.3">
      <c r="A519" s="6" t="s">
        <v>2527</v>
      </c>
      <c r="B519" s="7" t="s">
        <v>556</v>
      </c>
      <c r="C519" s="17" t="s">
        <v>2528</v>
      </c>
      <c r="D519" s="17"/>
      <c r="E519" s="8">
        <v>18389</v>
      </c>
      <c r="F519" s="9">
        <v>72</v>
      </c>
      <c r="G519" s="6" t="s">
        <v>2529</v>
      </c>
      <c r="H519" s="7" t="s">
        <v>39</v>
      </c>
      <c r="I519" s="6" t="s">
        <v>522</v>
      </c>
      <c r="J519" s="7" t="s">
        <v>20</v>
      </c>
      <c r="K519" s="7" t="s">
        <v>26</v>
      </c>
      <c r="L519" s="6"/>
      <c r="M519" s="10">
        <v>5.3999999999999999E-2</v>
      </c>
      <c r="N519" s="6" t="s">
        <v>2530</v>
      </c>
      <c r="O519" s="11">
        <v>28800</v>
      </c>
      <c r="P519" s="11"/>
      <c r="Q519" s="18">
        <v>3600</v>
      </c>
      <c r="R519" s="19"/>
    </row>
    <row r="520" spans="1:18" ht="43.2" hidden="1" x14ac:dyDescent="0.3">
      <c r="A520" s="6" t="s">
        <v>2531</v>
      </c>
      <c r="B520" s="7" t="s">
        <v>2532</v>
      </c>
      <c r="C520" s="17" t="s">
        <v>2492</v>
      </c>
      <c r="D520" s="17"/>
      <c r="E520" s="8">
        <v>17802</v>
      </c>
      <c r="F520" s="9">
        <v>74</v>
      </c>
      <c r="G520" s="6" t="s">
        <v>2533</v>
      </c>
      <c r="H520" s="7" t="s">
        <v>39</v>
      </c>
      <c r="I520" s="6" t="s">
        <v>398</v>
      </c>
      <c r="J520" s="7" t="s">
        <v>20</v>
      </c>
      <c r="K520" s="7" t="s">
        <v>26</v>
      </c>
      <c r="L520" s="6"/>
      <c r="M520" s="10">
        <v>5.67E-2</v>
      </c>
      <c r="N520" s="6" t="s">
        <v>2534</v>
      </c>
      <c r="O520" s="11">
        <v>15200</v>
      </c>
      <c r="P520" s="11"/>
      <c r="Q520" s="18">
        <v>1900</v>
      </c>
      <c r="R520" s="19"/>
    </row>
    <row r="521" spans="1:18" hidden="1" x14ac:dyDescent="0.3">
      <c r="A521" s="6" t="s">
        <v>2535</v>
      </c>
      <c r="B521" s="7" t="s">
        <v>120</v>
      </c>
      <c r="C521" s="17" t="s">
        <v>2536</v>
      </c>
      <c r="D521" s="17"/>
      <c r="E521" s="7" t="s">
        <v>2537</v>
      </c>
      <c r="F521" s="9">
        <v>81</v>
      </c>
      <c r="G521" s="6" t="s">
        <v>2538</v>
      </c>
      <c r="H521" s="7" t="s">
        <v>25</v>
      </c>
      <c r="I521" s="6" t="s">
        <v>19</v>
      </c>
      <c r="J521" s="7" t="s">
        <v>20</v>
      </c>
      <c r="K521" s="7" t="s">
        <v>32</v>
      </c>
      <c r="L521" s="6"/>
      <c r="M521" s="10">
        <v>7.0800000000000002E-2</v>
      </c>
      <c r="N521" s="6" t="s">
        <v>2539</v>
      </c>
      <c r="O521" s="6" t="s">
        <v>19</v>
      </c>
      <c r="P521" s="6"/>
      <c r="Q521" s="19" t="s">
        <v>19</v>
      </c>
      <c r="R521" s="19"/>
    </row>
    <row r="522" spans="1:18" x14ac:dyDescent="0.3">
      <c r="A522" s="6" t="s">
        <v>2540</v>
      </c>
      <c r="B522" s="7" t="s">
        <v>2541</v>
      </c>
      <c r="C522" s="17" t="s">
        <v>2542</v>
      </c>
      <c r="D522" s="17"/>
      <c r="E522" s="8">
        <v>16007</v>
      </c>
      <c r="F522" s="9">
        <v>79</v>
      </c>
      <c r="G522" s="6" t="s">
        <v>2543</v>
      </c>
      <c r="H522" s="7" t="s">
        <v>25</v>
      </c>
      <c r="I522" s="6"/>
      <c r="J522" s="7" t="s">
        <v>41</v>
      </c>
      <c r="K522" s="7" t="s">
        <v>26</v>
      </c>
      <c r="L522" s="9">
        <v>67</v>
      </c>
      <c r="M522" s="10">
        <v>4.3499999999999997E-2</v>
      </c>
      <c r="N522" s="6" t="s">
        <v>2544</v>
      </c>
      <c r="O522" s="11">
        <v>31878.880000000001</v>
      </c>
      <c r="P522" s="11"/>
      <c r="Q522" s="18">
        <v>3984.86</v>
      </c>
      <c r="R522" s="19"/>
    </row>
    <row r="523" spans="1:18" ht="43.2" hidden="1" x14ac:dyDescent="0.3">
      <c r="A523" s="6" t="s">
        <v>2545</v>
      </c>
      <c r="B523" s="7" t="s">
        <v>924</v>
      </c>
      <c r="C523" s="17" t="s">
        <v>2546</v>
      </c>
      <c r="D523" s="17"/>
      <c r="E523" s="8">
        <v>18430</v>
      </c>
      <c r="F523" s="9">
        <v>72</v>
      </c>
      <c r="G523" s="6" t="s">
        <v>2547</v>
      </c>
      <c r="H523" s="7" t="s">
        <v>39</v>
      </c>
      <c r="I523" s="6" t="s">
        <v>2548</v>
      </c>
      <c r="J523" s="7" t="s">
        <v>20</v>
      </c>
      <c r="K523" s="7" t="s">
        <v>26</v>
      </c>
      <c r="L523" s="6"/>
      <c r="M523" s="10">
        <v>5.3999999999999999E-2</v>
      </c>
      <c r="N523" s="6" t="s">
        <v>2549</v>
      </c>
      <c r="O523" s="11">
        <v>34000</v>
      </c>
      <c r="P523" s="11"/>
      <c r="Q523" s="18">
        <v>4250</v>
      </c>
      <c r="R523" s="19"/>
    </row>
    <row r="524" spans="1:18" ht="43.2" hidden="1" x14ac:dyDescent="0.3">
      <c r="A524" s="6" t="s">
        <v>2550</v>
      </c>
      <c r="B524" s="7" t="s">
        <v>2551</v>
      </c>
      <c r="C524" s="17" t="s">
        <v>2552</v>
      </c>
      <c r="D524" s="17"/>
      <c r="E524" s="8">
        <v>18099</v>
      </c>
      <c r="F524" s="9">
        <v>73</v>
      </c>
      <c r="G524" s="6" t="s">
        <v>2554</v>
      </c>
      <c r="H524" s="7" t="s">
        <v>39</v>
      </c>
      <c r="I524" s="6" t="s">
        <v>122</v>
      </c>
      <c r="J524" s="7" t="s">
        <v>20</v>
      </c>
      <c r="K524" s="7" t="s">
        <v>26</v>
      </c>
      <c r="L524" s="6"/>
      <c r="M524" s="10">
        <v>5.5300000000000002E-2</v>
      </c>
      <c r="N524" s="6" t="s">
        <v>2555</v>
      </c>
      <c r="O524" s="11">
        <v>26000</v>
      </c>
      <c r="P524" s="11"/>
      <c r="Q524" s="18">
        <v>2000</v>
      </c>
      <c r="R524" s="19"/>
    </row>
    <row r="525" spans="1:18" hidden="1" x14ac:dyDescent="0.3">
      <c r="A525" s="6" t="s">
        <v>2556</v>
      </c>
      <c r="B525" s="7" t="s">
        <v>2322</v>
      </c>
      <c r="C525" s="17" t="s">
        <v>2557</v>
      </c>
      <c r="D525" s="17"/>
      <c r="E525" s="8">
        <v>17321</v>
      </c>
      <c r="F525" s="9">
        <v>75</v>
      </c>
      <c r="G525" s="6" t="s">
        <v>2558</v>
      </c>
      <c r="H525" s="7" t="s">
        <v>25</v>
      </c>
      <c r="I525" s="6"/>
      <c r="J525" s="7" t="s">
        <v>20</v>
      </c>
      <c r="K525" s="7" t="s">
        <v>32</v>
      </c>
      <c r="L525" s="6"/>
      <c r="M525" s="10">
        <v>5.8200000000000002E-2</v>
      </c>
      <c r="N525" s="6" t="s">
        <v>2559</v>
      </c>
      <c r="O525" s="11">
        <v>5327.24</v>
      </c>
      <c r="P525" s="11"/>
      <c r="Q525" s="18">
        <v>5327.24</v>
      </c>
      <c r="R525" s="19"/>
    </row>
    <row r="526" spans="1:18" hidden="1" x14ac:dyDescent="0.3">
      <c r="A526" s="6" t="s">
        <v>2560</v>
      </c>
      <c r="B526" s="7" t="s">
        <v>81</v>
      </c>
      <c r="C526" s="17" t="s">
        <v>2561</v>
      </c>
      <c r="D526" s="17"/>
      <c r="E526" s="7" t="s">
        <v>2518</v>
      </c>
      <c r="F526" s="9">
        <v>75</v>
      </c>
      <c r="G526" s="6" t="s">
        <v>2562</v>
      </c>
      <c r="H526" s="7" t="s">
        <v>25</v>
      </c>
      <c r="I526" s="6" t="s">
        <v>19</v>
      </c>
      <c r="J526" s="7" t="s">
        <v>20</v>
      </c>
      <c r="K526" s="7" t="s">
        <v>26</v>
      </c>
      <c r="L526" s="6"/>
      <c r="M526" s="10">
        <v>5.8200000000000002E-2</v>
      </c>
      <c r="N526" s="6" t="s">
        <v>2563</v>
      </c>
      <c r="O526" s="6" t="s">
        <v>19</v>
      </c>
      <c r="P526" s="6"/>
      <c r="Q526" s="19" t="s">
        <v>19</v>
      </c>
      <c r="R526" s="19"/>
    </row>
    <row r="527" spans="1:18" x14ac:dyDescent="0.3">
      <c r="A527" s="6" t="s">
        <v>2564</v>
      </c>
      <c r="B527" s="7" t="s">
        <v>2565</v>
      </c>
      <c r="C527" s="17" t="s">
        <v>2566</v>
      </c>
      <c r="D527" s="17"/>
      <c r="E527" s="8">
        <v>17452</v>
      </c>
      <c r="F527" s="9">
        <v>75</v>
      </c>
      <c r="G527" s="6" t="s">
        <v>2567</v>
      </c>
      <c r="H527" s="7" t="s">
        <v>25</v>
      </c>
      <c r="I527" s="6"/>
      <c r="J527" s="7" t="s">
        <v>41</v>
      </c>
      <c r="K527" s="7" t="s">
        <v>26</v>
      </c>
      <c r="L527" s="9">
        <v>74</v>
      </c>
      <c r="M527" s="10">
        <v>5.67E-2</v>
      </c>
      <c r="N527" s="6" t="s">
        <v>2568</v>
      </c>
      <c r="O527" s="11">
        <v>28134.880000000001</v>
      </c>
      <c r="P527" s="11"/>
      <c r="Q527" s="18">
        <v>3516.86</v>
      </c>
      <c r="R527" s="19"/>
    </row>
    <row r="528" spans="1:18" x14ac:dyDescent="0.3">
      <c r="A528" s="6" t="s">
        <v>2569</v>
      </c>
      <c r="B528" s="7" t="s">
        <v>2570</v>
      </c>
      <c r="C528" s="17" t="s">
        <v>2571</v>
      </c>
      <c r="D528" s="17"/>
      <c r="E528" s="8">
        <v>18176</v>
      </c>
      <c r="F528" s="9">
        <v>73</v>
      </c>
      <c r="G528" s="6" t="s">
        <v>2572</v>
      </c>
      <c r="H528" s="7" t="s">
        <v>25</v>
      </c>
      <c r="I528" s="6"/>
      <c r="J528" s="7" t="s">
        <v>41</v>
      </c>
      <c r="K528" s="7" t="s">
        <v>26</v>
      </c>
      <c r="L528" s="9">
        <v>67</v>
      </c>
      <c r="M528" s="10">
        <v>4.3499999999999997E-2</v>
      </c>
      <c r="N528" s="6" t="s">
        <v>2573</v>
      </c>
      <c r="O528" s="11">
        <v>5500</v>
      </c>
      <c r="P528" s="11"/>
      <c r="Q528" s="18">
        <v>2826.68</v>
      </c>
      <c r="R528" s="19"/>
    </row>
    <row r="529" spans="1:18" ht="43.2" hidden="1" x14ac:dyDescent="0.3">
      <c r="A529" s="6" t="s">
        <v>2574</v>
      </c>
      <c r="B529" s="7" t="s">
        <v>2575</v>
      </c>
      <c r="C529" s="17" t="s">
        <v>2576</v>
      </c>
      <c r="D529" s="17"/>
      <c r="E529" s="8">
        <v>17550</v>
      </c>
      <c r="F529" s="9">
        <v>74</v>
      </c>
      <c r="G529" s="6" t="s">
        <v>2577</v>
      </c>
      <c r="H529" s="7" t="s">
        <v>39</v>
      </c>
      <c r="I529" s="6" t="s">
        <v>122</v>
      </c>
      <c r="J529" s="7" t="s">
        <v>20</v>
      </c>
      <c r="K529" s="7" t="s">
        <v>26</v>
      </c>
      <c r="L529" s="6"/>
      <c r="M529" s="10">
        <v>5.67E-2</v>
      </c>
      <c r="N529" s="6" t="s">
        <v>2578</v>
      </c>
      <c r="O529" s="11">
        <v>16000</v>
      </c>
      <c r="P529" s="11"/>
      <c r="Q529" s="18">
        <v>137.11000000000001</v>
      </c>
      <c r="R529" s="19"/>
    </row>
    <row r="530" spans="1:18" ht="43.2" hidden="1" x14ac:dyDescent="0.3">
      <c r="A530" s="6" t="s">
        <v>2579</v>
      </c>
      <c r="B530" s="7" t="s">
        <v>2580</v>
      </c>
      <c r="C530" s="17" t="s">
        <v>2581</v>
      </c>
      <c r="D530" s="17"/>
      <c r="E530" s="8">
        <v>18380</v>
      </c>
      <c r="F530" s="9">
        <v>72</v>
      </c>
      <c r="G530" s="6" t="s">
        <v>2582</v>
      </c>
      <c r="H530" s="7" t="s">
        <v>39</v>
      </c>
      <c r="I530" s="6" t="s">
        <v>2583</v>
      </c>
      <c r="J530" s="7" t="s">
        <v>20</v>
      </c>
      <c r="K530" s="7" t="s">
        <v>32</v>
      </c>
      <c r="L530" s="6"/>
      <c r="M530" s="10">
        <v>5.3999999999999999E-2</v>
      </c>
      <c r="N530" s="6" t="s">
        <v>2584</v>
      </c>
      <c r="O530" s="11">
        <v>19000</v>
      </c>
      <c r="P530" s="11"/>
      <c r="Q530" s="18">
        <v>19000</v>
      </c>
      <c r="R530" s="19"/>
    </row>
    <row r="531" spans="1:18" hidden="1" x14ac:dyDescent="0.3">
      <c r="A531" s="6" t="s">
        <v>2585</v>
      </c>
      <c r="B531" s="7" t="s">
        <v>1799</v>
      </c>
      <c r="C531" s="17" t="s">
        <v>2586</v>
      </c>
      <c r="D531" s="17"/>
      <c r="E531" s="8">
        <v>18145</v>
      </c>
      <c r="F531" s="9">
        <v>73</v>
      </c>
      <c r="G531" s="6" t="s">
        <v>2587</v>
      </c>
      <c r="H531" s="7" t="s">
        <v>25</v>
      </c>
      <c r="I531" s="6"/>
      <c r="J531" s="7" t="s">
        <v>20</v>
      </c>
      <c r="K531" s="7" t="s">
        <v>26</v>
      </c>
      <c r="L531" s="6"/>
      <c r="M531" s="10">
        <v>5.5300000000000002E-2</v>
      </c>
      <c r="N531" s="6" t="s">
        <v>2588</v>
      </c>
      <c r="O531" s="11">
        <v>27040.48</v>
      </c>
      <c r="P531" s="11"/>
      <c r="Q531" s="18">
        <v>3380.06</v>
      </c>
      <c r="R531" s="19"/>
    </row>
    <row r="532" spans="1:18" ht="28.8" hidden="1" x14ac:dyDescent="0.3">
      <c r="A532" s="6" t="s">
        <v>2589</v>
      </c>
      <c r="B532" s="7" t="s">
        <v>276</v>
      </c>
      <c r="C532" s="17" t="s">
        <v>2590</v>
      </c>
      <c r="D532" s="17"/>
      <c r="E532" s="8">
        <v>18231</v>
      </c>
      <c r="F532" s="9">
        <v>73</v>
      </c>
      <c r="G532" s="6" t="s">
        <v>2591</v>
      </c>
      <c r="H532" s="7" t="s">
        <v>39</v>
      </c>
      <c r="I532" s="6" t="s">
        <v>941</v>
      </c>
      <c r="J532" s="7" t="s">
        <v>20</v>
      </c>
      <c r="K532" s="7" t="s">
        <v>26</v>
      </c>
      <c r="L532" s="6"/>
      <c r="M532" s="10">
        <v>5.5300000000000002E-2</v>
      </c>
      <c r="N532" s="6" t="s">
        <v>2592</v>
      </c>
      <c r="O532" s="11">
        <v>2400</v>
      </c>
      <c r="P532" s="11"/>
      <c r="Q532" s="18">
        <v>300</v>
      </c>
      <c r="R532" s="19"/>
    </row>
    <row r="533" spans="1:18" ht="43.2" hidden="1" x14ac:dyDescent="0.3">
      <c r="A533" s="6" t="s">
        <v>2593</v>
      </c>
      <c r="B533" s="7" t="s">
        <v>401</v>
      </c>
      <c r="C533" s="17" t="s">
        <v>2590</v>
      </c>
      <c r="D533" s="17"/>
      <c r="E533" s="8">
        <v>17650</v>
      </c>
      <c r="F533" s="9">
        <v>74</v>
      </c>
      <c r="G533" s="6" t="s">
        <v>2594</v>
      </c>
      <c r="H533" s="7" t="s">
        <v>39</v>
      </c>
      <c r="I533" s="6" t="s">
        <v>47</v>
      </c>
      <c r="J533" s="7" t="s">
        <v>20</v>
      </c>
      <c r="K533" s="7" t="s">
        <v>26</v>
      </c>
      <c r="L533" s="6"/>
      <c r="M533" s="10">
        <v>5.67E-2</v>
      </c>
      <c r="N533" s="6" t="s">
        <v>2595</v>
      </c>
      <c r="O533" s="11">
        <v>8000</v>
      </c>
      <c r="P533" s="11"/>
      <c r="Q533" s="18">
        <v>1000</v>
      </c>
      <c r="R533" s="19"/>
    </row>
    <row r="534" spans="1:18" ht="43.2" hidden="1" x14ac:dyDescent="0.3">
      <c r="A534" s="6" t="s">
        <v>2593</v>
      </c>
      <c r="B534" s="7" t="s">
        <v>401</v>
      </c>
      <c r="C534" s="17" t="s">
        <v>2590</v>
      </c>
      <c r="D534" s="17"/>
      <c r="E534" s="8">
        <v>17650</v>
      </c>
      <c r="F534" s="9">
        <v>74</v>
      </c>
      <c r="G534" s="6" t="s">
        <v>2594</v>
      </c>
      <c r="H534" s="7" t="s">
        <v>39</v>
      </c>
      <c r="I534" s="6" t="s">
        <v>47</v>
      </c>
      <c r="J534" s="7" t="s">
        <v>20</v>
      </c>
      <c r="K534" s="7" t="s">
        <v>26</v>
      </c>
      <c r="L534" s="6"/>
      <c r="M534" s="10">
        <v>5.67E-2</v>
      </c>
      <c r="N534" s="6" t="s">
        <v>2595</v>
      </c>
      <c r="O534" s="11">
        <v>8000</v>
      </c>
      <c r="P534" s="11"/>
      <c r="Q534" s="18">
        <v>1000</v>
      </c>
      <c r="R534" s="19"/>
    </row>
    <row r="535" spans="1:18" ht="28.8" hidden="1" x14ac:dyDescent="0.3">
      <c r="A535" s="6" t="s">
        <v>2596</v>
      </c>
      <c r="B535" s="7" t="s">
        <v>22</v>
      </c>
      <c r="C535" s="17" t="s">
        <v>2597</v>
      </c>
      <c r="D535" s="17"/>
      <c r="E535" s="8">
        <v>15779</v>
      </c>
      <c r="F535" s="9">
        <v>79</v>
      </c>
      <c r="G535" s="6" t="s">
        <v>2598</v>
      </c>
      <c r="H535" s="7" t="s">
        <v>39</v>
      </c>
      <c r="I535" s="6" t="s">
        <v>1160</v>
      </c>
      <c r="J535" s="7" t="s">
        <v>20</v>
      </c>
      <c r="K535" s="7" t="s">
        <v>26</v>
      </c>
      <c r="L535" s="6"/>
      <c r="M535" s="10">
        <v>6.5799999999999997E-2</v>
      </c>
      <c r="N535" s="6" t="s">
        <v>2599</v>
      </c>
      <c r="O535" s="11">
        <v>3200</v>
      </c>
      <c r="P535" s="11"/>
      <c r="Q535" s="18">
        <v>400</v>
      </c>
      <c r="R535" s="19"/>
    </row>
    <row r="536" spans="1:18" ht="43.2" x14ac:dyDescent="0.3">
      <c r="A536" s="6" t="s">
        <v>2600</v>
      </c>
      <c r="B536" s="7" t="s">
        <v>1477</v>
      </c>
      <c r="C536" s="17" t="s">
        <v>2601</v>
      </c>
      <c r="D536" s="17"/>
      <c r="E536" s="8">
        <v>16574</v>
      </c>
      <c r="F536" s="9">
        <v>77</v>
      </c>
      <c r="G536" s="6" t="s">
        <v>2602</v>
      </c>
      <c r="H536" s="7" t="s">
        <v>39</v>
      </c>
      <c r="I536" s="6" t="s">
        <v>2603</v>
      </c>
      <c r="J536" s="7" t="s">
        <v>41</v>
      </c>
      <c r="K536" s="7" t="s">
        <v>26</v>
      </c>
      <c r="L536" s="9">
        <v>75</v>
      </c>
      <c r="M536" s="10">
        <v>5.8200000000000002E-2</v>
      </c>
      <c r="N536" s="6" t="s">
        <v>2604</v>
      </c>
      <c r="O536" s="11">
        <v>64000</v>
      </c>
      <c r="P536" s="11"/>
      <c r="Q536" s="18">
        <v>8000</v>
      </c>
      <c r="R536" s="19"/>
    </row>
    <row r="537" spans="1:18" hidden="1" x14ac:dyDescent="0.3">
      <c r="A537" s="6" t="s">
        <v>2605</v>
      </c>
      <c r="B537" s="7" t="s">
        <v>2606</v>
      </c>
      <c r="C537" s="17" t="s">
        <v>2607</v>
      </c>
      <c r="D537" s="17"/>
      <c r="E537" s="8">
        <v>17606</v>
      </c>
      <c r="F537" s="9">
        <v>74</v>
      </c>
      <c r="G537" s="6" t="s">
        <v>2608</v>
      </c>
      <c r="H537" s="7" t="s">
        <v>25</v>
      </c>
      <c r="I537" s="6"/>
      <c r="J537" s="7" t="s">
        <v>20</v>
      </c>
      <c r="K537" s="7" t="s">
        <v>26</v>
      </c>
      <c r="L537" s="6"/>
      <c r="M537" s="10">
        <v>5.67E-2</v>
      </c>
      <c r="N537" s="6" t="s">
        <v>2609</v>
      </c>
      <c r="O537" s="11">
        <v>20000</v>
      </c>
      <c r="P537" s="11"/>
      <c r="Q537" s="18">
        <v>15000</v>
      </c>
      <c r="R537" s="19"/>
    </row>
    <row r="538" spans="1:18" ht="43.2" hidden="1" x14ac:dyDescent="0.3">
      <c r="A538" s="6" t="s">
        <v>2610</v>
      </c>
      <c r="B538" s="7" t="s">
        <v>2611</v>
      </c>
      <c r="C538" s="17" t="s">
        <v>2612</v>
      </c>
      <c r="D538" s="17"/>
      <c r="E538" s="8">
        <v>17947</v>
      </c>
      <c r="F538" s="9">
        <v>73</v>
      </c>
      <c r="G538" s="6" t="s">
        <v>2613</v>
      </c>
      <c r="H538" s="7" t="s">
        <v>39</v>
      </c>
      <c r="I538" s="6" t="s">
        <v>40</v>
      </c>
      <c r="J538" s="7" t="s">
        <v>20</v>
      </c>
      <c r="K538" s="7" t="s">
        <v>26</v>
      </c>
      <c r="L538" s="6"/>
      <c r="M538" s="10">
        <v>5.5300000000000002E-2</v>
      </c>
      <c r="N538" s="6" t="s">
        <v>2614</v>
      </c>
      <c r="O538" s="11">
        <v>24000</v>
      </c>
      <c r="P538" s="11"/>
      <c r="Q538" s="18">
        <v>3000</v>
      </c>
      <c r="R538" s="19"/>
    </row>
    <row r="539" spans="1:18" ht="28.8" hidden="1" x14ac:dyDescent="0.3">
      <c r="A539" s="6" t="s">
        <v>2615</v>
      </c>
      <c r="B539" s="7" t="s">
        <v>2616</v>
      </c>
      <c r="C539" s="17" t="s">
        <v>2617</v>
      </c>
      <c r="D539" s="17"/>
      <c r="E539" s="7" t="s">
        <v>1640</v>
      </c>
      <c r="F539" s="9">
        <v>74</v>
      </c>
      <c r="G539" s="6" t="s">
        <v>2618</v>
      </c>
      <c r="H539" s="7" t="s">
        <v>25</v>
      </c>
      <c r="I539" s="6" t="s">
        <v>19</v>
      </c>
      <c r="J539" s="7" t="s">
        <v>20</v>
      </c>
      <c r="K539" s="7" t="s">
        <v>26</v>
      </c>
      <c r="L539" s="6"/>
      <c r="M539" s="10">
        <v>5.67E-2</v>
      </c>
      <c r="N539" s="6" t="s">
        <v>2619</v>
      </c>
      <c r="O539" s="6" t="s">
        <v>19</v>
      </c>
      <c r="P539" s="6"/>
      <c r="Q539" s="19" t="s">
        <v>19</v>
      </c>
      <c r="R539" s="19"/>
    </row>
    <row r="540" spans="1:18" hidden="1" x14ac:dyDescent="0.3">
      <c r="A540" s="6" t="s">
        <v>2620</v>
      </c>
      <c r="B540" s="7" t="s">
        <v>859</v>
      </c>
      <c r="C540" s="17" t="s">
        <v>2621</v>
      </c>
      <c r="D540" s="17"/>
      <c r="E540" s="8">
        <v>17016</v>
      </c>
      <c r="F540" s="9">
        <v>76</v>
      </c>
      <c r="G540" s="6" t="s">
        <v>2622</v>
      </c>
      <c r="H540" s="7" t="s">
        <v>25</v>
      </c>
      <c r="I540" s="6"/>
      <c r="J540" s="7" t="s">
        <v>20</v>
      </c>
      <c r="K540" s="7" t="s">
        <v>32</v>
      </c>
      <c r="L540" s="6"/>
      <c r="M540" s="10">
        <v>5.9799999999999999E-2</v>
      </c>
      <c r="N540" s="6" t="s">
        <v>2623</v>
      </c>
      <c r="O540" s="11">
        <v>51303.15</v>
      </c>
      <c r="P540" s="11"/>
      <c r="Q540" s="18">
        <v>51303.15</v>
      </c>
      <c r="R540" s="19"/>
    </row>
    <row r="541" spans="1:18" ht="43.2" hidden="1" x14ac:dyDescent="0.3">
      <c r="A541" s="6" t="s">
        <v>2624</v>
      </c>
      <c r="B541" s="7" t="s">
        <v>2625</v>
      </c>
      <c r="C541" s="17" t="s">
        <v>2626</v>
      </c>
      <c r="D541" s="17"/>
      <c r="E541" s="8">
        <v>17519</v>
      </c>
      <c r="F541" s="9">
        <v>75</v>
      </c>
      <c r="G541" s="6" t="s">
        <v>2627</v>
      </c>
      <c r="H541" s="7" t="s">
        <v>39</v>
      </c>
      <c r="I541" s="6" t="s">
        <v>745</v>
      </c>
      <c r="J541" s="7" t="s">
        <v>20</v>
      </c>
      <c r="K541" s="7" t="s">
        <v>26</v>
      </c>
      <c r="L541" s="6"/>
      <c r="M541" s="10">
        <v>5.8200000000000002E-2</v>
      </c>
      <c r="N541" s="6" t="s">
        <v>2628</v>
      </c>
      <c r="O541" s="11">
        <v>11200</v>
      </c>
      <c r="P541" s="11"/>
      <c r="Q541" s="18">
        <v>1400</v>
      </c>
      <c r="R541" s="19"/>
    </row>
    <row r="542" spans="1:18" ht="43.2" hidden="1" x14ac:dyDescent="0.3">
      <c r="A542" s="6" t="s">
        <v>2629</v>
      </c>
      <c r="B542" s="7" t="s">
        <v>2630</v>
      </c>
      <c r="C542" s="17" t="s">
        <v>2631</v>
      </c>
      <c r="D542" s="17"/>
      <c r="E542" s="8">
        <v>16378</v>
      </c>
      <c r="F542" s="9">
        <v>78</v>
      </c>
      <c r="G542" s="6" t="s">
        <v>2632</v>
      </c>
      <c r="H542" s="7" t="s">
        <v>39</v>
      </c>
      <c r="I542" s="6" t="s">
        <v>1105</v>
      </c>
      <c r="J542" s="7" t="s">
        <v>20</v>
      </c>
      <c r="K542" s="7" t="s">
        <v>26</v>
      </c>
      <c r="L542" s="6"/>
      <c r="M542" s="10">
        <v>6.3600000000000004E-2</v>
      </c>
      <c r="N542" s="6" t="s">
        <v>2633</v>
      </c>
      <c r="O542" s="11">
        <v>10400</v>
      </c>
      <c r="P542" s="11"/>
      <c r="Q542" s="18">
        <v>1300</v>
      </c>
      <c r="R542" s="19"/>
    </row>
    <row r="543" spans="1:18" ht="43.2" hidden="1" x14ac:dyDescent="0.3">
      <c r="A543" s="6" t="s">
        <v>2634</v>
      </c>
      <c r="B543" s="7" t="s">
        <v>2635</v>
      </c>
      <c r="C543" s="17" t="s">
        <v>2636</v>
      </c>
      <c r="D543" s="17"/>
      <c r="E543" s="8">
        <v>18471</v>
      </c>
      <c r="F543" s="9">
        <v>72</v>
      </c>
      <c r="G543" s="6" t="s">
        <v>2637</v>
      </c>
      <c r="H543" s="7" t="s">
        <v>39</v>
      </c>
      <c r="I543" s="6" t="s">
        <v>40</v>
      </c>
      <c r="J543" s="7" t="s">
        <v>20</v>
      </c>
      <c r="K543" s="7" t="s">
        <v>26</v>
      </c>
      <c r="L543" s="6"/>
      <c r="M543" s="10">
        <v>5.3999999999999999E-2</v>
      </c>
      <c r="N543" s="6" t="s">
        <v>2638</v>
      </c>
      <c r="O543" s="11">
        <v>24000</v>
      </c>
      <c r="P543" s="11"/>
      <c r="Q543" s="18">
        <v>3000</v>
      </c>
      <c r="R543" s="19"/>
    </row>
    <row r="544" spans="1:18" hidden="1" x14ac:dyDescent="0.3">
      <c r="A544" s="6" t="s">
        <v>2639</v>
      </c>
      <c r="B544" s="7" t="s">
        <v>1089</v>
      </c>
      <c r="C544" s="17" t="s">
        <v>2640</v>
      </c>
      <c r="D544" s="17"/>
      <c r="E544" s="7" t="s">
        <v>1080</v>
      </c>
      <c r="F544" s="9">
        <v>77</v>
      </c>
      <c r="G544" s="6" t="s">
        <v>2641</v>
      </c>
      <c r="H544" s="7" t="s">
        <v>25</v>
      </c>
      <c r="I544" s="6" t="s">
        <v>19</v>
      </c>
      <c r="J544" s="7" t="s">
        <v>20</v>
      </c>
      <c r="K544" s="7" t="s">
        <v>32</v>
      </c>
      <c r="L544" s="6"/>
      <c r="M544" s="10">
        <v>6.1699999999999998E-2</v>
      </c>
      <c r="N544" s="6" t="s">
        <v>2642</v>
      </c>
      <c r="O544" s="6" t="s">
        <v>19</v>
      </c>
      <c r="P544" s="6"/>
      <c r="Q544" s="19" t="s">
        <v>19</v>
      </c>
      <c r="R544" s="19"/>
    </row>
    <row r="545" spans="1:18" ht="43.2" hidden="1" x14ac:dyDescent="0.3">
      <c r="A545" s="6" t="s">
        <v>2643</v>
      </c>
      <c r="B545" s="7" t="s">
        <v>140</v>
      </c>
      <c r="C545" s="17" t="s">
        <v>2644</v>
      </c>
      <c r="D545" s="17"/>
      <c r="E545" s="8">
        <v>17260</v>
      </c>
      <c r="F545" s="9">
        <v>75</v>
      </c>
      <c r="G545" s="6" t="s">
        <v>2645</v>
      </c>
      <c r="H545" s="7" t="s">
        <v>39</v>
      </c>
      <c r="I545" s="6" t="s">
        <v>2646</v>
      </c>
      <c r="J545" s="7" t="s">
        <v>20</v>
      </c>
      <c r="K545" s="7" t="s">
        <v>26</v>
      </c>
      <c r="L545" s="6"/>
      <c r="M545" s="10">
        <v>5.8200000000000002E-2</v>
      </c>
      <c r="N545" s="6" t="s">
        <v>2647</v>
      </c>
      <c r="O545" s="11">
        <v>13600</v>
      </c>
      <c r="P545" s="11"/>
      <c r="Q545" s="18">
        <v>1700</v>
      </c>
      <c r="R545" s="19"/>
    </row>
    <row r="546" spans="1:18" ht="28.8" x14ac:dyDescent="0.3">
      <c r="A546" s="6" t="s">
        <v>2648</v>
      </c>
      <c r="B546" s="7" t="s">
        <v>1712</v>
      </c>
      <c r="C546" s="17" t="s">
        <v>2649</v>
      </c>
      <c r="D546" s="17"/>
      <c r="E546" s="8">
        <v>18023</v>
      </c>
      <c r="F546" s="9">
        <v>73</v>
      </c>
      <c r="G546" s="6" t="s">
        <v>2650</v>
      </c>
      <c r="H546" s="7" t="s">
        <v>39</v>
      </c>
      <c r="I546" s="6" t="s">
        <v>681</v>
      </c>
      <c r="J546" s="7" t="s">
        <v>41</v>
      </c>
      <c r="K546" s="7" t="s">
        <v>26</v>
      </c>
      <c r="L546" s="9">
        <v>68</v>
      </c>
      <c r="M546" s="10">
        <v>4.5499999999999999E-2</v>
      </c>
      <c r="N546" s="6" t="s">
        <v>2651</v>
      </c>
      <c r="O546" s="11">
        <v>10600</v>
      </c>
      <c r="P546" s="11"/>
      <c r="Q546" s="18">
        <v>700</v>
      </c>
      <c r="R546" s="19"/>
    </row>
    <row r="547" spans="1:18" ht="43.2" hidden="1" x14ac:dyDescent="0.3">
      <c r="A547" s="6" t="s">
        <v>2652</v>
      </c>
      <c r="B547" s="7" t="s">
        <v>1531</v>
      </c>
      <c r="C547" s="17" t="s">
        <v>2653</v>
      </c>
      <c r="D547" s="17"/>
      <c r="E547" s="8">
        <v>18282</v>
      </c>
      <c r="F547" s="9">
        <v>72</v>
      </c>
      <c r="G547" s="6" t="s">
        <v>2654</v>
      </c>
      <c r="H547" s="7" t="s">
        <v>39</v>
      </c>
      <c r="I547" s="6" t="s">
        <v>745</v>
      </c>
      <c r="J547" s="7" t="s">
        <v>20</v>
      </c>
      <c r="K547" s="7" t="s">
        <v>26</v>
      </c>
      <c r="L547" s="6"/>
      <c r="M547" s="10">
        <v>5.3999999999999999E-2</v>
      </c>
      <c r="N547" s="6" t="s">
        <v>2655</v>
      </c>
      <c r="O547" s="11">
        <v>11200</v>
      </c>
      <c r="P547" s="11"/>
      <c r="Q547" s="18">
        <v>1400</v>
      </c>
      <c r="R547" s="19"/>
    </row>
    <row r="548" spans="1:18" hidden="1" x14ac:dyDescent="0.3">
      <c r="A548" s="6" t="s">
        <v>2656</v>
      </c>
      <c r="B548" s="7" t="s">
        <v>2657</v>
      </c>
      <c r="C548" s="17" t="s">
        <v>2658</v>
      </c>
      <c r="D548" s="17"/>
      <c r="E548" s="8">
        <v>17521</v>
      </c>
      <c r="F548" s="9">
        <v>75</v>
      </c>
      <c r="G548" s="6" t="s">
        <v>2659</v>
      </c>
      <c r="H548" s="7" t="s">
        <v>25</v>
      </c>
      <c r="I548" s="6"/>
      <c r="J548" s="7" t="s">
        <v>20</v>
      </c>
      <c r="K548" s="7" t="s">
        <v>26</v>
      </c>
      <c r="L548" s="6"/>
      <c r="M548" s="10">
        <v>5.8200000000000002E-2</v>
      </c>
      <c r="N548" s="6" t="s">
        <v>2660</v>
      </c>
      <c r="O548" s="11">
        <v>61016.88</v>
      </c>
      <c r="P548" s="11"/>
      <c r="Q548" s="18">
        <v>7627.11</v>
      </c>
      <c r="R548" s="19"/>
    </row>
    <row r="549" spans="1:18" ht="43.2" hidden="1" x14ac:dyDescent="0.3">
      <c r="A549" s="6" t="s">
        <v>2661</v>
      </c>
      <c r="B549" s="7" t="s">
        <v>224</v>
      </c>
      <c r="C549" s="17" t="s">
        <v>2662</v>
      </c>
      <c r="D549" s="17"/>
      <c r="E549" s="8">
        <v>18538</v>
      </c>
      <c r="F549" s="9">
        <v>72</v>
      </c>
      <c r="G549" s="6" t="s">
        <v>2663</v>
      </c>
      <c r="H549" s="7" t="s">
        <v>39</v>
      </c>
      <c r="I549" s="6" t="s">
        <v>132</v>
      </c>
      <c r="J549" s="7" t="s">
        <v>20</v>
      </c>
      <c r="K549" s="7" t="s">
        <v>26</v>
      </c>
      <c r="L549" s="6"/>
      <c r="M549" s="10">
        <v>5.3999999999999999E-2</v>
      </c>
      <c r="N549" s="6" t="s">
        <v>2664</v>
      </c>
      <c r="O549" s="11">
        <v>12000</v>
      </c>
      <c r="P549" s="11"/>
      <c r="Q549" s="18">
        <v>1500</v>
      </c>
      <c r="R549" s="19"/>
    </row>
    <row r="550" spans="1:18" ht="28.8" hidden="1" x14ac:dyDescent="0.3">
      <c r="A550" s="6" t="s">
        <v>2665</v>
      </c>
      <c r="B550" s="7" t="s">
        <v>2666</v>
      </c>
      <c r="C550" s="17" t="s">
        <v>2667</v>
      </c>
      <c r="D550" s="17"/>
      <c r="E550" s="7" t="s">
        <v>1832</v>
      </c>
      <c r="F550" s="9">
        <v>82</v>
      </c>
      <c r="G550" s="6" t="s">
        <v>2668</v>
      </c>
      <c r="H550" s="7" t="s">
        <v>25</v>
      </c>
      <c r="I550" s="6" t="s">
        <v>19</v>
      </c>
      <c r="J550" s="7" t="s">
        <v>20</v>
      </c>
      <c r="K550" s="7" t="s">
        <v>32</v>
      </c>
      <c r="L550" s="6"/>
      <c r="M550" s="10">
        <v>7.3800000000000004E-2</v>
      </c>
      <c r="N550" s="6" t="s">
        <v>2669</v>
      </c>
      <c r="O550" s="6" t="s">
        <v>19</v>
      </c>
      <c r="P550" s="6"/>
      <c r="Q550" s="19" t="s">
        <v>19</v>
      </c>
      <c r="R550" s="19"/>
    </row>
    <row r="551" spans="1:18" ht="43.2" x14ac:dyDescent="0.3">
      <c r="A551" s="6" t="s">
        <v>2670</v>
      </c>
      <c r="B551" s="7" t="s">
        <v>179</v>
      </c>
      <c r="C551" s="17" t="s">
        <v>2671</v>
      </c>
      <c r="D551" s="17"/>
      <c r="E551" s="8">
        <v>18259</v>
      </c>
      <c r="F551" s="9">
        <v>73</v>
      </c>
      <c r="G551" s="6" t="s">
        <v>2672</v>
      </c>
      <c r="H551" s="7" t="s">
        <v>39</v>
      </c>
      <c r="I551" s="6" t="s">
        <v>151</v>
      </c>
      <c r="J551" s="7" t="s">
        <v>41</v>
      </c>
      <c r="K551" s="7" t="s">
        <v>26</v>
      </c>
      <c r="L551" s="9">
        <v>65</v>
      </c>
      <c r="M551" s="10">
        <v>0.04</v>
      </c>
      <c r="N551" s="6" t="s">
        <v>2673</v>
      </c>
      <c r="O551" s="11">
        <v>23000</v>
      </c>
      <c r="P551" s="11"/>
      <c r="Q551" s="18">
        <v>2241.58</v>
      </c>
      <c r="R551" s="19"/>
    </row>
    <row r="552" spans="1:18" x14ac:dyDescent="0.3">
      <c r="A552" s="6" t="s">
        <v>2674</v>
      </c>
      <c r="B552" s="7" t="s">
        <v>210</v>
      </c>
      <c r="C552" s="17" t="s">
        <v>2675</v>
      </c>
      <c r="D552" s="17"/>
      <c r="E552" s="8">
        <v>18465</v>
      </c>
      <c r="F552" s="9">
        <v>72</v>
      </c>
      <c r="G552" s="6" t="s">
        <v>2676</v>
      </c>
      <c r="H552" s="7" t="s">
        <v>25</v>
      </c>
      <c r="I552" s="6"/>
      <c r="J552" s="7" t="s">
        <v>41</v>
      </c>
      <c r="K552" s="7" t="s">
        <v>26</v>
      </c>
      <c r="L552" s="9">
        <v>69</v>
      </c>
      <c r="M552" s="10">
        <v>4.7600000000000003E-2</v>
      </c>
      <c r="N552" s="6" t="s">
        <v>2677</v>
      </c>
      <c r="O552" s="11">
        <v>7038.96</v>
      </c>
      <c r="P552" s="11"/>
      <c r="Q552" s="18">
        <v>879.22</v>
      </c>
      <c r="R552" s="19"/>
    </row>
    <row r="553" spans="1:18" ht="28.8" x14ac:dyDescent="0.3">
      <c r="A553" s="6" t="s">
        <v>2678</v>
      </c>
      <c r="B553" s="7" t="s">
        <v>2306</v>
      </c>
      <c r="C553" s="17" t="s">
        <v>2679</v>
      </c>
      <c r="D553" s="17"/>
      <c r="E553" s="8">
        <v>17782</v>
      </c>
      <c r="F553" s="9">
        <v>74</v>
      </c>
      <c r="G553" s="6" t="s">
        <v>2680</v>
      </c>
      <c r="H553" s="7" t="s">
        <v>39</v>
      </c>
      <c r="I553" s="6" t="s">
        <v>2681</v>
      </c>
      <c r="J553" s="7" t="s">
        <v>41</v>
      </c>
      <c r="K553" s="7" t="s">
        <v>26</v>
      </c>
      <c r="L553" s="9">
        <v>69</v>
      </c>
      <c r="M553" s="10">
        <v>4.7600000000000003E-2</v>
      </c>
      <c r="N553" s="6" t="s">
        <v>2682</v>
      </c>
      <c r="O553" s="11">
        <v>4400</v>
      </c>
      <c r="P553" s="11"/>
      <c r="Q553" s="18">
        <v>550</v>
      </c>
      <c r="R553" s="19"/>
    </row>
    <row r="554" spans="1:18" hidden="1" x14ac:dyDescent="0.3">
      <c r="A554" s="6" t="s">
        <v>2683</v>
      </c>
      <c r="B554" s="7" t="s">
        <v>707</v>
      </c>
      <c r="C554" s="17" t="s">
        <v>2684</v>
      </c>
      <c r="D554" s="17"/>
      <c r="E554" s="7" t="s">
        <v>2685</v>
      </c>
      <c r="F554" s="9">
        <v>82</v>
      </c>
      <c r="G554" s="6" t="s">
        <v>2686</v>
      </c>
      <c r="H554" s="7" t="s">
        <v>25</v>
      </c>
      <c r="I554" s="6" t="s">
        <v>19</v>
      </c>
      <c r="J554" s="7" t="s">
        <v>20</v>
      </c>
      <c r="K554" s="7" t="s">
        <v>32</v>
      </c>
      <c r="L554" s="6"/>
      <c r="M554" s="10">
        <v>7.3800000000000004E-2</v>
      </c>
      <c r="N554" s="6" t="s">
        <v>2687</v>
      </c>
      <c r="O554" s="6" t="s">
        <v>19</v>
      </c>
      <c r="P554" s="6"/>
      <c r="Q554" s="19" t="s">
        <v>19</v>
      </c>
      <c r="R554" s="19"/>
    </row>
    <row r="555" spans="1:18" hidden="1" x14ac:dyDescent="0.3">
      <c r="A555" s="6" t="s">
        <v>2688</v>
      </c>
      <c r="B555" s="7" t="s">
        <v>924</v>
      </c>
      <c r="C555" s="17" t="s">
        <v>2689</v>
      </c>
      <c r="D555" s="17"/>
      <c r="E555" s="7" t="s">
        <v>2690</v>
      </c>
      <c r="F555" s="9">
        <v>73</v>
      </c>
      <c r="G555" s="6" t="s">
        <v>2691</v>
      </c>
      <c r="H555" s="7" t="s">
        <v>25</v>
      </c>
      <c r="I555" s="6" t="s">
        <v>19</v>
      </c>
      <c r="J555" s="7" t="s">
        <v>20</v>
      </c>
      <c r="K555" s="7" t="s">
        <v>26</v>
      </c>
      <c r="L555" s="6"/>
      <c r="M555" s="10">
        <v>5.5300000000000002E-2</v>
      </c>
      <c r="N555" s="6" t="s">
        <v>2692</v>
      </c>
      <c r="O555" s="6" t="s">
        <v>19</v>
      </c>
      <c r="P555" s="6"/>
      <c r="Q555" s="19" t="s">
        <v>19</v>
      </c>
      <c r="R555" s="19"/>
    </row>
    <row r="556" spans="1:18" ht="43.2" x14ac:dyDescent="0.3">
      <c r="A556" s="6" t="s">
        <v>2693</v>
      </c>
      <c r="B556" s="7" t="s">
        <v>120</v>
      </c>
      <c r="C556" s="17" t="s">
        <v>2694</v>
      </c>
      <c r="D556" s="17"/>
      <c r="E556" s="8">
        <v>15184</v>
      </c>
      <c r="F556" s="9">
        <v>81</v>
      </c>
      <c r="G556" s="6" t="s">
        <v>2695</v>
      </c>
      <c r="H556" s="7" t="s">
        <v>39</v>
      </c>
      <c r="I556" s="6" t="s">
        <v>310</v>
      </c>
      <c r="J556" s="7" t="s">
        <v>41</v>
      </c>
      <c r="K556" s="7" t="s">
        <v>26</v>
      </c>
      <c r="L556" s="9">
        <v>71</v>
      </c>
      <c r="M556" s="10">
        <v>5.28E-2</v>
      </c>
      <c r="N556" s="6" t="s">
        <v>2696</v>
      </c>
      <c r="O556" s="11">
        <v>12705.68</v>
      </c>
      <c r="P556" s="11"/>
      <c r="Q556" s="18">
        <v>1750</v>
      </c>
      <c r="R556" s="19"/>
    </row>
    <row r="557" spans="1:18" ht="28.8" hidden="1" x14ac:dyDescent="0.3">
      <c r="A557" s="6" t="s">
        <v>2697</v>
      </c>
      <c r="B557" s="7" t="s">
        <v>2698</v>
      </c>
      <c r="C557" s="17" t="s">
        <v>2699</v>
      </c>
      <c r="D557" s="17"/>
      <c r="E557" s="7" t="s">
        <v>2700</v>
      </c>
      <c r="F557" s="9">
        <v>73</v>
      </c>
      <c r="G557" s="6" t="s">
        <v>2701</v>
      </c>
      <c r="H557" s="7" t="s">
        <v>39</v>
      </c>
      <c r="I557" s="6" t="s">
        <v>249</v>
      </c>
      <c r="J557" s="7" t="s">
        <v>20</v>
      </c>
      <c r="K557" s="7" t="s">
        <v>26</v>
      </c>
      <c r="L557" s="6"/>
      <c r="M557" s="10">
        <v>5.5300000000000002E-2</v>
      </c>
      <c r="N557" s="6" t="s">
        <v>2702</v>
      </c>
      <c r="O557" s="6" t="s">
        <v>19</v>
      </c>
      <c r="P557" s="6"/>
      <c r="Q557" s="19" t="s">
        <v>19</v>
      </c>
      <c r="R557" s="19"/>
    </row>
    <row r="558" spans="1:18" hidden="1" x14ac:dyDescent="0.3">
      <c r="A558" s="6" t="s">
        <v>2703</v>
      </c>
      <c r="B558" s="7" t="s">
        <v>140</v>
      </c>
      <c r="C558" s="17" t="s">
        <v>2704</v>
      </c>
      <c r="D558" s="17"/>
      <c r="E558" s="7" t="s">
        <v>2705</v>
      </c>
      <c r="F558" s="9">
        <v>72</v>
      </c>
      <c r="G558" s="6" t="s">
        <v>2706</v>
      </c>
      <c r="H558" s="7" t="s">
        <v>19</v>
      </c>
      <c r="I558" s="6" t="s">
        <v>19</v>
      </c>
      <c r="J558" s="7" t="s">
        <v>20</v>
      </c>
      <c r="K558" s="7"/>
      <c r="L558" s="6"/>
      <c r="M558" s="10">
        <v>5.3999999999999999E-2</v>
      </c>
      <c r="N558" s="6" t="s">
        <v>2707</v>
      </c>
      <c r="O558" s="6" t="s">
        <v>19</v>
      </c>
      <c r="P558" s="6"/>
      <c r="Q558" s="19" t="s">
        <v>19</v>
      </c>
      <c r="R558" s="19"/>
    </row>
    <row r="559" spans="1:18" hidden="1" x14ac:dyDescent="0.3">
      <c r="A559" s="6" t="s">
        <v>2708</v>
      </c>
      <c r="B559" s="7" t="s">
        <v>195</v>
      </c>
      <c r="C559" s="17" t="s">
        <v>2709</v>
      </c>
      <c r="D559" s="17"/>
      <c r="E559" s="8">
        <v>17302</v>
      </c>
      <c r="F559" s="9">
        <v>75</v>
      </c>
      <c r="G559" s="6" t="s">
        <v>2710</v>
      </c>
      <c r="H559" s="7" t="s">
        <v>25</v>
      </c>
      <c r="I559" s="6"/>
      <c r="J559" s="7" t="s">
        <v>20</v>
      </c>
      <c r="K559" s="7" t="s">
        <v>26</v>
      </c>
      <c r="L559" s="6"/>
      <c r="M559" s="10">
        <v>5.8200000000000002E-2</v>
      </c>
      <c r="N559" s="6" t="s">
        <v>2711</v>
      </c>
      <c r="O559" s="11">
        <v>10320.08</v>
      </c>
      <c r="P559" s="11"/>
      <c r="Q559" s="18">
        <v>1290.01</v>
      </c>
      <c r="R559" s="19"/>
    </row>
    <row r="560" spans="1:18" ht="43.2" hidden="1" x14ac:dyDescent="0.3">
      <c r="A560" s="6" t="s">
        <v>2712</v>
      </c>
      <c r="B560" s="7" t="s">
        <v>22</v>
      </c>
      <c r="C560" s="17" t="s">
        <v>2713</v>
      </c>
      <c r="D560" s="17"/>
      <c r="E560" s="8">
        <v>15613</v>
      </c>
      <c r="F560" s="9">
        <v>80</v>
      </c>
      <c r="G560" s="6" t="s">
        <v>2714</v>
      </c>
      <c r="H560" s="7" t="s">
        <v>39</v>
      </c>
      <c r="I560" s="6" t="s">
        <v>2715</v>
      </c>
      <c r="J560" s="7" t="s">
        <v>20</v>
      </c>
      <c r="K560" s="7" t="s">
        <v>26</v>
      </c>
      <c r="L560" s="6"/>
      <c r="M560" s="10">
        <v>6.8199999999999997E-2</v>
      </c>
      <c r="N560" s="6" t="s">
        <v>2716</v>
      </c>
      <c r="O560" s="11">
        <v>9033.6</v>
      </c>
      <c r="P560" s="11"/>
      <c r="Q560" s="18">
        <v>1129.2</v>
      </c>
      <c r="R560" s="19"/>
    </row>
    <row r="561" spans="1:18" hidden="1" x14ac:dyDescent="0.3">
      <c r="A561" s="6" t="s">
        <v>2717</v>
      </c>
      <c r="B561" s="7" t="s">
        <v>1325</v>
      </c>
      <c r="C561" s="17" t="s">
        <v>2718</v>
      </c>
      <c r="D561" s="17"/>
      <c r="E561" s="8">
        <v>17193</v>
      </c>
      <c r="F561" s="9">
        <v>75</v>
      </c>
      <c r="G561" s="6" t="s">
        <v>2719</v>
      </c>
      <c r="H561" s="7" t="s">
        <v>25</v>
      </c>
      <c r="I561" s="6"/>
      <c r="J561" s="7" t="s">
        <v>20</v>
      </c>
      <c r="K561" s="7" t="s">
        <v>26</v>
      </c>
      <c r="L561" s="6"/>
      <c r="M561" s="10">
        <v>5.8200000000000002E-2</v>
      </c>
      <c r="N561" s="6" t="s">
        <v>2720</v>
      </c>
      <c r="O561" s="11">
        <v>19441.599999999999</v>
      </c>
      <c r="P561" s="11"/>
      <c r="Q561" s="18">
        <v>21.87</v>
      </c>
      <c r="R561" s="19"/>
    </row>
    <row r="562" spans="1:18" ht="28.8" hidden="1" x14ac:dyDescent="0.3">
      <c r="A562" s="6" t="s">
        <v>2721</v>
      </c>
      <c r="B562" s="7" t="s">
        <v>195</v>
      </c>
      <c r="C562" s="17" t="s">
        <v>2722</v>
      </c>
      <c r="D562" s="17"/>
      <c r="E562" s="8">
        <v>16999</v>
      </c>
      <c r="F562" s="9">
        <v>76</v>
      </c>
      <c r="G562" s="6" t="s">
        <v>2723</v>
      </c>
      <c r="H562" s="7" t="s">
        <v>39</v>
      </c>
      <c r="I562" s="6" t="s">
        <v>249</v>
      </c>
      <c r="J562" s="7" t="s">
        <v>20</v>
      </c>
      <c r="K562" s="7" t="s">
        <v>26</v>
      </c>
      <c r="L562" s="6"/>
      <c r="M562" s="10">
        <v>5.9799999999999999E-2</v>
      </c>
      <c r="N562" s="6" t="s">
        <v>2724</v>
      </c>
      <c r="O562" s="11">
        <v>1600</v>
      </c>
      <c r="P562" s="11"/>
      <c r="Q562" s="18">
        <v>200</v>
      </c>
      <c r="R562" s="19"/>
    </row>
    <row r="563" spans="1:18" hidden="1" x14ac:dyDescent="0.3">
      <c r="A563" s="6" t="s">
        <v>2725</v>
      </c>
      <c r="B563" s="7" t="s">
        <v>944</v>
      </c>
      <c r="C563" s="17" t="s">
        <v>2726</v>
      </c>
      <c r="D563" s="17"/>
      <c r="E563" s="7" t="s">
        <v>2727</v>
      </c>
      <c r="F563" s="9">
        <v>79</v>
      </c>
      <c r="G563" s="6" t="s">
        <v>2728</v>
      </c>
      <c r="H563" s="7" t="s">
        <v>25</v>
      </c>
      <c r="I563" s="6" t="s">
        <v>19</v>
      </c>
      <c r="J563" s="7" t="s">
        <v>20</v>
      </c>
      <c r="K563" s="7" t="s">
        <v>32</v>
      </c>
      <c r="L563" s="6"/>
      <c r="M563" s="10">
        <v>6.5799999999999997E-2</v>
      </c>
      <c r="N563" s="6" t="s">
        <v>2729</v>
      </c>
      <c r="O563" s="6" t="s">
        <v>19</v>
      </c>
      <c r="P563" s="6"/>
      <c r="Q563" s="19" t="s">
        <v>19</v>
      </c>
      <c r="R563" s="19"/>
    </row>
    <row r="564" spans="1:18" hidden="1" x14ac:dyDescent="0.3">
      <c r="A564" s="6" t="s">
        <v>2730</v>
      </c>
      <c r="B564" s="7" t="s">
        <v>1129</v>
      </c>
      <c r="C564" s="17" t="s">
        <v>2731</v>
      </c>
      <c r="D564" s="17"/>
      <c r="E564" s="8">
        <v>17376</v>
      </c>
      <c r="F564" s="9">
        <v>75</v>
      </c>
      <c r="G564" s="6" t="s">
        <v>2732</v>
      </c>
      <c r="H564" s="7" t="s">
        <v>25</v>
      </c>
      <c r="I564" s="6"/>
      <c r="J564" s="7" t="s">
        <v>20</v>
      </c>
      <c r="K564" s="7" t="s">
        <v>26</v>
      </c>
      <c r="L564" s="6"/>
      <c r="M564" s="10">
        <v>5.8200000000000002E-2</v>
      </c>
      <c r="N564" s="6" t="s">
        <v>2733</v>
      </c>
      <c r="O564" s="11">
        <v>10714.16</v>
      </c>
      <c r="P564" s="11"/>
      <c r="Q564" s="18">
        <v>1339.27</v>
      </c>
      <c r="R564" s="19"/>
    </row>
    <row r="565" spans="1:18" ht="28.8" hidden="1" x14ac:dyDescent="0.3">
      <c r="A565" s="6" t="s">
        <v>2734</v>
      </c>
      <c r="B565" s="7" t="s">
        <v>2735</v>
      </c>
      <c r="C565" s="17" t="s">
        <v>2736</v>
      </c>
      <c r="D565" s="17"/>
      <c r="E565" s="8">
        <v>17482</v>
      </c>
      <c r="F565" s="9">
        <v>75</v>
      </c>
      <c r="G565" s="6" t="s">
        <v>2737</v>
      </c>
      <c r="H565" s="7" t="s">
        <v>39</v>
      </c>
      <c r="I565" s="6" t="s">
        <v>2738</v>
      </c>
      <c r="J565" s="7" t="s">
        <v>20</v>
      </c>
      <c r="K565" s="7" t="s">
        <v>26</v>
      </c>
      <c r="L565" s="6"/>
      <c r="M565" s="10">
        <v>5.8200000000000002E-2</v>
      </c>
      <c r="N565" s="6" t="s">
        <v>2739</v>
      </c>
      <c r="O565" s="11">
        <v>800</v>
      </c>
      <c r="P565" s="11"/>
      <c r="Q565" s="18">
        <v>100</v>
      </c>
      <c r="R565" s="19"/>
    </row>
    <row r="566" spans="1:18" ht="43.2" hidden="1" x14ac:dyDescent="0.3">
      <c r="A566" s="6" t="s">
        <v>2740</v>
      </c>
      <c r="B566" s="7" t="s">
        <v>2741</v>
      </c>
      <c r="C566" s="17" t="s">
        <v>2742</v>
      </c>
      <c r="D566" s="17"/>
      <c r="E566" s="8">
        <v>17487</v>
      </c>
      <c r="F566" s="9">
        <v>75</v>
      </c>
      <c r="G566" s="6" t="s">
        <v>2743</v>
      </c>
      <c r="H566" s="7" t="s">
        <v>39</v>
      </c>
      <c r="I566" s="6" t="s">
        <v>122</v>
      </c>
      <c r="J566" s="7" t="s">
        <v>20</v>
      </c>
      <c r="K566" s="7" t="s">
        <v>26</v>
      </c>
      <c r="L566" s="6"/>
      <c r="M566" s="10">
        <v>5.8200000000000002E-2</v>
      </c>
      <c r="N566" s="6" t="s">
        <v>2744</v>
      </c>
      <c r="O566" s="11">
        <v>16000</v>
      </c>
      <c r="P566" s="11"/>
      <c r="Q566" s="18">
        <v>2000</v>
      </c>
      <c r="R566" s="19"/>
    </row>
    <row r="567" spans="1:18" ht="28.8" hidden="1" x14ac:dyDescent="0.3">
      <c r="A567" s="6" t="s">
        <v>2745</v>
      </c>
      <c r="B567" s="7" t="s">
        <v>135</v>
      </c>
      <c r="C567" s="17" t="s">
        <v>2746</v>
      </c>
      <c r="D567" s="17"/>
      <c r="E567" s="8">
        <v>17430</v>
      </c>
      <c r="F567" s="9">
        <v>75</v>
      </c>
      <c r="G567" s="6" t="s">
        <v>2747</v>
      </c>
      <c r="H567" s="7" t="s">
        <v>39</v>
      </c>
      <c r="I567" s="6" t="s">
        <v>2748</v>
      </c>
      <c r="J567" s="7" t="s">
        <v>20</v>
      </c>
      <c r="K567" s="7" t="s">
        <v>26</v>
      </c>
      <c r="L567" s="6"/>
      <c r="M567" s="10">
        <v>5.8200000000000002E-2</v>
      </c>
      <c r="N567" s="6" t="s">
        <v>2749</v>
      </c>
      <c r="O567" s="11">
        <v>6488</v>
      </c>
      <c r="P567" s="11"/>
      <c r="Q567" s="18">
        <v>811</v>
      </c>
      <c r="R567" s="19"/>
    </row>
    <row r="568" spans="1:18" hidden="1" x14ac:dyDescent="0.3">
      <c r="A568" s="6" t="s">
        <v>2750</v>
      </c>
      <c r="B568" s="7" t="s">
        <v>2751</v>
      </c>
      <c r="C568" s="17" t="s">
        <v>2752</v>
      </c>
      <c r="D568" s="17"/>
      <c r="E568" s="8">
        <v>18024</v>
      </c>
      <c r="F568" s="9">
        <v>73</v>
      </c>
      <c r="G568" s="6" t="s">
        <v>2753</v>
      </c>
      <c r="H568" s="7" t="s">
        <v>25</v>
      </c>
      <c r="I568" s="6"/>
      <c r="J568" s="7" t="s">
        <v>20</v>
      </c>
      <c r="K568" s="7" t="s">
        <v>26</v>
      </c>
      <c r="L568" s="6"/>
      <c r="M568" s="10">
        <v>5.5300000000000002E-2</v>
      </c>
      <c r="N568" s="6" t="s">
        <v>2754</v>
      </c>
      <c r="O568" s="11">
        <v>12447.52</v>
      </c>
      <c r="P568" s="11"/>
      <c r="Q568" s="18">
        <v>1555.94</v>
      </c>
      <c r="R568" s="19"/>
    </row>
    <row r="569" spans="1:18" ht="43.2" hidden="1" x14ac:dyDescent="0.3">
      <c r="A569" s="6" t="s">
        <v>2755</v>
      </c>
      <c r="B569" s="7" t="s">
        <v>401</v>
      </c>
      <c r="C569" s="17" t="s">
        <v>2756</v>
      </c>
      <c r="D569" s="17"/>
      <c r="E569" s="8">
        <v>16944</v>
      </c>
      <c r="F569" s="9">
        <v>76</v>
      </c>
      <c r="G569" s="6" t="s">
        <v>2757</v>
      </c>
      <c r="H569" s="7" t="s">
        <v>39</v>
      </c>
      <c r="I569" s="6" t="s">
        <v>47</v>
      </c>
      <c r="J569" s="7" t="s">
        <v>20</v>
      </c>
      <c r="K569" s="7" t="s">
        <v>26</v>
      </c>
      <c r="L569" s="6"/>
      <c r="M569" s="10">
        <v>5.9799999999999999E-2</v>
      </c>
      <c r="N569" s="6" t="s">
        <v>2758</v>
      </c>
      <c r="O569" s="11">
        <v>8000</v>
      </c>
      <c r="P569" s="11"/>
      <c r="Q569" s="18">
        <v>1000</v>
      </c>
      <c r="R569" s="19"/>
    </row>
    <row r="570" spans="1:18" ht="43.2" hidden="1" x14ac:dyDescent="0.3">
      <c r="A570" s="6" t="s">
        <v>2759</v>
      </c>
      <c r="B570" s="7" t="s">
        <v>859</v>
      </c>
      <c r="C570" s="17" t="s">
        <v>2760</v>
      </c>
      <c r="D570" s="17"/>
      <c r="E570" s="8">
        <v>18055</v>
      </c>
      <c r="F570" s="9">
        <v>73</v>
      </c>
      <c r="G570" s="6" t="s">
        <v>2761</v>
      </c>
      <c r="H570" s="7" t="s">
        <v>39</v>
      </c>
      <c r="I570" s="6" t="s">
        <v>728</v>
      </c>
      <c r="J570" s="7" t="s">
        <v>20</v>
      </c>
      <c r="K570" s="7" t="s">
        <v>26</v>
      </c>
      <c r="L570" s="6"/>
      <c r="M570" s="10">
        <v>5.5300000000000002E-2</v>
      </c>
      <c r="N570" s="6" t="s">
        <v>2762</v>
      </c>
      <c r="O570" s="11">
        <v>28000</v>
      </c>
      <c r="P570" s="11"/>
      <c r="Q570" s="18">
        <v>3500</v>
      </c>
      <c r="R570" s="19"/>
    </row>
    <row r="571" spans="1:18" hidden="1" x14ac:dyDescent="0.3">
      <c r="A571" s="6" t="s">
        <v>2763</v>
      </c>
      <c r="B571" s="7" t="s">
        <v>944</v>
      </c>
      <c r="C571" s="17" t="s">
        <v>2764</v>
      </c>
      <c r="D571" s="17"/>
      <c r="E571" s="7" t="s">
        <v>2765</v>
      </c>
      <c r="F571" s="9">
        <v>73</v>
      </c>
      <c r="G571" s="6" t="s">
        <v>2766</v>
      </c>
      <c r="H571" s="7" t="s">
        <v>25</v>
      </c>
      <c r="I571" s="6" t="s">
        <v>19</v>
      </c>
      <c r="J571" s="7" t="s">
        <v>20</v>
      </c>
      <c r="K571" s="7" t="s">
        <v>32</v>
      </c>
      <c r="L571" s="6"/>
      <c r="M571" s="10">
        <v>5.5300000000000002E-2</v>
      </c>
      <c r="N571" s="6" t="s">
        <v>2767</v>
      </c>
      <c r="O571" s="6" t="s">
        <v>19</v>
      </c>
      <c r="P571" s="6"/>
      <c r="Q571" s="19" t="s">
        <v>19</v>
      </c>
      <c r="R571" s="19"/>
    </row>
    <row r="572" spans="1:18" hidden="1" x14ac:dyDescent="0.3">
      <c r="A572" s="6" t="s">
        <v>2768</v>
      </c>
      <c r="B572" s="7" t="s">
        <v>154</v>
      </c>
      <c r="C572" s="17" t="s">
        <v>2764</v>
      </c>
      <c r="D572" s="17"/>
      <c r="E572" s="7" t="s">
        <v>2769</v>
      </c>
      <c r="F572" s="9">
        <v>73</v>
      </c>
      <c r="G572" s="6" t="s">
        <v>2770</v>
      </c>
      <c r="H572" s="7" t="s">
        <v>25</v>
      </c>
      <c r="I572" s="6" t="s">
        <v>19</v>
      </c>
      <c r="J572" s="7" t="s">
        <v>20</v>
      </c>
      <c r="K572" s="7" t="s">
        <v>32</v>
      </c>
      <c r="L572" s="6"/>
      <c r="M572" s="10">
        <v>5.5300000000000002E-2</v>
      </c>
      <c r="N572" s="6" t="s">
        <v>2771</v>
      </c>
      <c r="O572" s="6" t="s">
        <v>19</v>
      </c>
      <c r="P572" s="6"/>
      <c r="Q572" s="19" t="s">
        <v>19</v>
      </c>
      <c r="R572" s="19"/>
    </row>
    <row r="573" spans="1:18" ht="43.2" hidden="1" x14ac:dyDescent="0.3">
      <c r="A573" s="6" t="s">
        <v>2772</v>
      </c>
      <c r="B573" s="7" t="s">
        <v>1207</v>
      </c>
      <c r="C573" s="17" t="s">
        <v>2773</v>
      </c>
      <c r="D573" s="17"/>
      <c r="E573" s="8">
        <v>17917</v>
      </c>
      <c r="F573" s="9">
        <v>73</v>
      </c>
      <c r="G573" s="6" t="s">
        <v>2774</v>
      </c>
      <c r="H573" s="7" t="s">
        <v>39</v>
      </c>
      <c r="I573" s="6" t="s">
        <v>607</v>
      </c>
      <c r="J573" s="7" t="s">
        <v>20</v>
      </c>
      <c r="K573" s="7" t="s">
        <v>26</v>
      </c>
      <c r="L573" s="6"/>
      <c r="M573" s="10">
        <v>5.5300000000000002E-2</v>
      </c>
      <c r="N573" s="6" t="s">
        <v>2775</v>
      </c>
      <c r="O573" s="11">
        <v>20800</v>
      </c>
      <c r="P573" s="11"/>
      <c r="Q573" s="18">
        <v>2600</v>
      </c>
      <c r="R573" s="19"/>
    </row>
    <row r="574" spans="1:18" ht="43.2" hidden="1" x14ac:dyDescent="0.3">
      <c r="A574" s="6" t="s">
        <v>2776</v>
      </c>
      <c r="B574" s="7" t="s">
        <v>2777</v>
      </c>
      <c r="C574" s="17" t="s">
        <v>2778</v>
      </c>
      <c r="D574" s="17"/>
      <c r="E574" s="8">
        <v>18426</v>
      </c>
      <c r="F574" s="9">
        <v>72</v>
      </c>
      <c r="G574" s="6" t="s">
        <v>2779</v>
      </c>
      <c r="H574" s="7" t="s">
        <v>39</v>
      </c>
      <c r="I574" s="6" t="s">
        <v>122</v>
      </c>
      <c r="J574" s="7" t="s">
        <v>20</v>
      </c>
      <c r="K574" s="7" t="s">
        <v>26</v>
      </c>
      <c r="L574" s="6"/>
      <c r="M574" s="10">
        <v>5.3999999999999999E-2</v>
      </c>
      <c r="N574" s="6" t="s">
        <v>2780</v>
      </c>
      <c r="O574" s="11">
        <v>16000</v>
      </c>
      <c r="P574" s="11"/>
      <c r="Q574" s="18">
        <v>2000</v>
      </c>
      <c r="R574" s="19"/>
    </row>
    <row r="575" spans="1:18" ht="43.2" hidden="1" x14ac:dyDescent="0.3">
      <c r="A575" s="6" t="s">
        <v>2781</v>
      </c>
      <c r="B575" s="7" t="s">
        <v>2782</v>
      </c>
      <c r="C575" s="17" t="s">
        <v>2783</v>
      </c>
      <c r="D575" s="17"/>
      <c r="E575" s="8">
        <v>16524</v>
      </c>
      <c r="F575" s="9">
        <v>77</v>
      </c>
      <c r="G575" s="6" t="s">
        <v>2784</v>
      </c>
      <c r="H575" s="7" t="s">
        <v>39</v>
      </c>
      <c r="I575" s="6" t="s">
        <v>106</v>
      </c>
      <c r="J575" s="7" t="s">
        <v>20</v>
      </c>
      <c r="K575" s="7" t="s">
        <v>26</v>
      </c>
      <c r="L575" s="6"/>
      <c r="M575" s="10">
        <v>6.1699999999999998E-2</v>
      </c>
      <c r="N575" s="6" t="s">
        <v>2785</v>
      </c>
      <c r="O575" s="11">
        <v>32000</v>
      </c>
      <c r="P575" s="11"/>
      <c r="Q575" s="18">
        <v>4000</v>
      </c>
      <c r="R575" s="19"/>
    </row>
    <row r="576" spans="1:18" x14ac:dyDescent="0.3">
      <c r="A576" s="6" t="s">
        <v>2786</v>
      </c>
      <c r="B576" s="7" t="s">
        <v>120</v>
      </c>
      <c r="C576" s="17" t="s">
        <v>2787</v>
      </c>
      <c r="D576" s="17"/>
      <c r="E576" s="8">
        <v>17880</v>
      </c>
      <c r="F576" s="9">
        <v>74</v>
      </c>
      <c r="G576" s="6" t="s">
        <v>2788</v>
      </c>
      <c r="H576" s="7" t="s">
        <v>25</v>
      </c>
      <c r="I576" s="6"/>
      <c r="J576" s="7" t="s">
        <v>41</v>
      </c>
      <c r="K576" s="7" t="s">
        <v>26</v>
      </c>
      <c r="L576" s="9">
        <v>72</v>
      </c>
      <c r="M576" s="10">
        <v>5.3999999999999999E-2</v>
      </c>
      <c r="N576" s="6" t="s">
        <v>2789</v>
      </c>
      <c r="O576" s="11">
        <v>60167.199999999997</v>
      </c>
      <c r="P576" s="11"/>
      <c r="Q576" s="18">
        <v>7520.9</v>
      </c>
      <c r="R576" s="19"/>
    </row>
    <row r="577" spans="1:18" ht="43.2" x14ac:dyDescent="0.3">
      <c r="A577" s="6" t="s">
        <v>2790</v>
      </c>
      <c r="B577" s="7" t="s">
        <v>185</v>
      </c>
      <c r="C577" s="17" t="s">
        <v>2791</v>
      </c>
      <c r="D577" s="17"/>
      <c r="E577" s="8">
        <v>17557</v>
      </c>
      <c r="F577" s="9">
        <v>74</v>
      </c>
      <c r="G577" s="6" t="s">
        <v>2792</v>
      </c>
      <c r="H577" s="7" t="s">
        <v>39</v>
      </c>
      <c r="I577" s="6" t="s">
        <v>2793</v>
      </c>
      <c r="J577" s="7" t="s">
        <v>41</v>
      </c>
      <c r="K577" s="7" t="s">
        <v>26</v>
      </c>
      <c r="L577" s="9">
        <v>71</v>
      </c>
      <c r="M577" s="10">
        <v>5.28E-2</v>
      </c>
      <c r="N577" s="6" t="s">
        <v>2794</v>
      </c>
      <c r="O577" s="11">
        <v>90400</v>
      </c>
      <c r="P577" s="11"/>
      <c r="Q577" s="18">
        <v>11300</v>
      </c>
      <c r="R577" s="19"/>
    </row>
    <row r="578" spans="1:18" ht="43.2" hidden="1" x14ac:dyDescent="0.3">
      <c r="A578" s="6" t="s">
        <v>2795</v>
      </c>
      <c r="B578" s="7" t="s">
        <v>2796</v>
      </c>
      <c r="C578" s="17" t="s">
        <v>2797</v>
      </c>
      <c r="D578" s="17"/>
      <c r="E578" s="8">
        <v>15925</v>
      </c>
      <c r="F578" s="9">
        <v>79</v>
      </c>
      <c r="G578" s="6" t="s">
        <v>2798</v>
      </c>
      <c r="H578" s="7" t="s">
        <v>39</v>
      </c>
      <c r="I578" s="6" t="s">
        <v>2799</v>
      </c>
      <c r="J578" s="7" t="s">
        <v>20</v>
      </c>
      <c r="K578" s="7" t="s">
        <v>26</v>
      </c>
      <c r="L578" s="6"/>
      <c r="M578" s="10">
        <v>6.5799999999999997E-2</v>
      </c>
      <c r="N578" s="6" t="s">
        <v>2800</v>
      </c>
      <c r="O578" s="11">
        <v>30000</v>
      </c>
      <c r="P578" s="11"/>
      <c r="Q578" s="18">
        <v>3750</v>
      </c>
      <c r="R578" s="19"/>
    </row>
    <row r="579" spans="1:18" ht="43.2" hidden="1" x14ac:dyDescent="0.3">
      <c r="A579" s="6" t="s">
        <v>2801</v>
      </c>
      <c r="B579" s="7" t="s">
        <v>210</v>
      </c>
      <c r="C579" s="17" t="s">
        <v>2802</v>
      </c>
      <c r="D579" s="17"/>
      <c r="E579" s="7" t="s">
        <v>2803</v>
      </c>
      <c r="F579" s="9">
        <v>81</v>
      </c>
      <c r="G579" s="6" t="s">
        <v>2804</v>
      </c>
      <c r="H579" s="7" t="s">
        <v>39</v>
      </c>
      <c r="I579" s="6" t="s">
        <v>2805</v>
      </c>
      <c r="J579" s="7" t="s">
        <v>41</v>
      </c>
      <c r="K579" s="7" t="s">
        <v>32</v>
      </c>
      <c r="L579" s="9">
        <v>68</v>
      </c>
      <c r="M579" s="10">
        <v>4.5499999999999999E-2</v>
      </c>
      <c r="N579" s="6" t="s">
        <v>2806</v>
      </c>
      <c r="O579" s="6" t="s">
        <v>19</v>
      </c>
      <c r="P579" s="6"/>
      <c r="Q579" s="19" t="s">
        <v>19</v>
      </c>
      <c r="R579" s="19"/>
    </row>
    <row r="580" spans="1:18" hidden="1" x14ac:dyDescent="0.3">
      <c r="A580" s="6" t="s">
        <v>2807</v>
      </c>
      <c r="B580" s="7" t="s">
        <v>86</v>
      </c>
      <c r="C580" s="17" t="s">
        <v>2808</v>
      </c>
      <c r="D580" s="17"/>
      <c r="E580" s="8">
        <v>17661</v>
      </c>
      <c r="F580" s="9">
        <v>74</v>
      </c>
      <c r="G580" s="6" t="s">
        <v>2809</v>
      </c>
      <c r="H580" s="7" t="s">
        <v>25</v>
      </c>
      <c r="I580" s="6"/>
      <c r="J580" s="7" t="s">
        <v>20</v>
      </c>
      <c r="K580" s="7" t="s">
        <v>26</v>
      </c>
      <c r="L580" s="6"/>
      <c r="M580" s="10">
        <v>5.67E-2</v>
      </c>
      <c r="N580" s="6" t="s">
        <v>2810</v>
      </c>
      <c r="O580" s="11">
        <v>8501.8700000000008</v>
      </c>
      <c r="P580" s="11"/>
      <c r="Q580" s="18">
        <v>1000</v>
      </c>
      <c r="R580" s="19"/>
    </row>
    <row r="581" spans="1:18" hidden="1" x14ac:dyDescent="0.3">
      <c r="A581" s="6" t="s">
        <v>2811</v>
      </c>
      <c r="B581" s="7" t="s">
        <v>29</v>
      </c>
      <c r="C581" s="17" t="s">
        <v>2812</v>
      </c>
      <c r="D581" s="17"/>
      <c r="E581" s="8">
        <v>18521</v>
      </c>
      <c r="F581" s="9">
        <v>72</v>
      </c>
      <c r="G581" s="6" t="s">
        <v>2813</v>
      </c>
      <c r="H581" s="7" t="s">
        <v>25</v>
      </c>
      <c r="I581" s="6"/>
      <c r="J581" s="7" t="s">
        <v>20</v>
      </c>
      <c r="K581" s="7" t="s">
        <v>26</v>
      </c>
      <c r="L581" s="6"/>
      <c r="M581" s="10">
        <v>5.3999999999999999E-2</v>
      </c>
      <c r="N581" s="6" t="s">
        <v>2814</v>
      </c>
      <c r="O581" s="11">
        <v>38303.599999999999</v>
      </c>
      <c r="P581" s="11"/>
      <c r="Q581" s="18">
        <v>4787.95</v>
      </c>
      <c r="R581" s="19"/>
    </row>
    <row r="582" spans="1:18" hidden="1" x14ac:dyDescent="0.3">
      <c r="A582" s="6" t="s">
        <v>2815</v>
      </c>
      <c r="B582" s="7" t="s">
        <v>640</v>
      </c>
      <c r="C582" s="17" t="s">
        <v>2816</v>
      </c>
      <c r="D582" s="17"/>
      <c r="E582" s="8">
        <v>18628</v>
      </c>
      <c r="F582" s="9">
        <v>72</v>
      </c>
      <c r="G582" s="6" t="s">
        <v>2817</v>
      </c>
      <c r="H582" s="7" t="s">
        <v>25</v>
      </c>
      <c r="I582" s="6"/>
      <c r="J582" s="7" t="s">
        <v>20</v>
      </c>
      <c r="K582" s="7" t="s">
        <v>32</v>
      </c>
      <c r="L582" s="6"/>
      <c r="M582" s="10">
        <v>5.3999999999999999E-2</v>
      </c>
      <c r="N582" s="6" t="s">
        <v>2818</v>
      </c>
      <c r="O582" s="11">
        <v>89000</v>
      </c>
      <c r="P582" s="11"/>
      <c r="Q582" s="18">
        <v>89000</v>
      </c>
      <c r="R582" s="19"/>
    </row>
    <row r="583" spans="1:18" ht="43.2" hidden="1" x14ac:dyDescent="0.3">
      <c r="A583" s="6" t="s">
        <v>2819</v>
      </c>
      <c r="B583" s="7" t="s">
        <v>2820</v>
      </c>
      <c r="C583" s="17" t="s">
        <v>2821</v>
      </c>
      <c r="D583" s="17"/>
      <c r="E583" s="8">
        <v>17390</v>
      </c>
      <c r="F583" s="9">
        <v>75</v>
      </c>
      <c r="G583" s="6" t="s">
        <v>2822</v>
      </c>
      <c r="H583" s="7" t="s">
        <v>39</v>
      </c>
      <c r="I583" s="6" t="s">
        <v>243</v>
      </c>
      <c r="J583" s="7" t="s">
        <v>20</v>
      </c>
      <c r="K583" s="7" t="s">
        <v>26</v>
      </c>
      <c r="L583" s="6"/>
      <c r="M583" s="10">
        <v>5.8200000000000002E-2</v>
      </c>
      <c r="N583" s="6" t="s">
        <v>2823</v>
      </c>
      <c r="O583" s="11">
        <v>14400</v>
      </c>
      <c r="P583" s="11"/>
      <c r="Q583" s="18">
        <v>1800</v>
      </c>
      <c r="R583" s="19"/>
    </row>
    <row r="584" spans="1:18" ht="43.2" x14ac:dyDescent="0.3">
      <c r="A584" s="6" t="s">
        <v>2824</v>
      </c>
      <c r="B584" s="7" t="s">
        <v>488</v>
      </c>
      <c r="C584" s="17" t="s">
        <v>2825</v>
      </c>
      <c r="D584" s="17"/>
      <c r="E584" s="8">
        <v>18070</v>
      </c>
      <c r="F584" s="9">
        <v>73</v>
      </c>
      <c r="G584" s="6" t="s">
        <v>2826</v>
      </c>
      <c r="H584" s="7" t="s">
        <v>39</v>
      </c>
      <c r="I584" s="6" t="s">
        <v>40</v>
      </c>
      <c r="J584" s="7" t="s">
        <v>41</v>
      </c>
      <c r="K584" s="7" t="s">
        <v>26</v>
      </c>
      <c r="L584" s="9">
        <v>67</v>
      </c>
      <c r="M584" s="10">
        <v>4.3499999999999997E-2</v>
      </c>
      <c r="N584" s="6" t="s">
        <v>2827</v>
      </c>
      <c r="O584" s="11">
        <v>24000</v>
      </c>
      <c r="P584" s="11"/>
      <c r="Q584" s="18">
        <v>3000</v>
      </c>
      <c r="R584" s="19"/>
    </row>
    <row r="585" spans="1:18" hidden="1" x14ac:dyDescent="0.3">
      <c r="A585" s="6" t="s">
        <v>2828</v>
      </c>
      <c r="B585" s="7" t="s">
        <v>2192</v>
      </c>
      <c r="C585" s="17" t="s">
        <v>2829</v>
      </c>
      <c r="D585" s="17"/>
      <c r="E585" s="7" t="s">
        <v>2830</v>
      </c>
      <c r="F585" s="9">
        <v>75</v>
      </c>
      <c r="G585" s="6" t="s">
        <v>2831</v>
      </c>
      <c r="H585" s="7" t="s">
        <v>25</v>
      </c>
      <c r="I585" s="6" t="s">
        <v>19</v>
      </c>
      <c r="J585" s="7" t="s">
        <v>20</v>
      </c>
      <c r="K585" s="7" t="s">
        <v>26</v>
      </c>
      <c r="L585" s="6"/>
      <c r="M585" s="10">
        <v>5.8200000000000002E-2</v>
      </c>
      <c r="N585" s="6" t="s">
        <v>2832</v>
      </c>
      <c r="O585" s="6" t="s">
        <v>19</v>
      </c>
      <c r="P585" s="6"/>
      <c r="Q585" s="19" t="s">
        <v>19</v>
      </c>
      <c r="R585" s="19"/>
    </row>
    <row r="586" spans="1:18" x14ac:dyDescent="0.3">
      <c r="A586" s="6" t="s">
        <v>2833</v>
      </c>
      <c r="B586" s="7" t="s">
        <v>2834</v>
      </c>
      <c r="C586" s="17" t="s">
        <v>2835</v>
      </c>
      <c r="D586" s="17"/>
      <c r="E586" s="8">
        <v>18149</v>
      </c>
      <c r="F586" s="9">
        <v>73</v>
      </c>
      <c r="G586" s="6" t="s">
        <v>2836</v>
      </c>
      <c r="H586" s="7" t="s">
        <v>25</v>
      </c>
      <c r="I586" s="6"/>
      <c r="J586" s="7" t="s">
        <v>41</v>
      </c>
      <c r="K586" s="7" t="s">
        <v>26</v>
      </c>
      <c r="L586" s="9">
        <v>71</v>
      </c>
      <c r="M586" s="10">
        <v>5.28E-2</v>
      </c>
      <c r="N586" s="6" t="s">
        <v>2837</v>
      </c>
      <c r="O586" s="11">
        <v>24777.919999999998</v>
      </c>
      <c r="P586" s="11"/>
      <c r="Q586" s="18">
        <v>3097.24</v>
      </c>
      <c r="R586" s="19"/>
    </row>
    <row r="587" spans="1:18" ht="43.2" hidden="1" x14ac:dyDescent="0.3">
      <c r="A587" s="6" t="s">
        <v>2838</v>
      </c>
      <c r="B587" s="7" t="s">
        <v>1240</v>
      </c>
      <c r="C587" s="17" t="s">
        <v>2839</v>
      </c>
      <c r="D587" s="17"/>
      <c r="E587" s="8">
        <v>17993</v>
      </c>
      <c r="F587" s="9">
        <v>73</v>
      </c>
      <c r="G587" s="6" t="s">
        <v>2840</v>
      </c>
      <c r="H587" s="7" t="s">
        <v>39</v>
      </c>
      <c r="I587" s="6" t="s">
        <v>100</v>
      </c>
      <c r="J587" s="7" t="s">
        <v>20</v>
      </c>
      <c r="K587" s="7" t="s">
        <v>26</v>
      </c>
      <c r="L587" s="6"/>
      <c r="M587" s="10">
        <v>5.5300000000000002E-2</v>
      </c>
      <c r="N587" s="6" t="s">
        <v>2841</v>
      </c>
      <c r="O587" s="11">
        <v>48000</v>
      </c>
      <c r="P587" s="11"/>
      <c r="Q587" s="18">
        <v>6000</v>
      </c>
      <c r="R587" s="19"/>
    </row>
    <row r="588" spans="1:18" ht="43.2" x14ac:dyDescent="0.3">
      <c r="A588" s="6" t="s">
        <v>2842</v>
      </c>
      <c r="B588" s="7" t="s">
        <v>488</v>
      </c>
      <c r="C588" s="17" t="s">
        <v>2843</v>
      </c>
      <c r="D588" s="17"/>
      <c r="E588" s="8">
        <v>17165</v>
      </c>
      <c r="F588" s="9">
        <v>76</v>
      </c>
      <c r="G588" s="6" t="s">
        <v>2844</v>
      </c>
      <c r="H588" s="7" t="s">
        <v>39</v>
      </c>
      <c r="I588" s="6" t="s">
        <v>1105</v>
      </c>
      <c r="J588" s="7" t="s">
        <v>41</v>
      </c>
      <c r="K588" s="7" t="s">
        <v>26</v>
      </c>
      <c r="L588" s="9">
        <v>75</v>
      </c>
      <c r="M588" s="10">
        <v>5.8200000000000002E-2</v>
      </c>
      <c r="N588" s="6" t="s">
        <v>2845</v>
      </c>
      <c r="O588" s="11">
        <v>10400</v>
      </c>
      <c r="P588" s="11"/>
      <c r="Q588" s="18">
        <v>1300</v>
      </c>
      <c r="R588" s="19"/>
    </row>
    <row r="589" spans="1:18" ht="43.2" hidden="1" x14ac:dyDescent="0.3">
      <c r="A589" s="6" t="s">
        <v>2846</v>
      </c>
      <c r="B589" s="7" t="s">
        <v>2847</v>
      </c>
      <c r="C589" s="17" t="s">
        <v>2848</v>
      </c>
      <c r="D589" s="17"/>
      <c r="E589" s="8">
        <v>17819</v>
      </c>
      <c r="F589" s="9">
        <v>74</v>
      </c>
      <c r="G589" s="6" t="s">
        <v>2849</v>
      </c>
      <c r="H589" s="7" t="s">
        <v>39</v>
      </c>
      <c r="I589" s="6" t="s">
        <v>47</v>
      </c>
      <c r="J589" s="7" t="s">
        <v>20</v>
      </c>
      <c r="K589" s="7" t="s">
        <v>26</v>
      </c>
      <c r="L589" s="6"/>
      <c r="M589" s="10">
        <v>5.67E-2</v>
      </c>
      <c r="N589" s="6" t="s">
        <v>2850</v>
      </c>
      <c r="O589" s="11">
        <v>8000</v>
      </c>
      <c r="P589" s="11"/>
      <c r="Q589" s="18">
        <v>1000</v>
      </c>
      <c r="R589" s="19"/>
    </row>
    <row r="590" spans="1:18" ht="28.8" hidden="1" x14ac:dyDescent="0.3">
      <c r="A590" s="6" t="s">
        <v>2851</v>
      </c>
      <c r="B590" s="7" t="s">
        <v>2852</v>
      </c>
      <c r="C590" s="17" t="s">
        <v>2853</v>
      </c>
      <c r="D590" s="17"/>
      <c r="E590" s="8">
        <v>18227</v>
      </c>
      <c r="F590" s="9">
        <v>73</v>
      </c>
      <c r="G590" s="6" t="s">
        <v>2854</v>
      </c>
      <c r="H590" s="7" t="s">
        <v>39</v>
      </c>
      <c r="I590" s="6" t="s">
        <v>237</v>
      </c>
      <c r="J590" s="7" t="s">
        <v>20</v>
      </c>
      <c r="K590" s="7" t="s">
        <v>26</v>
      </c>
      <c r="L590" s="6"/>
      <c r="M590" s="10">
        <v>5.5300000000000002E-2</v>
      </c>
      <c r="N590" s="6" t="s">
        <v>2855</v>
      </c>
      <c r="O590" s="11">
        <v>7200</v>
      </c>
      <c r="P590" s="11"/>
      <c r="Q590" s="18">
        <v>900</v>
      </c>
      <c r="R590" s="19"/>
    </row>
    <row r="591" spans="1:18" x14ac:dyDescent="0.3">
      <c r="A591" s="6" t="s">
        <v>2856</v>
      </c>
      <c r="B591" s="7" t="s">
        <v>2857</v>
      </c>
      <c r="C591" s="17" t="s">
        <v>2853</v>
      </c>
      <c r="D591" s="17"/>
      <c r="E591" s="8">
        <v>17518</v>
      </c>
      <c r="F591" s="9">
        <v>75</v>
      </c>
      <c r="G591" s="6" t="s">
        <v>2858</v>
      </c>
      <c r="H591" s="7" t="s">
        <v>25</v>
      </c>
      <c r="I591" s="6"/>
      <c r="J591" s="7" t="s">
        <v>41</v>
      </c>
      <c r="K591" s="7" t="s">
        <v>26</v>
      </c>
      <c r="L591" s="9">
        <v>73</v>
      </c>
      <c r="M591" s="10">
        <v>5.5300000000000002E-2</v>
      </c>
      <c r="N591" s="6" t="s">
        <v>2859</v>
      </c>
      <c r="O591" s="11">
        <v>12034.72</v>
      </c>
      <c r="P591" s="11"/>
      <c r="Q591" s="18">
        <v>1504.34</v>
      </c>
      <c r="R591" s="19"/>
    </row>
    <row r="592" spans="1:18" hidden="1" x14ac:dyDescent="0.3">
      <c r="A592" s="6" t="s">
        <v>2860</v>
      </c>
      <c r="B592" s="7" t="s">
        <v>2861</v>
      </c>
      <c r="C592" s="17" t="s">
        <v>2862</v>
      </c>
      <c r="D592" s="17"/>
      <c r="E592" s="8">
        <v>16565</v>
      </c>
      <c r="F592" s="9">
        <v>77</v>
      </c>
      <c r="G592" s="6" t="s">
        <v>2863</v>
      </c>
      <c r="H592" s="7" t="s">
        <v>25</v>
      </c>
      <c r="I592" s="6"/>
      <c r="J592" s="7" t="s">
        <v>20</v>
      </c>
      <c r="K592" s="7" t="s">
        <v>26</v>
      </c>
      <c r="L592" s="6"/>
      <c r="M592" s="10">
        <v>6.1699999999999998E-2</v>
      </c>
      <c r="N592" s="6" t="s">
        <v>2864</v>
      </c>
      <c r="O592" s="11">
        <v>52004.24</v>
      </c>
      <c r="P592" s="11"/>
      <c r="Q592" s="18">
        <v>6500.53</v>
      </c>
      <c r="R592" s="19"/>
    </row>
    <row r="593" spans="1:18" ht="43.2" hidden="1" x14ac:dyDescent="0.3">
      <c r="A593" s="6" t="s">
        <v>2865</v>
      </c>
      <c r="B593" s="7" t="s">
        <v>466</v>
      </c>
      <c r="C593" s="17" t="s">
        <v>2862</v>
      </c>
      <c r="D593" s="17"/>
      <c r="E593" s="7" t="s">
        <v>2866</v>
      </c>
      <c r="F593" s="9">
        <v>72</v>
      </c>
      <c r="G593" s="6" t="s">
        <v>2867</v>
      </c>
      <c r="H593" s="7" t="s">
        <v>39</v>
      </c>
      <c r="I593" s="6" t="s">
        <v>728</v>
      </c>
      <c r="J593" s="7" t="s">
        <v>20</v>
      </c>
      <c r="K593" s="7" t="s">
        <v>32</v>
      </c>
      <c r="L593" s="6"/>
      <c r="M593" s="10">
        <v>5.3999999999999999E-2</v>
      </c>
      <c r="N593" s="6" t="s">
        <v>2868</v>
      </c>
      <c r="O593" s="6" t="s">
        <v>19</v>
      </c>
      <c r="P593" s="6"/>
      <c r="Q593" s="19" t="s">
        <v>19</v>
      </c>
      <c r="R593" s="19"/>
    </row>
    <row r="594" spans="1:18" ht="43.2" hidden="1" x14ac:dyDescent="0.3">
      <c r="A594" s="6" t="s">
        <v>2869</v>
      </c>
      <c r="B594" s="7" t="s">
        <v>2870</v>
      </c>
      <c r="C594" s="17" t="s">
        <v>2871</v>
      </c>
      <c r="D594" s="17"/>
      <c r="E594" s="8">
        <v>16316</v>
      </c>
      <c r="F594" s="9">
        <v>78</v>
      </c>
      <c r="G594" s="6" t="s">
        <v>2872</v>
      </c>
      <c r="H594" s="7" t="s">
        <v>39</v>
      </c>
      <c r="I594" s="6" t="s">
        <v>122</v>
      </c>
      <c r="J594" s="7" t="s">
        <v>20</v>
      </c>
      <c r="K594" s="7" t="s">
        <v>26</v>
      </c>
      <c r="L594" s="6"/>
      <c r="M594" s="10">
        <v>6.3600000000000004E-2</v>
      </c>
      <c r="N594" s="6" t="s">
        <v>2873</v>
      </c>
      <c r="O594" s="11">
        <v>16000</v>
      </c>
      <c r="P594" s="11"/>
      <c r="Q594" s="18">
        <v>2000</v>
      </c>
      <c r="R594" s="19"/>
    </row>
    <row r="595" spans="1:18" ht="43.2" hidden="1" x14ac:dyDescent="0.3">
      <c r="A595" s="6" t="s">
        <v>2874</v>
      </c>
      <c r="B595" s="7" t="s">
        <v>158</v>
      </c>
      <c r="C595" s="17" t="s">
        <v>2875</v>
      </c>
      <c r="D595" s="17"/>
      <c r="E595" s="8">
        <v>18504</v>
      </c>
      <c r="F595" s="9">
        <v>72</v>
      </c>
      <c r="G595" s="6" t="s">
        <v>2876</v>
      </c>
      <c r="H595" s="7" t="s">
        <v>39</v>
      </c>
      <c r="I595" s="6" t="s">
        <v>2877</v>
      </c>
      <c r="J595" s="7" t="s">
        <v>20</v>
      </c>
      <c r="K595" s="7" t="s">
        <v>32</v>
      </c>
      <c r="L595" s="6"/>
      <c r="M595" s="10">
        <v>5.3999999999999999E-2</v>
      </c>
      <c r="N595" s="6" t="s">
        <v>2878</v>
      </c>
      <c r="O595" s="11">
        <v>7000</v>
      </c>
      <c r="P595" s="11"/>
      <c r="Q595" s="18">
        <v>7000</v>
      </c>
      <c r="R595" s="19"/>
    </row>
    <row r="596" spans="1:18" ht="43.2" hidden="1" x14ac:dyDescent="0.3">
      <c r="A596" s="6" t="s">
        <v>2879</v>
      </c>
      <c r="B596" s="7" t="s">
        <v>2880</v>
      </c>
      <c r="C596" s="17" t="s">
        <v>2881</v>
      </c>
      <c r="D596" s="17"/>
      <c r="E596" s="8">
        <v>18384</v>
      </c>
      <c r="F596" s="9">
        <v>72</v>
      </c>
      <c r="G596" s="6" t="s">
        <v>2882</v>
      </c>
      <c r="H596" s="7" t="s">
        <v>39</v>
      </c>
      <c r="I596" s="6" t="s">
        <v>704</v>
      </c>
      <c r="J596" s="7" t="s">
        <v>20</v>
      </c>
      <c r="K596" s="7" t="s">
        <v>26</v>
      </c>
      <c r="L596" s="6"/>
      <c r="M596" s="10">
        <v>5.3999999999999999E-2</v>
      </c>
      <c r="N596" s="6" t="s">
        <v>2883</v>
      </c>
      <c r="O596" s="11">
        <v>10000</v>
      </c>
      <c r="P596" s="11"/>
      <c r="Q596" s="18">
        <v>26.97</v>
      </c>
      <c r="R596" s="19"/>
    </row>
    <row r="597" spans="1:18" ht="43.2" hidden="1" x14ac:dyDescent="0.3">
      <c r="A597" s="6" t="s">
        <v>2884</v>
      </c>
      <c r="B597" s="7" t="s">
        <v>129</v>
      </c>
      <c r="C597" s="17" t="s">
        <v>2885</v>
      </c>
      <c r="D597" s="17"/>
      <c r="E597" s="8">
        <v>17311</v>
      </c>
      <c r="F597" s="9">
        <v>75</v>
      </c>
      <c r="G597" s="6" t="s">
        <v>2886</v>
      </c>
      <c r="H597" s="7" t="s">
        <v>39</v>
      </c>
      <c r="I597" s="6" t="s">
        <v>2887</v>
      </c>
      <c r="J597" s="7" t="s">
        <v>20</v>
      </c>
      <c r="K597" s="7" t="s">
        <v>26</v>
      </c>
      <c r="L597" s="6"/>
      <c r="M597" s="10">
        <v>5.8200000000000002E-2</v>
      </c>
      <c r="N597" s="6" t="s">
        <v>2888</v>
      </c>
      <c r="O597" s="11">
        <v>38400</v>
      </c>
      <c r="P597" s="11"/>
      <c r="Q597" s="18">
        <v>4800</v>
      </c>
      <c r="R597" s="19"/>
    </row>
    <row r="598" spans="1:18" ht="28.8" hidden="1" x14ac:dyDescent="0.3">
      <c r="A598" s="6" t="s">
        <v>2889</v>
      </c>
      <c r="B598" s="7" t="s">
        <v>2890</v>
      </c>
      <c r="C598" s="17" t="s">
        <v>2891</v>
      </c>
      <c r="D598" s="17"/>
      <c r="E598" s="8">
        <v>18021</v>
      </c>
      <c r="F598" s="9">
        <v>73</v>
      </c>
      <c r="G598" s="6" t="s">
        <v>2892</v>
      </c>
      <c r="H598" s="7" t="s">
        <v>39</v>
      </c>
      <c r="I598" s="6" t="s">
        <v>941</v>
      </c>
      <c r="J598" s="7" t="s">
        <v>20</v>
      </c>
      <c r="K598" s="7" t="s">
        <v>26</v>
      </c>
      <c r="L598" s="6"/>
      <c r="M598" s="10">
        <v>5.5300000000000002E-2</v>
      </c>
      <c r="N598" s="6" t="s">
        <v>2893</v>
      </c>
      <c r="O598" s="11">
        <v>2350</v>
      </c>
      <c r="P598" s="11"/>
      <c r="Q598" s="18">
        <v>300</v>
      </c>
      <c r="R598" s="19"/>
    </row>
    <row r="599" spans="1:18" hidden="1" x14ac:dyDescent="0.3">
      <c r="A599" s="6" t="s">
        <v>2894</v>
      </c>
      <c r="B599" s="7" t="s">
        <v>2895</v>
      </c>
      <c r="C599" s="17" t="s">
        <v>2896</v>
      </c>
      <c r="D599" s="17"/>
      <c r="E599" s="7" t="s">
        <v>2897</v>
      </c>
      <c r="F599" s="9">
        <v>77</v>
      </c>
      <c r="G599" s="6" t="s">
        <v>2898</v>
      </c>
      <c r="H599" s="7" t="s">
        <v>25</v>
      </c>
      <c r="I599" s="6" t="s">
        <v>19</v>
      </c>
      <c r="J599" s="7" t="s">
        <v>41</v>
      </c>
      <c r="K599" s="7" t="s">
        <v>26</v>
      </c>
      <c r="L599" s="9">
        <v>72</v>
      </c>
      <c r="M599" s="10">
        <v>5.3999999999999999E-2</v>
      </c>
      <c r="N599" s="6" t="s">
        <v>2899</v>
      </c>
      <c r="O599" s="6" t="s">
        <v>19</v>
      </c>
      <c r="P599" s="6"/>
      <c r="Q599" s="19" t="s">
        <v>19</v>
      </c>
      <c r="R599" s="19"/>
    </row>
    <row r="600" spans="1:18" ht="28.8" hidden="1" x14ac:dyDescent="0.3">
      <c r="A600" s="6" t="s">
        <v>2900</v>
      </c>
      <c r="B600" s="7" t="s">
        <v>944</v>
      </c>
      <c r="C600" s="17" t="s">
        <v>2901</v>
      </c>
      <c r="D600" s="17"/>
      <c r="E600" s="8">
        <v>17664</v>
      </c>
      <c r="F600" s="9">
        <v>74</v>
      </c>
      <c r="G600" s="6" t="s">
        <v>2902</v>
      </c>
      <c r="H600" s="7" t="s">
        <v>39</v>
      </c>
      <c r="I600" s="6" t="s">
        <v>2903</v>
      </c>
      <c r="J600" s="7" t="s">
        <v>20</v>
      </c>
      <c r="K600" s="7" t="s">
        <v>26</v>
      </c>
      <c r="L600" s="6"/>
      <c r="M600" s="10">
        <v>5.67E-2</v>
      </c>
      <c r="N600" s="6" t="s">
        <v>2904</v>
      </c>
      <c r="O600" s="11">
        <v>1872</v>
      </c>
      <c r="P600" s="11"/>
      <c r="Q600" s="18">
        <v>195.5</v>
      </c>
      <c r="R600" s="19"/>
    </row>
    <row r="601" spans="1:18" ht="28.8" hidden="1" x14ac:dyDescent="0.3">
      <c r="A601" s="6" t="s">
        <v>2905</v>
      </c>
      <c r="B601" s="7" t="s">
        <v>129</v>
      </c>
      <c r="C601" s="17" t="s">
        <v>2901</v>
      </c>
      <c r="D601" s="17"/>
      <c r="E601" s="8">
        <v>17948</v>
      </c>
      <c r="F601" s="9">
        <v>73</v>
      </c>
      <c r="G601" s="6" t="s">
        <v>2906</v>
      </c>
      <c r="H601" s="7" t="s">
        <v>39</v>
      </c>
      <c r="I601" s="6" t="s">
        <v>2907</v>
      </c>
      <c r="J601" s="7" t="s">
        <v>20</v>
      </c>
      <c r="K601" s="7" t="s">
        <v>26</v>
      </c>
      <c r="L601" s="6"/>
      <c r="M601" s="10">
        <v>5.5300000000000002E-2</v>
      </c>
      <c r="N601" s="6" t="s">
        <v>2908</v>
      </c>
      <c r="O601" s="11">
        <v>3952</v>
      </c>
      <c r="P601" s="11"/>
      <c r="Q601" s="18">
        <v>413.33</v>
      </c>
      <c r="R601" s="19"/>
    </row>
    <row r="602" spans="1:18" ht="43.2" x14ac:dyDescent="0.3">
      <c r="A602" s="6" t="s">
        <v>2909</v>
      </c>
      <c r="B602" s="7" t="s">
        <v>81</v>
      </c>
      <c r="C602" s="17" t="s">
        <v>2910</v>
      </c>
      <c r="D602" s="17"/>
      <c r="E602" s="8">
        <v>17594</v>
      </c>
      <c r="F602" s="9">
        <v>74</v>
      </c>
      <c r="G602" s="6" t="s">
        <v>2911</v>
      </c>
      <c r="H602" s="7" t="s">
        <v>39</v>
      </c>
      <c r="I602" s="6" t="s">
        <v>2603</v>
      </c>
      <c r="J602" s="7" t="s">
        <v>41</v>
      </c>
      <c r="K602" s="7" t="s">
        <v>26</v>
      </c>
      <c r="L602" s="9">
        <v>64</v>
      </c>
      <c r="M602" s="10">
        <v>3.85E-2</v>
      </c>
      <c r="N602" s="6" t="s">
        <v>2912</v>
      </c>
      <c r="O602" s="11">
        <v>64000</v>
      </c>
      <c r="P602" s="11"/>
      <c r="Q602" s="18">
        <v>8000</v>
      </c>
      <c r="R602" s="19"/>
    </row>
    <row r="603" spans="1:18" hidden="1" x14ac:dyDescent="0.3">
      <c r="A603" s="6" t="s">
        <v>2913</v>
      </c>
      <c r="B603" s="7" t="s">
        <v>224</v>
      </c>
      <c r="C603" s="17" t="s">
        <v>2914</v>
      </c>
      <c r="D603" s="17"/>
      <c r="E603" s="7" t="s">
        <v>2915</v>
      </c>
      <c r="F603" s="9">
        <v>73</v>
      </c>
      <c r="G603" s="6" t="s">
        <v>2916</v>
      </c>
      <c r="H603" s="7" t="s">
        <v>25</v>
      </c>
      <c r="I603" s="6" t="s">
        <v>19</v>
      </c>
      <c r="J603" s="7" t="s">
        <v>20</v>
      </c>
      <c r="K603" s="7" t="s">
        <v>32</v>
      </c>
      <c r="L603" s="6"/>
      <c r="M603" s="10">
        <v>5.5300000000000002E-2</v>
      </c>
      <c r="N603" s="6" t="s">
        <v>2917</v>
      </c>
      <c r="O603" s="6" t="s">
        <v>19</v>
      </c>
      <c r="P603" s="6"/>
      <c r="Q603" s="19" t="s">
        <v>19</v>
      </c>
      <c r="R603" s="19"/>
    </row>
    <row r="604" spans="1:18" hidden="1" x14ac:dyDescent="0.3">
      <c r="A604" s="6" t="s">
        <v>2918</v>
      </c>
      <c r="B604" s="7" t="s">
        <v>2919</v>
      </c>
      <c r="C604" s="17" t="s">
        <v>2920</v>
      </c>
      <c r="D604" s="17"/>
      <c r="E604" s="7" t="s">
        <v>2921</v>
      </c>
      <c r="F604" s="9">
        <v>75</v>
      </c>
      <c r="G604" s="6" t="s">
        <v>2922</v>
      </c>
      <c r="H604" s="7" t="s">
        <v>25</v>
      </c>
      <c r="I604" s="6" t="s">
        <v>19</v>
      </c>
      <c r="J604" s="7" t="s">
        <v>20</v>
      </c>
      <c r="K604" s="7" t="s">
        <v>26</v>
      </c>
      <c r="L604" s="6"/>
      <c r="M604" s="10">
        <v>5.8200000000000002E-2</v>
      </c>
      <c r="N604" s="6" t="s">
        <v>2923</v>
      </c>
      <c r="O604" s="6" t="s">
        <v>19</v>
      </c>
      <c r="P604" s="6"/>
      <c r="Q604" s="19" t="s">
        <v>19</v>
      </c>
      <c r="R604" s="19"/>
    </row>
    <row r="605" spans="1:18" ht="43.2" hidden="1" x14ac:dyDescent="0.3">
      <c r="A605" s="6" t="s">
        <v>2924</v>
      </c>
      <c r="B605" s="7" t="s">
        <v>240</v>
      </c>
      <c r="C605" s="17" t="s">
        <v>2925</v>
      </c>
      <c r="D605" s="17"/>
      <c r="E605" s="8">
        <v>17189</v>
      </c>
      <c r="F605" s="9">
        <v>75</v>
      </c>
      <c r="G605" s="6" t="s">
        <v>2926</v>
      </c>
      <c r="H605" s="7" t="s">
        <v>39</v>
      </c>
      <c r="I605" s="6" t="s">
        <v>2927</v>
      </c>
      <c r="J605" s="7" t="s">
        <v>20</v>
      </c>
      <c r="K605" s="7" t="s">
        <v>26</v>
      </c>
      <c r="L605" s="6"/>
      <c r="M605" s="10">
        <v>5.8200000000000002E-2</v>
      </c>
      <c r="N605" s="6" t="s">
        <v>2928</v>
      </c>
      <c r="O605" s="11">
        <v>32080</v>
      </c>
      <c r="P605" s="11"/>
      <c r="Q605" s="18">
        <v>1010</v>
      </c>
      <c r="R605" s="19"/>
    </row>
    <row r="606" spans="1:18" ht="43.2" hidden="1" x14ac:dyDescent="0.3">
      <c r="A606" s="6" t="s">
        <v>2929</v>
      </c>
      <c r="B606" s="7" t="s">
        <v>2930</v>
      </c>
      <c r="C606" s="17" t="s">
        <v>2931</v>
      </c>
      <c r="D606" s="17"/>
      <c r="E606" s="8">
        <v>16904</v>
      </c>
      <c r="F606" s="9">
        <v>76</v>
      </c>
      <c r="G606" s="6" t="s">
        <v>2932</v>
      </c>
      <c r="H606" s="7" t="s">
        <v>39</v>
      </c>
      <c r="I606" s="6" t="s">
        <v>2933</v>
      </c>
      <c r="J606" s="7" t="s">
        <v>20</v>
      </c>
      <c r="K606" s="7" t="s">
        <v>26</v>
      </c>
      <c r="L606" s="6"/>
      <c r="M606" s="10">
        <v>5.9799999999999999E-2</v>
      </c>
      <c r="N606" s="6" t="s">
        <v>2934</v>
      </c>
      <c r="O606" s="11">
        <v>13328</v>
      </c>
      <c r="P606" s="11"/>
      <c r="Q606" s="18">
        <v>266.83</v>
      </c>
      <c r="R606" s="19"/>
    </row>
    <row r="607" spans="1:18" ht="43.2" hidden="1" x14ac:dyDescent="0.3">
      <c r="A607" s="6" t="s">
        <v>2935</v>
      </c>
      <c r="B607" s="7" t="s">
        <v>1163</v>
      </c>
      <c r="C607" s="17" t="s">
        <v>2931</v>
      </c>
      <c r="D607" s="17"/>
      <c r="E607" s="8">
        <v>17022</v>
      </c>
      <c r="F607" s="9">
        <v>76</v>
      </c>
      <c r="G607" s="6" t="s">
        <v>2936</v>
      </c>
      <c r="H607" s="7" t="s">
        <v>39</v>
      </c>
      <c r="I607" s="6" t="s">
        <v>2937</v>
      </c>
      <c r="J607" s="7" t="s">
        <v>20</v>
      </c>
      <c r="K607" s="7" t="s">
        <v>26</v>
      </c>
      <c r="L607" s="6"/>
      <c r="M607" s="10">
        <v>5.9799999999999999E-2</v>
      </c>
      <c r="N607" s="6" t="s">
        <v>2938</v>
      </c>
      <c r="O607" s="11">
        <v>15334.99</v>
      </c>
      <c r="P607" s="11"/>
      <c r="Q607" s="18">
        <v>1667</v>
      </c>
      <c r="R607" s="19"/>
    </row>
    <row r="608" spans="1:18" hidden="1" x14ac:dyDescent="0.3">
      <c r="A608" s="6" t="s">
        <v>2939</v>
      </c>
      <c r="B608" s="7" t="s">
        <v>2940</v>
      </c>
      <c r="C608" s="17" t="s">
        <v>2941</v>
      </c>
      <c r="D608" s="17"/>
      <c r="E608" s="8">
        <v>17874</v>
      </c>
      <c r="F608" s="9">
        <v>74</v>
      </c>
      <c r="G608" s="6" t="s">
        <v>2942</v>
      </c>
      <c r="H608" s="7" t="s">
        <v>25</v>
      </c>
      <c r="I608" s="6"/>
      <c r="J608" s="7" t="s">
        <v>20</v>
      </c>
      <c r="K608" s="7" t="s">
        <v>32</v>
      </c>
      <c r="L608" s="6"/>
      <c r="M608" s="10">
        <v>5.67E-2</v>
      </c>
      <c r="N608" s="6" t="s">
        <v>2943</v>
      </c>
      <c r="O608" s="11">
        <v>23666.13</v>
      </c>
      <c r="P608" s="11"/>
      <c r="Q608" s="18">
        <v>23666.13</v>
      </c>
      <c r="R608" s="19"/>
    </row>
    <row r="609" spans="1:18" ht="28.8" hidden="1" x14ac:dyDescent="0.3">
      <c r="A609" s="6" t="s">
        <v>2944</v>
      </c>
      <c r="B609" s="7" t="s">
        <v>2945</v>
      </c>
      <c r="C609" s="17" t="s">
        <v>2941</v>
      </c>
      <c r="D609" s="17"/>
      <c r="E609" s="8">
        <v>16597</v>
      </c>
      <c r="F609" s="9">
        <v>77</v>
      </c>
      <c r="G609" s="6" t="s">
        <v>2946</v>
      </c>
      <c r="H609" s="7" t="s">
        <v>39</v>
      </c>
      <c r="I609" s="6" t="s">
        <v>176</v>
      </c>
      <c r="J609" s="7" t="s">
        <v>20</v>
      </c>
      <c r="K609" s="7" t="s">
        <v>26</v>
      </c>
      <c r="L609" s="6"/>
      <c r="M609" s="10">
        <v>6.1699999999999998E-2</v>
      </c>
      <c r="N609" s="6" t="s">
        <v>2947</v>
      </c>
      <c r="O609" s="11">
        <v>4800</v>
      </c>
      <c r="P609" s="11"/>
      <c r="Q609" s="18">
        <v>600</v>
      </c>
      <c r="R609" s="19"/>
    </row>
    <row r="610" spans="1:18" ht="43.2" hidden="1" x14ac:dyDescent="0.3">
      <c r="A610" s="6" t="s">
        <v>2948</v>
      </c>
      <c r="B610" s="7" t="s">
        <v>2949</v>
      </c>
      <c r="C610" s="17" t="s">
        <v>2950</v>
      </c>
      <c r="D610" s="17"/>
      <c r="E610" s="8">
        <v>15711</v>
      </c>
      <c r="F610" s="9">
        <v>79</v>
      </c>
      <c r="G610" s="6" t="s">
        <v>2951</v>
      </c>
      <c r="H610" s="7" t="s">
        <v>39</v>
      </c>
      <c r="I610" s="6" t="s">
        <v>398</v>
      </c>
      <c r="J610" s="7" t="s">
        <v>20</v>
      </c>
      <c r="K610" s="7" t="s">
        <v>26</v>
      </c>
      <c r="L610" s="6"/>
      <c r="M610" s="10">
        <v>6.5799999999999997E-2</v>
      </c>
      <c r="N610" s="6" t="s">
        <v>2952</v>
      </c>
      <c r="O610" s="11">
        <v>15200</v>
      </c>
      <c r="P610" s="11"/>
      <c r="Q610" s="18">
        <v>1900</v>
      </c>
      <c r="R610" s="19"/>
    </row>
    <row r="611" spans="1:18" ht="43.2" hidden="1" x14ac:dyDescent="0.3">
      <c r="A611" s="6" t="s">
        <v>2953</v>
      </c>
      <c r="B611" s="7" t="s">
        <v>2820</v>
      </c>
      <c r="C611" s="17" t="s">
        <v>2950</v>
      </c>
      <c r="D611" s="17"/>
      <c r="E611" s="8">
        <v>18442</v>
      </c>
      <c r="F611" s="9">
        <v>72</v>
      </c>
      <c r="G611" s="6" t="s">
        <v>2954</v>
      </c>
      <c r="H611" s="7" t="s">
        <v>39</v>
      </c>
      <c r="I611" s="6" t="s">
        <v>2955</v>
      </c>
      <c r="J611" s="7" t="s">
        <v>20</v>
      </c>
      <c r="K611" s="7" t="s">
        <v>26</v>
      </c>
      <c r="L611" s="6"/>
      <c r="M611" s="10">
        <v>5.3999999999999999E-2</v>
      </c>
      <c r="N611" s="6" t="s">
        <v>2956</v>
      </c>
      <c r="O611" s="11">
        <v>28620</v>
      </c>
      <c r="P611" s="11"/>
      <c r="Q611" s="18">
        <v>118.11</v>
      </c>
      <c r="R611" s="19"/>
    </row>
    <row r="612" spans="1:18" ht="43.2" hidden="1" x14ac:dyDescent="0.3">
      <c r="A612" s="6" t="s">
        <v>2957</v>
      </c>
      <c r="B612" s="7" t="s">
        <v>493</v>
      </c>
      <c r="C612" s="17" t="s">
        <v>2958</v>
      </c>
      <c r="D612" s="17"/>
      <c r="E612" s="8">
        <v>17835</v>
      </c>
      <c r="F612" s="9">
        <v>74</v>
      </c>
      <c r="G612" s="6" t="s">
        <v>2960</v>
      </c>
      <c r="H612" s="7" t="s">
        <v>39</v>
      </c>
      <c r="I612" s="6" t="s">
        <v>2961</v>
      </c>
      <c r="J612" s="7" t="s">
        <v>20</v>
      </c>
      <c r="K612" s="7" t="s">
        <v>26</v>
      </c>
      <c r="L612" s="6"/>
      <c r="M612" s="10">
        <v>5.67E-2</v>
      </c>
      <c r="N612" s="6" t="s">
        <v>2962</v>
      </c>
      <c r="O612" s="11">
        <v>8200</v>
      </c>
      <c r="P612" s="11"/>
      <c r="Q612" s="18">
        <v>1025</v>
      </c>
      <c r="R612" s="19"/>
    </row>
    <row r="613" spans="1:18" ht="43.2" x14ac:dyDescent="0.3">
      <c r="A613" s="6" t="s">
        <v>2963</v>
      </c>
      <c r="B613" s="7" t="s">
        <v>2964</v>
      </c>
      <c r="C613" s="17" t="s">
        <v>2965</v>
      </c>
      <c r="D613" s="17"/>
      <c r="E613" s="8">
        <v>18621</v>
      </c>
      <c r="F613" s="9">
        <v>72</v>
      </c>
      <c r="G613" s="6" t="s">
        <v>2966</v>
      </c>
      <c r="H613" s="7" t="s">
        <v>39</v>
      </c>
      <c r="I613" s="6" t="s">
        <v>40</v>
      </c>
      <c r="J613" s="7" t="s">
        <v>41</v>
      </c>
      <c r="K613" s="7" t="s">
        <v>26</v>
      </c>
      <c r="L613" s="9">
        <v>55</v>
      </c>
      <c r="M613" s="10">
        <v>2.86E-2</v>
      </c>
      <c r="N613" s="6" t="s">
        <v>2967</v>
      </c>
      <c r="O613" s="11">
        <v>24000</v>
      </c>
      <c r="P613" s="11"/>
      <c r="Q613" s="18">
        <v>227.64</v>
      </c>
      <c r="R613" s="19"/>
    </row>
    <row r="614" spans="1:18" ht="43.2" hidden="1" x14ac:dyDescent="0.3">
      <c r="A614" s="6" t="s">
        <v>2968</v>
      </c>
      <c r="B614" s="7" t="s">
        <v>2969</v>
      </c>
      <c r="C614" s="17" t="s">
        <v>2970</v>
      </c>
      <c r="D614" s="17"/>
      <c r="E614" s="7" t="s">
        <v>2290</v>
      </c>
      <c r="F614" s="9">
        <v>75</v>
      </c>
      <c r="G614" s="6" t="s">
        <v>2971</v>
      </c>
      <c r="H614" s="7" t="s">
        <v>39</v>
      </c>
      <c r="I614" s="6" t="s">
        <v>40</v>
      </c>
      <c r="J614" s="7" t="s">
        <v>41</v>
      </c>
      <c r="K614" s="7" t="s">
        <v>26</v>
      </c>
      <c r="L614" s="9">
        <v>61</v>
      </c>
      <c r="M614" s="10">
        <v>3.4500000000000003E-2</v>
      </c>
      <c r="N614" s="6" t="s">
        <v>2972</v>
      </c>
      <c r="O614" s="6" t="s">
        <v>19</v>
      </c>
      <c r="P614" s="6"/>
      <c r="Q614" s="19" t="s">
        <v>19</v>
      </c>
      <c r="R614" s="19"/>
    </row>
    <row r="615" spans="1:18" ht="43.2" x14ac:dyDescent="0.3">
      <c r="A615" s="6" t="s">
        <v>2973</v>
      </c>
      <c r="B615" s="7" t="s">
        <v>1240</v>
      </c>
      <c r="C615" s="17" t="s">
        <v>2974</v>
      </c>
      <c r="D615" s="17"/>
      <c r="E615" s="8">
        <v>17300</v>
      </c>
      <c r="F615" s="9">
        <v>75</v>
      </c>
      <c r="G615" s="6" t="s">
        <v>2975</v>
      </c>
      <c r="H615" s="7" t="s">
        <v>39</v>
      </c>
      <c r="I615" s="6" t="s">
        <v>132</v>
      </c>
      <c r="J615" s="7" t="s">
        <v>41</v>
      </c>
      <c r="K615" s="7" t="s">
        <v>26</v>
      </c>
      <c r="L615" s="9">
        <v>70</v>
      </c>
      <c r="M615" s="10">
        <v>0.05</v>
      </c>
      <c r="N615" s="6" t="s">
        <v>2976</v>
      </c>
      <c r="O615" s="11">
        <v>12000</v>
      </c>
      <c r="P615" s="11"/>
      <c r="Q615" s="18">
        <v>1500</v>
      </c>
      <c r="R615" s="19"/>
    </row>
    <row r="616" spans="1:18" hidden="1" x14ac:dyDescent="0.3">
      <c r="A616" s="6" t="s">
        <v>2977</v>
      </c>
      <c r="B616" s="7" t="s">
        <v>1143</v>
      </c>
      <c r="C616" s="17" t="s">
        <v>2978</v>
      </c>
      <c r="D616" s="17"/>
      <c r="E616" s="7" t="s">
        <v>2979</v>
      </c>
      <c r="F616" s="9">
        <v>73</v>
      </c>
      <c r="G616" s="6" t="s">
        <v>2980</v>
      </c>
      <c r="H616" s="7" t="s">
        <v>25</v>
      </c>
      <c r="I616" s="6" t="s">
        <v>19</v>
      </c>
      <c r="J616" s="7" t="s">
        <v>20</v>
      </c>
      <c r="K616" s="7" t="s">
        <v>32</v>
      </c>
      <c r="L616" s="6"/>
      <c r="M616" s="10">
        <v>5.5300000000000002E-2</v>
      </c>
      <c r="N616" s="6" t="s">
        <v>2981</v>
      </c>
      <c r="O616" s="6" t="s">
        <v>19</v>
      </c>
      <c r="P616" s="6"/>
      <c r="Q616" s="19" t="s">
        <v>19</v>
      </c>
      <c r="R616" s="19"/>
    </row>
    <row r="617" spans="1:18" ht="28.8" hidden="1" x14ac:dyDescent="0.3">
      <c r="A617" s="6" t="s">
        <v>2982</v>
      </c>
      <c r="B617" s="7" t="s">
        <v>2983</v>
      </c>
      <c r="C617" s="17" t="s">
        <v>2984</v>
      </c>
      <c r="D617" s="17"/>
      <c r="E617" s="8">
        <v>18535</v>
      </c>
      <c r="F617" s="9">
        <v>72</v>
      </c>
      <c r="G617" s="6" t="s">
        <v>2985</v>
      </c>
      <c r="H617" s="7" t="s">
        <v>39</v>
      </c>
      <c r="I617" s="6" t="s">
        <v>321</v>
      </c>
      <c r="J617" s="7" t="s">
        <v>20</v>
      </c>
      <c r="K617" s="7" t="s">
        <v>26</v>
      </c>
      <c r="L617" s="6"/>
      <c r="M617" s="10">
        <v>5.3999999999999999E-2</v>
      </c>
      <c r="N617" s="6" t="s">
        <v>2986</v>
      </c>
      <c r="O617" s="11">
        <v>4000</v>
      </c>
      <c r="P617" s="11"/>
      <c r="Q617" s="18">
        <v>500</v>
      </c>
      <c r="R617" s="19"/>
    </row>
    <row r="618" spans="1:18" x14ac:dyDescent="0.3">
      <c r="A618" s="6" t="s">
        <v>2987</v>
      </c>
      <c r="B618" s="7" t="s">
        <v>2988</v>
      </c>
      <c r="C618" s="17" t="s">
        <v>2989</v>
      </c>
      <c r="D618" s="17"/>
      <c r="E618" s="8">
        <v>17736</v>
      </c>
      <c r="F618" s="9">
        <v>74</v>
      </c>
      <c r="G618" s="6" t="s">
        <v>2990</v>
      </c>
      <c r="H618" s="7" t="s">
        <v>25</v>
      </c>
      <c r="I618" s="6"/>
      <c r="J618" s="7" t="s">
        <v>41</v>
      </c>
      <c r="K618" s="7" t="s">
        <v>26</v>
      </c>
      <c r="L618" s="9">
        <v>67</v>
      </c>
      <c r="M618" s="10">
        <v>4.3499999999999997E-2</v>
      </c>
      <c r="N618" s="6" t="s">
        <v>2991</v>
      </c>
      <c r="O618" s="11">
        <v>296454.71999999997</v>
      </c>
      <c r="P618" s="11"/>
      <c r="Q618" s="18">
        <v>4556.84</v>
      </c>
      <c r="R618" s="19"/>
    </row>
    <row r="619" spans="1:18" ht="43.2" hidden="1" x14ac:dyDescent="0.3">
      <c r="A619" s="6" t="s">
        <v>2992</v>
      </c>
      <c r="B619" s="7" t="s">
        <v>2993</v>
      </c>
      <c r="C619" s="17" t="s">
        <v>129</v>
      </c>
      <c r="D619" s="17"/>
      <c r="E619" s="8">
        <v>18587</v>
      </c>
      <c r="F619" s="9">
        <v>72</v>
      </c>
      <c r="G619" s="6" t="s">
        <v>2994</v>
      </c>
      <c r="H619" s="7" t="s">
        <v>39</v>
      </c>
      <c r="I619" s="6" t="s">
        <v>1514</v>
      </c>
      <c r="J619" s="7" t="s">
        <v>20</v>
      </c>
      <c r="K619" s="7" t="s">
        <v>26</v>
      </c>
      <c r="L619" s="6"/>
      <c r="M619" s="10">
        <v>5.3999999999999999E-2</v>
      </c>
      <c r="N619" s="6" t="s">
        <v>2995</v>
      </c>
      <c r="O619" s="11">
        <v>21600</v>
      </c>
      <c r="P619" s="11"/>
      <c r="Q619" s="18">
        <v>2700</v>
      </c>
      <c r="R619" s="19"/>
    </row>
    <row r="620" spans="1:18" hidden="1" x14ac:dyDescent="0.3">
      <c r="A620" s="6" t="s">
        <v>2996</v>
      </c>
      <c r="B620" s="7" t="s">
        <v>830</v>
      </c>
      <c r="C620" s="17" t="s">
        <v>129</v>
      </c>
      <c r="D620" s="17"/>
      <c r="E620" s="8">
        <v>17410</v>
      </c>
      <c r="F620" s="9">
        <v>75</v>
      </c>
      <c r="G620" s="6" t="s">
        <v>2997</v>
      </c>
      <c r="H620" s="7" t="s">
        <v>25</v>
      </c>
      <c r="I620" s="6"/>
      <c r="J620" s="7" t="s">
        <v>20</v>
      </c>
      <c r="K620" s="7" t="s">
        <v>32</v>
      </c>
      <c r="L620" s="6"/>
      <c r="M620" s="10">
        <v>5.8200000000000002E-2</v>
      </c>
      <c r="N620" s="6" t="s">
        <v>2998</v>
      </c>
      <c r="O620" s="11">
        <v>4597.0200000000004</v>
      </c>
      <c r="P620" s="11"/>
      <c r="Q620" s="18">
        <v>4597.0200000000004</v>
      </c>
      <c r="R620" s="19"/>
    </row>
    <row r="621" spans="1:18" hidden="1" x14ac:dyDescent="0.3">
      <c r="A621" s="6" t="s">
        <v>2999</v>
      </c>
      <c r="B621" s="7" t="s">
        <v>3000</v>
      </c>
      <c r="C621" s="17" t="s">
        <v>3001</v>
      </c>
      <c r="D621" s="17"/>
      <c r="E621" s="7" t="s">
        <v>3002</v>
      </c>
      <c r="F621" s="9">
        <v>80</v>
      </c>
      <c r="G621" s="6" t="s">
        <v>3003</v>
      </c>
      <c r="H621" s="7" t="s">
        <v>25</v>
      </c>
      <c r="I621" s="6" t="s">
        <v>19</v>
      </c>
      <c r="J621" s="7" t="s">
        <v>41</v>
      </c>
      <c r="K621" s="7" t="s">
        <v>32</v>
      </c>
      <c r="L621" s="9">
        <v>80</v>
      </c>
      <c r="M621" s="10">
        <v>6.8199999999999997E-2</v>
      </c>
      <c r="N621" s="6" t="s">
        <v>3004</v>
      </c>
      <c r="O621" s="6" t="s">
        <v>19</v>
      </c>
      <c r="P621" s="6"/>
      <c r="Q621" s="19" t="s">
        <v>19</v>
      </c>
      <c r="R621" s="19"/>
    </row>
    <row r="622" spans="1:18" x14ac:dyDescent="0.3">
      <c r="A622" s="6" t="s">
        <v>3005</v>
      </c>
      <c r="B622" s="7" t="s">
        <v>3006</v>
      </c>
      <c r="C622" s="17" t="s">
        <v>3007</v>
      </c>
      <c r="D622" s="17"/>
      <c r="E622" s="8">
        <v>18456</v>
      </c>
      <c r="F622" s="9">
        <v>72</v>
      </c>
      <c r="G622" s="6" t="s">
        <v>3008</v>
      </c>
      <c r="H622" s="7" t="s">
        <v>25</v>
      </c>
      <c r="I622" s="6"/>
      <c r="J622" s="7" t="s">
        <v>41</v>
      </c>
      <c r="K622" s="7" t="s">
        <v>26</v>
      </c>
      <c r="L622" s="9">
        <v>58</v>
      </c>
      <c r="M622" s="10">
        <v>3.1300000000000001E-2</v>
      </c>
      <c r="N622" s="6" t="s">
        <v>3009</v>
      </c>
      <c r="O622" s="11">
        <v>8082</v>
      </c>
      <c r="P622" s="11"/>
      <c r="Q622" s="18">
        <v>2694</v>
      </c>
      <c r="R622" s="19"/>
    </row>
    <row r="623" spans="1:18" hidden="1" x14ac:dyDescent="0.3">
      <c r="A623" s="6" t="s">
        <v>3010</v>
      </c>
      <c r="B623" s="7" t="s">
        <v>401</v>
      </c>
      <c r="C623" s="17" t="s">
        <v>3011</v>
      </c>
      <c r="D623" s="17"/>
      <c r="E623" s="8">
        <v>17457</v>
      </c>
      <c r="F623" s="9">
        <v>75</v>
      </c>
      <c r="G623" s="6" t="s">
        <v>3012</v>
      </c>
      <c r="H623" s="7" t="s">
        <v>25</v>
      </c>
      <c r="I623" s="6"/>
      <c r="J623" s="7" t="s">
        <v>20</v>
      </c>
      <c r="K623" s="7" t="s">
        <v>26</v>
      </c>
      <c r="L623" s="6"/>
      <c r="M623" s="10">
        <v>5.8200000000000002E-2</v>
      </c>
      <c r="N623" s="6" t="s">
        <v>3013</v>
      </c>
      <c r="O623" s="11">
        <v>10349.280000000001</v>
      </c>
      <c r="P623" s="11"/>
      <c r="Q623" s="18">
        <v>1587.32</v>
      </c>
      <c r="R623" s="19"/>
    </row>
    <row r="624" spans="1:18" hidden="1" x14ac:dyDescent="0.3">
      <c r="A624" s="6" t="s">
        <v>3014</v>
      </c>
      <c r="B624" s="7" t="s">
        <v>3015</v>
      </c>
      <c r="C624" s="17" t="s">
        <v>493</v>
      </c>
      <c r="D624" s="17"/>
      <c r="E624" s="8">
        <v>17024</v>
      </c>
      <c r="F624" s="9">
        <v>76</v>
      </c>
      <c r="G624" s="6" t="s">
        <v>3016</v>
      </c>
      <c r="H624" s="7" t="s">
        <v>25</v>
      </c>
      <c r="I624" s="6"/>
      <c r="J624" s="7" t="s">
        <v>20</v>
      </c>
      <c r="K624" s="7" t="s">
        <v>26</v>
      </c>
      <c r="L624" s="6"/>
      <c r="M624" s="10">
        <v>5.9799999999999999E-2</v>
      </c>
      <c r="N624" s="6" t="s">
        <v>3017</v>
      </c>
      <c r="O624" s="11">
        <v>43889.52</v>
      </c>
      <c r="P624" s="11"/>
      <c r="Q624" s="18">
        <v>5486.19</v>
      </c>
      <c r="R624" s="19"/>
    </row>
    <row r="625" spans="1:18" x14ac:dyDescent="0.3">
      <c r="A625" s="6" t="s">
        <v>3018</v>
      </c>
      <c r="B625" s="7" t="s">
        <v>8591</v>
      </c>
      <c r="C625" s="17" t="s">
        <v>3019</v>
      </c>
      <c r="D625" s="17"/>
      <c r="E625" s="8">
        <v>16367</v>
      </c>
      <c r="F625" s="9">
        <v>78</v>
      </c>
      <c r="G625" s="6" t="s">
        <v>3020</v>
      </c>
      <c r="H625" s="7" t="s">
        <v>25</v>
      </c>
      <c r="I625" s="6"/>
      <c r="J625" s="7" t="s">
        <v>41</v>
      </c>
      <c r="K625" s="7" t="s">
        <v>26</v>
      </c>
      <c r="L625" s="9">
        <v>73</v>
      </c>
      <c r="M625" s="10">
        <v>5.5300000000000002E-2</v>
      </c>
      <c r="N625" s="6" t="s">
        <v>3021</v>
      </c>
      <c r="O625" s="11">
        <v>32059.119999999999</v>
      </c>
      <c r="P625" s="11"/>
      <c r="Q625" s="18">
        <v>4007.39</v>
      </c>
      <c r="R625" s="19"/>
    </row>
    <row r="626" spans="1:18" hidden="1" x14ac:dyDescent="0.3">
      <c r="A626" s="6" t="s">
        <v>3022</v>
      </c>
      <c r="B626" s="7" t="s">
        <v>3023</v>
      </c>
      <c r="C626" s="17" t="s">
        <v>3024</v>
      </c>
      <c r="D626" s="17"/>
      <c r="E626" s="7" t="s">
        <v>3025</v>
      </c>
      <c r="F626" s="9">
        <v>72</v>
      </c>
      <c r="G626" s="6" t="s">
        <v>3026</v>
      </c>
      <c r="H626" s="7" t="s">
        <v>19</v>
      </c>
      <c r="I626" s="6" t="s">
        <v>19</v>
      </c>
      <c r="J626" s="7" t="s">
        <v>20</v>
      </c>
      <c r="K626" s="7"/>
      <c r="L626" s="6"/>
      <c r="M626" s="10">
        <v>5.3999999999999999E-2</v>
      </c>
      <c r="N626" s="6" t="s">
        <v>3027</v>
      </c>
      <c r="O626" s="6" t="s">
        <v>19</v>
      </c>
      <c r="P626" s="6"/>
      <c r="Q626" s="19" t="s">
        <v>19</v>
      </c>
      <c r="R626" s="19"/>
    </row>
    <row r="627" spans="1:18" ht="43.2" hidden="1" x14ac:dyDescent="0.3">
      <c r="A627" s="6" t="s">
        <v>3028</v>
      </c>
      <c r="B627" s="7" t="s">
        <v>531</v>
      </c>
      <c r="C627" s="17" t="s">
        <v>3029</v>
      </c>
      <c r="D627" s="17"/>
      <c r="E627" s="7" t="s">
        <v>3030</v>
      </c>
      <c r="F627" s="9">
        <v>74</v>
      </c>
      <c r="G627" s="6" t="s">
        <v>3031</v>
      </c>
      <c r="H627" s="7" t="s">
        <v>39</v>
      </c>
      <c r="I627" s="6" t="s">
        <v>144</v>
      </c>
      <c r="J627" s="7" t="s">
        <v>41</v>
      </c>
      <c r="K627" s="7" t="s">
        <v>26</v>
      </c>
      <c r="L627" s="9">
        <v>57</v>
      </c>
      <c r="M627" s="10">
        <v>3.0300000000000001E-2</v>
      </c>
      <c r="N627" s="6" t="s">
        <v>3032</v>
      </c>
      <c r="O627" s="6" t="s">
        <v>19</v>
      </c>
      <c r="P627" s="6"/>
      <c r="Q627" s="19" t="s">
        <v>19</v>
      </c>
      <c r="R627" s="19"/>
    </row>
    <row r="628" spans="1:18" hidden="1" x14ac:dyDescent="0.3">
      <c r="A628" s="6" t="s">
        <v>3033</v>
      </c>
      <c r="B628" s="7" t="s">
        <v>1565</v>
      </c>
      <c r="C628" s="17" t="s">
        <v>3034</v>
      </c>
      <c r="D628" s="17"/>
      <c r="E628" s="8">
        <v>17886</v>
      </c>
      <c r="F628" s="9">
        <v>74</v>
      </c>
      <c r="G628" s="6" t="s">
        <v>3035</v>
      </c>
      <c r="H628" s="7" t="s">
        <v>25</v>
      </c>
      <c r="I628" s="6"/>
      <c r="J628" s="7" t="s">
        <v>20</v>
      </c>
      <c r="K628" s="7" t="s">
        <v>26</v>
      </c>
      <c r="L628" s="6"/>
      <c r="M628" s="10">
        <v>5.67E-2</v>
      </c>
      <c r="N628" s="6" t="s">
        <v>3036</v>
      </c>
      <c r="O628" s="11">
        <v>15546.24</v>
      </c>
      <c r="P628" s="11"/>
      <c r="Q628" s="18">
        <v>1546.24</v>
      </c>
      <c r="R628" s="19"/>
    </row>
    <row r="629" spans="1:18" ht="43.2" x14ac:dyDescent="0.3">
      <c r="A629" s="6" t="s">
        <v>3037</v>
      </c>
      <c r="B629" s="7" t="s">
        <v>3038</v>
      </c>
      <c r="C629" s="17" t="s">
        <v>3039</v>
      </c>
      <c r="D629" s="17"/>
      <c r="E629" s="8">
        <v>17185</v>
      </c>
      <c r="F629" s="9">
        <v>75</v>
      </c>
      <c r="G629" s="6" t="s">
        <v>3040</v>
      </c>
      <c r="H629" s="7" t="s">
        <v>39</v>
      </c>
      <c r="I629" s="6" t="s">
        <v>704</v>
      </c>
      <c r="J629" s="7" t="s">
        <v>41</v>
      </c>
      <c r="K629" s="7" t="s">
        <v>26</v>
      </c>
      <c r="L629" s="9">
        <v>72</v>
      </c>
      <c r="M629" s="10">
        <v>5.3999999999999999E-2</v>
      </c>
      <c r="N629" s="6" t="s">
        <v>3041</v>
      </c>
      <c r="O629" s="11">
        <v>10000</v>
      </c>
      <c r="P629" s="11"/>
      <c r="Q629" s="18">
        <v>1250</v>
      </c>
      <c r="R629" s="19"/>
    </row>
    <row r="630" spans="1:18" ht="43.2" hidden="1" x14ac:dyDescent="0.3">
      <c r="A630" s="6" t="s">
        <v>3042</v>
      </c>
      <c r="B630" s="7" t="s">
        <v>3043</v>
      </c>
      <c r="C630" s="17" t="s">
        <v>3044</v>
      </c>
      <c r="D630" s="17"/>
      <c r="E630" s="8">
        <v>18515</v>
      </c>
      <c r="F630" s="9">
        <v>72</v>
      </c>
      <c r="G630" s="6" t="s">
        <v>3045</v>
      </c>
      <c r="H630" s="7" t="s">
        <v>39</v>
      </c>
      <c r="I630" s="6" t="s">
        <v>3046</v>
      </c>
      <c r="J630" s="7" t="s">
        <v>20</v>
      </c>
      <c r="K630" s="7" t="s">
        <v>26</v>
      </c>
      <c r="L630" s="6"/>
      <c r="M630" s="10">
        <v>5.3999999999999999E-2</v>
      </c>
      <c r="N630" s="6" t="s">
        <v>3047</v>
      </c>
      <c r="O630" s="11">
        <v>34666.639999999999</v>
      </c>
      <c r="P630" s="11"/>
      <c r="Q630" s="18">
        <v>482.67</v>
      </c>
      <c r="R630" s="19"/>
    </row>
    <row r="631" spans="1:18" hidden="1" x14ac:dyDescent="0.3">
      <c r="A631" s="6" t="s">
        <v>3048</v>
      </c>
      <c r="B631" s="7" t="s">
        <v>503</v>
      </c>
      <c r="C631" s="17" t="s">
        <v>3044</v>
      </c>
      <c r="D631" s="17"/>
      <c r="E631" s="8">
        <v>16217</v>
      </c>
      <c r="F631" s="9">
        <v>78</v>
      </c>
      <c r="G631" s="6" t="s">
        <v>3049</v>
      </c>
      <c r="H631" s="7" t="s">
        <v>25</v>
      </c>
      <c r="I631" s="6"/>
      <c r="J631" s="7" t="s">
        <v>20</v>
      </c>
      <c r="K631" s="7" t="s">
        <v>26</v>
      </c>
      <c r="L631" s="6"/>
      <c r="M631" s="10">
        <v>6.3600000000000004E-2</v>
      </c>
      <c r="N631" s="6" t="s">
        <v>3050</v>
      </c>
      <c r="O631" s="11">
        <v>21535.119999999999</v>
      </c>
      <c r="P631" s="11"/>
      <c r="Q631" s="18">
        <v>830.63</v>
      </c>
      <c r="R631" s="19"/>
    </row>
    <row r="632" spans="1:18" ht="43.2" hidden="1" x14ac:dyDescent="0.3">
      <c r="A632" s="6" t="s">
        <v>3051</v>
      </c>
      <c r="B632" s="7" t="s">
        <v>129</v>
      </c>
      <c r="C632" s="17" t="s">
        <v>3044</v>
      </c>
      <c r="D632" s="17"/>
      <c r="E632" s="8">
        <v>18462</v>
      </c>
      <c r="F632" s="9">
        <v>72</v>
      </c>
      <c r="G632" s="6" t="s">
        <v>3052</v>
      </c>
      <c r="H632" s="7" t="s">
        <v>39</v>
      </c>
      <c r="I632" s="6" t="s">
        <v>122</v>
      </c>
      <c r="J632" s="7" t="s">
        <v>20</v>
      </c>
      <c r="K632" s="7" t="s">
        <v>26</v>
      </c>
      <c r="L632" s="6"/>
      <c r="M632" s="10">
        <v>5.3999999999999999E-2</v>
      </c>
      <c r="N632" s="6" t="s">
        <v>3053</v>
      </c>
      <c r="O632" s="11">
        <v>16000</v>
      </c>
      <c r="P632" s="11"/>
      <c r="Q632" s="18">
        <v>2000</v>
      </c>
      <c r="R632" s="19"/>
    </row>
    <row r="633" spans="1:18" hidden="1" x14ac:dyDescent="0.3">
      <c r="A633" s="6" t="s">
        <v>3054</v>
      </c>
      <c r="B633" s="7" t="s">
        <v>1434</v>
      </c>
      <c r="C633" s="17" t="s">
        <v>3044</v>
      </c>
      <c r="D633" s="17"/>
      <c r="E633" s="7" t="s">
        <v>3055</v>
      </c>
      <c r="F633" s="9">
        <v>77</v>
      </c>
      <c r="G633" s="6" t="s">
        <v>3056</v>
      </c>
      <c r="H633" s="7" t="s">
        <v>25</v>
      </c>
      <c r="I633" s="6" t="s">
        <v>19</v>
      </c>
      <c r="J633" s="7" t="s">
        <v>41</v>
      </c>
      <c r="K633" s="7" t="s">
        <v>32</v>
      </c>
      <c r="L633" s="9">
        <v>71</v>
      </c>
      <c r="M633" s="10">
        <v>5.28E-2</v>
      </c>
      <c r="N633" s="6" t="s">
        <v>3057</v>
      </c>
      <c r="O633" s="6" t="s">
        <v>19</v>
      </c>
      <c r="P633" s="6"/>
      <c r="Q633" s="19" t="s">
        <v>19</v>
      </c>
      <c r="R633" s="19"/>
    </row>
    <row r="634" spans="1:18" ht="28.8" x14ac:dyDescent="0.3">
      <c r="A634" s="6" t="s">
        <v>3058</v>
      </c>
      <c r="B634" s="7" t="s">
        <v>3059</v>
      </c>
      <c r="C634" s="17" t="s">
        <v>3044</v>
      </c>
      <c r="D634" s="17"/>
      <c r="E634" s="8">
        <v>16862</v>
      </c>
      <c r="F634" s="9">
        <v>76</v>
      </c>
      <c r="G634" s="6" t="s">
        <v>3060</v>
      </c>
      <c r="H634" s="7" t="s">
        <v>39</v>
      </c>
      <c r="I634" s="6" t="s">
        <v>176</v>
      </c>
      <c r="J634" s="7" t="s">
        <v>41</v>
      </c>
      <c r="K634" s="7" t="s">
        <v>26</v>
      </c>
      <c r="L634" s="9">
        <v>68</v>
      </c>
      <c r="M634" s="10">
        <v>4.5499999999999999E-2</v>
      </c>
      <c r="N634" s="6" t="s">
        <v>3061</v>
      </c>
      <c r="O634" s="11">
        <v>4800</v>
      </c>
      <c r="P634" s="11"/>
      <c r="Q634" s="18">
        <v>600</v>
      </c>
      <c r="R634" s="19"/>
    </row>
    <row r="635" spans="1:18" ht="28.8" hidden="1" x14ac:dyDescent="0.3">
      <c r="A635" s="6" t="s">
        <v>3062</v>
      </c>
      <c r="B635" s="7" t="s">
        <v>977</v>
      </c>
      <c r="C635" s="17" t="s">
        <v>3044</v>
      </c>
      <c r="D635" s="17"/>
      <c r="E635" s="8">
        <v>17275</v>
      </c>
      <c r="F635" s="9">
        <v>75</v>
      </c>
      <c r="G635" s="6" t="s">
        <v>3064</v>
      </c>
      <c r="H635" s="7" t="s">
        <v>39</v>
      </c>
      <c r="I635" s="6" t="s">
        <v>941</v>
      </c>
      <c r="J635" s="7" t="s">
        <v>20</v>
      </c>
      <c r="K635" s="7" t="s">
        <v>26</v>
      </c>
      <c r="L635" s="6"/>
      <c r="M635" s="10">
        <v>5.8200000000000002E-2</v>
      </c>
      <c r="N635" s="6" t="s">
        <v>3065</v>
      </c>
      <c r="O635" s="11">
        <v>2400</v>
      </c>
      <c r="P635" s="11"/>
      <c r="Q635" s="18">
        <v>300</v>
      </c>
      <c r="R635" s="19"/>
    </row>
    <row r="636" spans="1:18" hidden="1" x14ac:dyDescent="0.3">
      <c r="A636" s="6" t="s">
        <v>3066</v>
      </c>
      <c r="B636" s="7" t="s">
        <v>3067</v>
      </c>
      <c r="C636" s="17" t="s">
        <v>3044</v>
      </c>
      <c r="D636" s="17"/>
      <c r="E636" s="7" t="s">
        <v>3068</v>
      </c>
      <c r="F636" s="9">
        <v>72</v>
      </c>
      <c r="G636" s="6" t="s">
        <v>3069</v>
      </c>
      <c r="H636" s="7" t="s">
        <v>19</v>
      </c>
      <c r="I636" s="6" t="s">
        <v>19</v>
      </c>
      <c r="J636" s="7" t="s">
        <v>20</v>
      </c>
      <c r="K636" s="7"/>
      <c r="L636" s="6"/>
      <c r="M636" s="10">
        <v>5.3999999999999999E-2</v>
      </c>
      <c r="N636" s="6" t="s">
        <v>3070</v>
      </c>
      <c r="O636" s="6" t="s">
        <v>19</v>
      </c>
      <c r="P636" s="6"/>
      <c r="Q636" s="19" t="s">
        <v>19</v>
      </c>
      <c r="R636" s="19"/>
    </row>
    <row r="637" spans="1:18" ht="43.2" x14ac:dyDescent="0.3">
      <c r="A637" s="6" t="s">
        <v>3071</v>
      </c>
      <c r="B637" s="7" t="s">
        <v>3072</v>
      </c>
      <c r="C637" s="17" t="s">
        <v>3073</v>
      </c>
      <c r="D637" s="17"/>
      <c r="E637" s="8">
        <v>17688</v>
      </c>
      <c r="F637" s="9">
        <v>74</v>
      </c>
      <c r="G637" s="6" t="s">
        <v>3074</v>
      </c>
      <c r="H637" s="7" t="s">
        <v>39</v>
      </c>
      <c r="I637" s="6" t="s">
        <v>100</v>
      </c>
      <c r="J637" s="7" t="s">
        <v>41</v>
      </c>
      <c r="K637" s="7" t="s">
        <v>26</v>
      </c>
      <c r="L637" s="9">
        <v>60</v>
      </c>
      <c r="M637" s="10">
        <v>3.3300000000000003E-2</v>
      </c>
      <c r="N637" s="6" t="s">
        <v>3075</v>
      </c>
      <c r="O637" s="11">
        <v>48000</v>
      </c>
      <c r="P637" s="11"/>
      <c r="Q637" s="18">
        <v>6000</v>
      </c>
      <c r="R637" s="19"/>
    </row>
    <row r="638" spans="1:18" ht="43.2" hidden="1" x14ac:dyDescent="0.3">
      <c r="A638" s="6" t="s">
        <v>3076</v>
      </c>
      <c r="B638" s="7" t="s">
        <v>3077</v>
      </c>
      <c r="C638" s="17" t="s">
        <v>3073</v>
      </c>
      <c r="D638" s="17"/>
      <c r="E638" s="8">
        <v>16618</v>
      </c>
      <c r="F638" s="9">
        <v>77</v>
      </c>
      <c r="G638" s="6" t="s">
        <v>3078</v>
      </c>
      <c r="H638" s="7" t="s">
        <v>39</v>
      </c>
      <c r="I638" s="6" t="s">
        <v>47</v>
      </c>
      <c r="J638" s="7" t="s">
        <v>20</v>
      </c>
      <c r="K638" s="7" t="s">
        <v>26</v>
      </c>
      <c r="L638" s="6"/>
      <c r="M638" s="10">
        <v>6.1699999999999998E-2</v>
      </c>
      <c r="N638" s="6" t="s">
        <v>3079</v>
      </c>
      <c r="O638" s="11">
        <v>8000</v>
      </c>
      <c r="P638" s="11"/>
      <c r="Q638" s="18">
        <v>1000</v>
      </c>
      <c r="R638" s="19"/>
    </row>
    <row r="639" spans="1:18" hidden="1" x14ac:dyDescent="0.3">
      <c r="A639" s="6" t="s">
        <v>3080</v>
      </c>
      <c r="B639" s="7" t="s">
        <v>753</v>
      </c>
      <c r="C639" s="17" t="s">
        <v>3081</v>
      </c>
      <c r="D639" s="17"/>
      <c r="E639" s="8">
        <v>17506</v>
      </c>
      <c r="F639" s="9">
        <v>75</v>
      </c>
      <c r="G639" s="6" t="s">
        <v>3082</v>
      </c>
      <c r="H639" s="7" t="s">
        <v>25</v>
      </c>
      <c r="I639" s="6"/>
      <c r="J639" s="7" t="s">
        <v>20</v>
      </c>
      <c r="K639" s="7" t="s">
        <v>32</v>
      </c>
      <c r="L639" s="6"/>
      <c r="M639" s="10">
        <v>5.8200000000000002E-2</v>
      </c>
      <c r="N639" s="6" t="s">
        <v>3083</v>
      </c>
      <c r="O639" s="11">
        <v>26780.38</v>
      </c>
      <c r="P639" s="11"/>
      <c r="Q639" s="18">
        <v>26780.38</v>
      </c>
      <c r="R639" s="19"/>
    </row>
    <row r="640" spans="1:18" ht="28.8" hidden="1" x14ac:dyDescent="0.3">
      <c r="A640" s="6" t="s">
        <v>3084</v>
      </c>
      <c r="B640" s="7" t="s">
        <v>2847</v>
      </c>
      <c r="C640" s="17" t="s">
        <v>3085</v>
      </c>
      <c r="D640" s="17"/>
      <c r="E640" s="7" t="s">
        <v>3086</v>
      </c>
      <c r="F640" s="9">
        <v>74</v>
      </c>
      <c r="G640" s="6" t="s">
        <v>3087</v>
      </c>
      <c r="H640" s="7" t="s">
        <v>19</v>
      </c>
      <c r="I640" s="6" t="s">
        <v>19</v>
      </c>
      <c r="J640" s="7" t="s">
        <v>20</v>
      </c>
      <c r="K640" s="7"/>
      <c r="L640" s="6"/>
      <c r="M640" s="10">
        <v>5.67E-2</v>
      </c>
      <c r="N640" s="6" t="s">
        <v>3088</v>
      </c>
      <c r="O640" s="6" t="s">
        <v>19</v>
      </c>
      <c r="P640" s="6"/>
      <c r="Q640" s="19" t="s">
        <v>19</v>
      </c>
      <c r="R640" s="19"/>
    </row>
    <row r="641" spans="1:18" ht="28.8" hidden="1" x14ac:dyDescent="0.3">
      <c r="A641" s="6" t="s">
        <v>3089</v>
      </c>
      <c r="B641" s="7" t="s">
        <v>3015</v>
      </c>
      <c r="C641" s="17" t="s">
        <v>3085</v>
      </c>
      <c r="D641" s="17"/>
      <c r="E641" s="8">
        <v>18379</v>
      </c>
      <c r="F641" s="9">
        <v>72</v>
      </c>
      <c r="G641" s="6" t="s">
        <v>3090</v>
      </c>
      <c r="H641" s="7" t="s">
        <v>39</v>
      </c>
      <c r="I641" s="6" t="s">
        <v>237</v>
      </c>
      <c r="J641" s="7" t="s">
        <v>20</v>
      </c>
      <c r="K641" s="7" t="s">
        <v>26</v>
      </c>
      <c r="L641" s="6"/>
      <c r="M641" s="10">
        <v>5.3999999999999999E-2</v>
      </c>
      <c r="N641" s="6" t="s">
        <v>3091</v>
      </c>
      <c r="O641" s="11">
        <v>7200</v>
      </c>
      <c r="P641" s="11"/>
      <c r="Q641" s="18">
        <v>900</v>
      </c>
      <c r="R641" s="19"/>
    </row>
    <row r="642" spans="1:18" ht="43.2" hidden="1" x14ac:dyDescent="0.3">
      <c r="A642" s="6" t="s">
        <v>3092</v>
      </c>
      <c r="B642" s="7" t="s">
        <v>1125</v>
      </c>
      <c r="C642" s="17" t="s">
        <v>3085</v>
      </c>
      <c r="D642" s="17"/>
      <c r="E642" s="8">
        <v>18094</v>
      </c>
      <c r="F642" s="9">
        <v>73</v>
      </c>
      <c r="G642" s="6" t="s">
        <v>3093</v>
      </c>
      <c r="H642" s="7" t="s">
        <v>39</v>
      </c>
      <c r="I642" s="6" t="s">
        <v>432</v>
      </c>
      <c r="J642" s="7" t="s">
        <v>20</v>
      </c>
      <c r="K642" s="7" t="s">
        <v>26</v>
      </c>
      <c r="L642" s="6"/>
      <c r="M642" s="10">
        <v>5.5300000000000002E-2</v>
      </c>
      <c r="N642" s="6" t="s">
        <v>3094</v>
      </c>
      <c r="O642" s="11">
        <v>19200</v>
      </c>
      <c r="P642" s="11"/>
      <c r="Q642" s="18">
        <v>2400</v>
      </c>
      <c r="R642" s="19"/>
    </row>
    <row r="643" spans="1:18" ht="43.2" hidden="1" x14ac:dyDescent="0.3">
      <c r="A643" s="6" t="s">
        <v>3095</v>
      </c>
      <c r="B643" s="7" t="s">
        <v>1089</v>
      </c>
      <c r="C643" s="17" t="s">
        <v>3096</v>
      </c>
      <c r="D643" s="17"/>
      <c r="E643" s="8">
        <v>17140</v>
      </c>
      <c r="F643" s="9">
        <v>76</v>
      </c>
      <c r="G643" s="6" t="s">
        <v>3097</v>
      </c>
      <c r="H643" s="7" t="s">
        <v>39</v>
      </c>
      <c r="I643" s="6" t="s">
        <v>122</v>
      </c>
      <c r="J643" s="7" t="s">
        <v>20</v>
      </c>
      <c r="K643" s="7" t="s">
        <v>26</v>
      </c>
      <c r="L643" s="6"/>
      <c r="M643" s="10">
        <v>5.9799999999999999E-2</v>
      </c>
      <c r="N643" s="6" t="s">
        <v>3098</v>
      </c>
      <c r="O643" s="11">
        <v>16000</v>
      </c>
      <c r="P643" s="11"/>
      <c r="Q643" s="18">
        <v>2000</v>
      </c>
      <c r="R643" s="19"/>
    </row>
    <row r="644" spans="1:18" ht="43.2" hidden="1" x14ac:dyDescent="0.3">
      <c r="A644" s="6" t="s">
        <v>3099</v>
      </c>
      <c r="B644" s="7" t="s">
        <v>3100</v>
      </c>
      <c r="C644" s="17" t="s">
        <v>342</v>
      </c>
      <c r="D644" s="17"/>
      <c r="E644" s="7" t="s">
        <v>3101</v>
      </c>
      <c r="F644" s="9">
        <v>73</v>
      </c>
      <c r="G644" s="6" t="s">
        <v>3102</v>
      </c>
      <c r="H644" s="7" t="s">
        <v>39</v>
      </c>
      <c r="I644" s="6" t="s">
        <v>2151</v>
      </c>
      <c r="J644" s="7" t="s">
        <v>20</v>
      </c>
      <c r="K644" s="7" t="s">
        <v>32</v>
      </c>
      <c r="L644" s="6"/>
      <c r="M644" s="10">
        <v>5.5300000000000002E-2</v>
      </c>
      <c r="N644" s="6" t="s">
        <v>3103</v>
      </c>
      <c r="O644" s="6" t="s">
        <v>19</v>
      </c>
      <c r="P644" s="6"/>
      <c r="Q644" s="19" t="s">
        <v>19</v>
      </c>
      <c r="R644" s="19"/>
    </row>
    <row r="645" spans="1:18" ht="28.8" hidden="1" x14ac:dyDescent="0.3">
      <c r="A645" s="6" t="s">
        <v>3104</v>
      </c>
      <c r="B645" s="7" t="s">
        <v>3105</v>
      </c>
      <c r="C645" s="17" t="s">
        <v>3106</v>
      </c>
      <c r="D645" s="17"/>
      <c r="E645" s="8">
        <v>16879</v>
      </c>
      <c r="F645" s="9">
        <v>76</v>
      </c>
      <c r="G645" s="6" t="s">
        <v>3107</v>
      </c>
      <c r="H645" s="7" t="s">
        <v>39</v>
      </c>
      <c r="I645" s="6" t="s">
        <v>67</v>
      </c>
      <c r="J645" s="7" t="s">
        <v>20</v>
      </c>
      <c r="K645" s="7" t="s">
        <v>26</v>
      </c>
      <c r="L645" s="6"/>
      <c r="M645" s="10">
        <v>5.9799999999999999E-2</v>
      </c>
      <c r="N645" s="6" t="s">
        <v>3108</v>
      </c>
      <c r="O645" s="11">
        <v>6400</v>
      </c>
      <c r="P645" s="11"/>
      <c r="Q645" s="18">
        <v>800</v>
      </c>
      <c r="R645" s="19"/>
    </row>
    <row r="646" spans="1:18" ht="28.8" x14ac:dyDescent="0.3">
      <c r="A646" s="6" t="s">
        <v>3109</v>
      </c>
      <c r="B646" s="7" t="s">
        <v>2224</v>
      </c>
      <c r="C646" s="17" t="s">
        <v>3110</v>
      </c>
      <c r="D646" s="17"/>
      <c r="E646" s="8">
        <v>16614</v>
      </c>
      <c r="F646" s="9">
        <v>77</v>
      </c>
      <c r="G646" s="6" t="s">
        <v>3111</v>
      </c>
      <c r="H646" s="7" t="s">
        <v>39</v>
      </c>
      <c r="I646" s="6" t="s">
        <v>681</v>
      </c>
      <c r="J646" s="7" t="s">
        <v>41</v>
      </c>
      <c r="K646" s="7" t="s">
        <v>26</v>
      </c>
      <c r="L646" s="9">
        <v>71</v>
      </c>
      <c r="M646" s="10">
        <v>5.28E-2</v>
      </c>
      <c r="N646" s="6" t="s">
        <v>3112</v>
      </c>
      <c r="O646" s="11">
        <v>5600</v>
      </c>
      <c r="P646" s="11"/>
      <c r="Q646" s="18">
        <v>700</v>
      </c>
      <c r="R646" s="19"/>
    </row>
    <row r="647" spans="1:18" hidden="1" x14ac:dyDescent="0.3">
      <c r="A647" s="6" t="s">
        <v>3113</v>
      </c>
      <c r="B647" s="7" t="s">
        <v>3114</v>
      </c>
      <c r="C647" s="17" t="s">
        <v>3115</v>
      </c>
      <c r="D647" s="17"/>
      <c r="E647" s="8">
        <v>18291</v>
      </c>
      <c r="F647" s="9">
        <v>72</v>
      </c>
      <c r="G647" s="6" t="s">
        <v>3116</v>
      </c>
      <c r="H647" s="7" t="s">
        <v>25</v>
      </c>
      <c r="I647" s="6"/>
      <c r="J647" s="7" t="s">
        <v>20</v>
      </c>
      <c r="K647" s="7" t="s">
        <v>26</v>
      </c>
      <c r="L647" s="6"/>
      <c r="M647" s="10">
        <v>5.3999999999999999E-2</v>
      </c>
      <c r="N647" s="6" t="s">
        <v>3117</v>
      </c>
      <c r="O647" s="11">
        <v>100</v>
      </c>
      <c r="P647" s="11"/>
      <c r="Q647" s="18">
        <v>33.35</v>
      </c>
      <c r="R647" s="19"/>
    </row>
    <row r="648" spans="1:18" ht="43.2" hidden="1" x14ac:dyDescent="0.3">
      <c r="A648" s="6" t="s">
        <v>3118</v>
      </c>
      <c r="B648" s="7" t="s">
        <v>2101</v>
      </c>
      <c r="C648" s="17" t="s">
        <v>3119</v>
      </c>
      <c r="D648" s="17"/>
      <c r="E648" s="8">
        <v>17900</v>
      </c>
      <c r="F648" s="9">
        <v>73</v>
      </c>
      <c r="G648" s="6" t="s">
        <v>3120</v>
      </c>
      <c r="H648" s="7" t="s">
        <v>39</v>
      </c>
      <c r="I648" s="6" t="s">
        <v>522</v>
      </c>
      <c r="J648" s="7" t="s">
        <v>20</v>
      </c>
      <c r="K648" s="7" t="s">
        <v>26</v>
      </c>
      <c r="L648" s="6"/>
      <c r="M648" s="10">
        <v>5.5300000000000002E-2</v>
      </c>
      <c r="N648" s="6" t="s">
        <v>3121</v>
      </c>
      <c r="O648" s="11">
        <v>28800</v>
      </c>
      <c r="P648" s="11"/>
      <c r="Q648" s="18">
        <v>3600</v>
      </c>
      <c r="R648" s="19"/>
    </row>
    <row r="649" spans="1:18" ht="43.2" hidden="1" x14ac:dyDescent="0.3">
      <c r="A649" s="6" t="s">
        <v>3122</v>
      </c>
      <c r="B649" s="7" t="s">
        <v>3123</v>
      </c>
      <c r="C649" s="17" t="s">
        <v>3124</v>
      </c>
      <c r="D649" s="17"/>
      <c r="E649" s="8">
        <v>17818</v>
      </c>
      <c r="F649" s="9">
        <v>74</v>
      </c>
      <c r="G649" s="6" t="s">
        <v>3125</v>
      </c>
      <c r="H649" s="7" t="s">
        <v>39</v>
      </c>
      <c r="I649" s="6" t="s">
        <v>132</v>
      </c>
      <c r="J649" s="7" t="s">
        <v>20</v>
      </c>
      <c r="K649" s="7" t="s">
        <v>26</v>
      </c>
      <c r="L649" s="6"/>
      <c r="M649" s="10">
        <v>5.67E-2</v>
      </c>
      <c r="N649" s="6" t="s">
        <v>3126</v>
      </c>
      <c r="O649" s="11">
        <v>12000</v>
      </c>
      <c r="P649" s="11"/>
      <c r="Q649" s="18">
        <v>346.07</v>
      </c>
      <c r="R649" s="19"/>
    </row>
    <row r="650" spans="1:18" hidden="1" x14ac:dyDescent="0.3">
      <c r="A650" s="6" t="s">
        <v>3127</v>
      </c>
      <c r="B650" s="7" t="s">
        <v>3128</v>
      </c>
      <c r="C650" s="17" t="s">
        <v>3129</v>
      </c>
      <c r="D650" s="17"/>
      <c r="E650" s="7" t="s">
        <v>3130</v>
      </c>
      <c r="F650" s="9">
        <v>73</v>
      </c>
      <c r="G650" s="6" t="s">
        <v>3131</v>
      </c>
      <c r="H650" s="7" t="s">
        <v>25</v>
      </c>
      <c r="I650" s="6" t="s">
        <v>19</v>
      </c>
      <c r="J650" s="7" t="s">
        <v>20</v>
      </c>
      <c r="K650" s="7" t="s">
        <v>32</v>
      </c>
      <c r="L650" s="6"/>
      <c r="M650" s="10">
        <v>5.5300000000000002E-2</v>
      </c>
      <c r="N650" s="6" t="s">
        <v>3132</v>
      </c>
      <c r="O650" s="6" t="s">
        <v>19</v>
      </c>
      <c r="P650" s="6"/>
      <c r="Q650" s="19" t="s">
        <v>19</v>
      </c>
      <c r="R650" s="19"/>
    </row>
    <row r="651" spans="1:18" ht="43.2" hidden="1" x14ac:dyDescent="0.3">
      <c r="A651" s="6" t="s">
        <v>3133</v>
      </c>
      <c r="B651" s="7" t="s">
        <v>3134</v>
      </c>
      <c r="C651" s="17" t="s">
        <v>3135</v>
      </c>
      <c r="D651" s="17"/>
      <c r="E651" s="7" t="s">
        <v>1195</v>
      </c>
      <c r="F651" s="9">
        <v>75</v>
      </c>
      <c r="G651" s="6" t="s">
        <v>3136</v>
      </c>
      <c r="H651" s="7" t="s">
        <v>39</v>
      </c>
      <c r="I651" s="6" t="s">
        <v>243</v>
      </c>
      <c r="J651" s="7" t="s">
        <v>41</v>
      </c>
      <c r="K651" s="7" t="s">
        <v>26</v>
      </c>
      <c r="L651" s="9">
        <v>73</v>
      </c>
      <c r="M651" s="10">
        <v>5.5300000000000002E-2</v>
      </c>
      <c r="N651" s="6" t="s">
        <v>3137</v>
      </c>
      <c r="O651" s="6" t="s">
        <v>19</v>
      </c>
      <c r="P651" s="6"/>
      <c r="Q651" s="19" t="s">
        <v>19</v>
      </c>
      <c r="R651" s="19"/>
    </row>
    <row r="652" spans="1:18" ht="28.8" hidden="1" x14ac:dyDescent="0.3">
      <c r="A652" s="6" t="s">
        <v>3138</v>
      </c>
      <c r="B652" s="7" t="s">
        <v>210</v>
      </c>
      <c r="C652" s="17" t="s">
        <v>3139</v>
      </c>
      <c r="D652" s="17"/>
      <c r="E652" s="8">
        <v>17624</v>
      </c>
      <c r="F652" s="9">
        <v>74</v>
      </c>
      <c r="G652" s="6" t="s">
        <v>3140</v>
      </c>
      <c r="H652" s="7" t="s">
        <v>39</v>
      </c>
      <c r="I652" s="6" t="s">
        <v>2681</v>
      </c>
      <c r="J652" s="7" t="s">
        <v>20</v>
      </c>
      <c r="K652" s="7" t="s">
        <v>26</v>
      </c>
      <c r="L652" s="6"/>
      <c r="M652" s="10">
        <v>5.67E-2</v>
      </c>
      <c r="N652" s="6" t="s">
        <v>3141</v>
      </c>
      <c r="O652" s="11">
        <v>4400</v>
      </c>
      <c r="P652" s="11"/>
      <c r="Q652" s="18">
        <v>550</v>
      </c>
      <c r="R652" s="19"/>
    </row>
    <row r="653" spans="1:18" ht="28.8" x14ac:dyDescent="0.3">
      <c r="A653" s="6" t="s">
        <v>3142</v>
      </c>
      <c r="B653" s="7" t="s">
        <v>830</v>
      </c>
      <c r="C653" s="17" t="s">
        <v>3143</v>
      </c>
      <c r="D653" s="17"/>
      <c r="E653" s="8">
        <v>18430</v>
      </c>
      <c r="F653" s="9">
        <v>72</v>
      </c>
      <c r="G653" s="6" t="s">
        <v>3144</v>
      </c>
      <c r="H653" s="7" t="s">
        <v>39</v>
      </c>
      <c r="I653" s="6" t="s">
        <v>67</v>
      </c>
      <c r="J653" s="7" t="s">
        <v>41</v>
      </c>
      <c r="K653" s="7" t="s">
        <v>26</v>
      </c>
      <c r="L653" s="9">
        <v>61</v>
      </c>
      <c r="M653" s="10">
        <v>3.4500000000000003E-2</v>
      </c>
      <c r="N653" s="6" t="s">
        <v>3145</v>
      </c>
      <c r="O653" s="11">
        <v>6400</v>
      </c>
      <c r="P653" s="11"/>
      <c r="Q653" s="18">
        <v>800</v>
      </c>
      <c r="R653" s="19"/>
    </row>
    <row r="654" spans="1:18" hidden="1" x14ac:dyDescent="0.3">
      <c r="A654" s="6" t="s">
        <v>3146</v>
      </c>
      <c r="B654" s="7" t="s">
        <v>3147</v>
      </c>
      <c r="C654" s="17" t="s">
        <v>3148</v>
      </c>
      <c r="D654" s="17"/>
      <c r="E654" s="8">
        <v>17084</v>
      </c>
      <c r="F654" s="9">
        <v>76</v>
      </c>
      <c r="G654" s="6" t="s">
        <v>3149</v>
      </c>
      <c r="H654" s="7" t="s">
        <v>25</v>
      </c>
      <c r="I654" s="6"/>
      <c r="J654" s="7" t="s">
        <v>20</v>
      </c>
      <c r="K654" s="7" t="s">
        <v>26</v>
      </c>
      <c r="L654" s="6"/>
      <c r="M654" s="10">
        <v>5.9799999999999999E-2</v>
      </c>
      <c r="N654" s="6" t="s">
        <v>3150</v>
      </c>
      <c r="O654" s="11">
        <v>16693.919999999998</v>
      </c>
      <c r="P654" s="11"/>
      <c r="Q654" s="18">
        <v>2086.7399999999998</v>
      </c>
      <c r="R654" s="19"/>
    </row>
    <row r="655" spans="1:18" ht="43.2" x14ac:dyDescent="0.3">
      <c r="A655" s="6" t="s">
        <v>3151</v>
      </c>
      <c r="B655" s="7" t="s">
        <v>29</v>
      </c>
      <c r="C655" s="17" t="s">
        <v>3152</v>
      </c>
      <c r="D655" s="17"/>
      <c r="E655" s="8">
        <v>17821</v>
      </c>
      <c r="F655" s="9">
        <v>74</v>
      </c>
      <c r="G655" s="6" t="s">
        <v>3153</v>
      </c>
      <c r="H655" s="7" t="s">
        <v>39</v>
      </c>
      <c r="I655" s="6" t="s">
        <v>3154</v>
      </c>
      <c r="J655" s="7" t="s">
        <v>41</v>
      </c>
      <c r="K655" s="7" t="s">
        <v>26</v>
      </c>
      <c r="L655" s="9">
        <v>70</v>
      </c>
      <c r="M655" s="10">
        <v>0.05</v>
      </c>
      <c r="N655" s="6" t="s">
        <v>3155</v>
      </c>
      <c r="O655" s="11">
        <v>27520</v>
      </c>
      <c r="P655" s="11"/>
      <c r="Q655" s="18">
        <v>3440</v>
      </c>
      <c r="R655" s="19"/>
    </row>
    <row r="656" spans="1:18" hidden="1" x14ac:dyDescent="0.3">
      <c r="A656" s="6" t="s">
        <v>3156</v>
      </c>
      <c r="B656" s="7" t="s">
        <v>224</v>
      </c>
      <c r="C656" s="17" t="s">
        <v>3152</v>
      </c>
      <c r="D656" s="17"/>
      <c r="E656" s="7" t="s">
        <v>3157</v>
      </c>
      <c r="F656" s="9">
        <v>74</v>
      </c>
      <c r="G656" s="6" t="s">
        <v>3158</v>
      </c>
      <c r="H656" s="7" t="s">
        <v>25</v>
      </c>
      <c r="I656" s="6" t="s">
        <v>19</v>
      </c>
      <c r="J656" s="7" t="s">
        <v>20</v>
      </c>
      <c r="K656" s="7" t="s">
        <v>26</v>
      </c>
      <c r="L656" s="6"/>
      <c r="M656" s="10">
        <v>5.67E-2</v>
      </c>
      <c r="N656" s="6" t="s">
        <v>3159</v>
      </c>
      <c r="O656" s="6" t="s">
        <v>19</v>
      </c>
      <c r="P656" s="6"/>
      <c r="Q656" s="19" t="s">
        <v>19</v>
      </c>
      <c r="R656" s="19"/>
    </row>
    <row r="657" spans="1:18" hidden="1" x14ac:dyDescent="0.3">
      <c r="A657" s="6" t="s">
        <v>3160</v>
      </c>
      <c r="B657" s="7" t="s">
        <v>3161</v>
      </c>
      <c r="C657" s="17" t="s">
        <v>3162</v>
      </c>
      <c r="D657" s="17"/>
      <c r="E657" s="7" t="s">
        <v>623</v>
      </c>
      <c r="F657" s="9">
        <v>72</v>
      </c>
      <c r="G657" s="6" t="s">
        <v>3163</v>
      </c>
      <c r="H657" s="7" t="s">
        <v>25</v>
      </c>
      <c r="I657" s="6" t="s">
        <v>19</v>
      </c>
      <c r="J657" s="7" t="s">
        <v>20</v>
      </c>
      <c r="K657" s="7" t="s">
        <v>32</v>
      </c>
      <c r="L657" s="6"/>
      <c r="M657" s="10">
        <v>5.3999999999999999E-2</v>
      </c>
      <c r="N657" s="6" t="s">
        <v>3164</v>
      </c>
      <c r="O657" s="6" t="s">
        <v>19</v>
      </c>
      <c r="P657" s="6"/>
      <c r="Q657" s="19" t="s">
        <v>19</v>
      </c>
      <c r="R657" s="19"/>
    </row>
    <row r="658" spans="1:18" hidden="1" x14ac:dyDescent="0.3">
      <c r="A658" s="6" t="s">
        <v>3165</v>
      </c>
      <c r="B658" s="7" t="s">
        <v>140</v>
      </c>
      <c r="C658" s="17" t="s">
        <v>3166</v>
      </c>
      <c r="D658" s="17"/>
      <c r="E658" s="7" t="s">
        <v>3167</v>
      </c>
      <c r="F658" s="9">
        <v>75</v>
      </c>
      <c r="G658" s="6" t="s">
        <v>3168</v>
      </c>
      <c r="H658" s="7" t="s">
        <v>25</v>
      </c>
      <c r="I658" s="6" t="s">
        <v>19</v>
      </c>
      <c r="J658" s="7" t="s">
        <v>20</v>
      </c>
      <c r="K658" s="7" t="s">
        <v>26</v>
      </c>
      <c r="L658" s="6"/>
      <c r="M658" s="10">
        <v>5.8200000000000002E-2</v>
      </c>
      <c r="N658" s="6" t="s">
        <v>3169</v>
      </c>
      <c r="O658" s="6" t="s">
        <v>19</v>
      </c>
      <c r="P658" s="6"/>
      <c r="Q658" s="19" t="s">
        <v>19</v>
      </c>
      <c r="R658" s="19"/>
    </row>
    <row r="659" spans="1:18" ht="28.8" x14ac:dyDescent="0.3">
      <c r="A659" s="6" t="s">
        <v>3170</v>
      </c>
      <c r="B659" s="7" t="s">
        <v>3171</v>
      </c>
      <c r="C659" s="17" t="s">
        <v>3172</v>
      </c>
      <c r="D659" s="17"/>
      <c r="E659" s="8">
        <v>17470</v>
      </c>
      <c r="F659" s="9">
        <v>75</v>
      </c>
      <c r="G659" s="6" t="s">
        <v>3173</v>
      </c>
      <c r="H659" s="7" t="s">
        <v>39</v>
      </c>
      <c r="I659" s="6" t="s">
        <v>3174</v>
      </c>
      <c r="J659" s="7" t="s">
        <v>41</v>
      </c>
      <c r="K659" s="7" t="s">
        <v>26</v>
      </c>
      <c r="L659" s="9">
        <v>65</v>
      </c>
      <c r="M659" s="10">
        <v>0.04</v>
      </c>
      <c r="N659" s="6" t="s">
        <v>3175</v>
      </c>
      <c r="O659" s="11">
        <v>6664</v>
      </c>
      <c r="P659" s="11"/>
      <c r="Q659" s="18">
        <v>833</v>
      </c>
      <c r="R659" s="19"/>
    </row>
    <row r="660" spans="1:18" ht="28.8" hidden="1" x14ac:dyDescent="0.3">
      <c r="A660" s="6" t="s">
        <v>3176</v>
      </c>
      <c r="B660" s="7" t="s">
        <v>29</v>
      </c>
      <c r="C660" s="17" t="s">
        <v>3177</v>
      </c>
      <c r="D660" s="17"/>
      <c r="E660" s="8">
        <v>18055</v>
      </c>
      <c r="F660" s="9">
        <v>73</v>
      </c>
      <c r="G660" s="6" t="s">
        <v>3178</v>
      </c>
      <c r="H660" s="7" t="s">
        <v>39</v>
      </c>
      <c r="I660" s="6" t="s">
        <v>3179</v>
      </c>
      <c r="J660" s="7" t="s">
        <v>20</v>
      </c>
      <c r="K660" s="7" t="s">
        <v>26</v>
      </c>
      <c r="L660" s="6"/>
      <c r="M660" s="10">
        <v>5.5300000000000002E-2</v>
      </c>
      <c r="N660" s="6" t="s">
        <v>3180</v>
      </c>
      <c r="O660" s="11">
        <v>5440</v>
      </c>
      <c r="P660" s="11"/>
      <c r="Q660" s="18">
        <v>680</v>
      </c>
      <c r="R660" s="19"/>
    </row>
    <row r="661" spans="1:18" ht="28.8" hidden="1" x14ac:dyDescent="0.3">
      <c r="A661" s="6" t="s">
        <v>3181</v>
      </c>
      <c r="B661" s="7" t="s">
        <v>140</v>
      </c>
      <c r="C661" s="17" t="s">
        <v>3182</v>
      </c>
      <c r="D661" s="17"/>
      <c r="E661" s="8">
        <v>17493</v>
      </c>
      <c r="F661" s="9">
        <v>75</v>
      </c>
      <c r="G661" s="6" t="s">
        <v>3183</v>
      </c>
      <c r="H661" s="7" t="s">
        <v>39</v>
      </c>
      <c r="I661" s="6" t="s">
        <v>3184</v>
      </c>
      <c r="J661" s="7" t="s">
        <v>20</v>
      </c>
      <c r="K661" s="7" t="s">
        <v>26</v>
      </c>
      <c r="L661" s="6"/>
      <c r="M661" s="10">
        <v>5.8200000000000002E-2</v>
      </c>
      <c r="N661" s="6" t="s">
        <v>3185</v>
      </c>
      <c r="O661" s="11">
        <v>7600</v>
      </c>
      <c r="P661" s="11"/>
      <c r="Q661" s="18">
        <v>950</v>
      </c>
      <c r="R661" s="19"/>
    </row>
    <row r="662" spans="1:18" hidden="1" x14ac:dyDescent="0.3">
      <c r="A662" s="6" t="s">
        <v>3186</v>
      </c>
      <c r="B662" s="7" t="s">
        <v>918</v>
      </c>
      <c r="C662" s="17" t="s">
        <v>3182</v>
      </c>
      <c r="D662" s="17"/>
      <c r="E662" s="7" t="s">
        <v>3187</v>
      </c>
      <c r="F662" s="9">
        <v>73</v>
      </c>
      <c r="G662" s="6" t="s">
        <v>3188</v>
      </c>
      <c r="H662" s="7" t="s">
        <v>25</v>
      </c>
      <c r="I662" s="6" t="s">
        <v>19</v>
      </c>
      <c r="J662" s="7" t="s">
        <v>20</v>
      </c>
      <c r="K662" s="7" t="s">
        <v>32</v>
      </c>
      <c r="L662" s="6"/>
      <c r="M662" s="10">
        <v>5.5300000000000002E-2</v>
      </c>
      <c r="N662" s="6" t="s">
        <v>3189</v>
      </c>
      <c r="O662" s="6" t="s">
        <v>19</v>
      </c>
      <c r="P662" s="6"/>
      <c r="Q662" s="19" t="s">
        <v>19</v>
      </c>
      <c r="R662" s="19"/>
    </row>
    <row r="663" spans="1:18" ht="28.8" hidden="1" x14ac:dyDescent="0.3">
      <c r="A663" s="6" t="s">
        <v>3190</v>
      </c>
      <c r="B663" s="7" t="s">
        <v>830</v>
      </c>
      <c r="C663" s="17" t="s">
        <v>3191</v>
      </c>
      <c r="D663" s="17"/>
      <c r="E663" s="8">
        <v>17209</v>
      </c>
      <c r="F663" s="9">
        <v>75</v>
      </c>
      <c r="G663" s="6" t="s">
        <v>3192</v>
      </c>
      <c r="H663" s="7" t="s">
        <v>39</v>
      </c>
      <c r="I663" s="6" t="s">
        <v>3193</v>
      </c>
      <c r="J663" s="7" t="s">
        <v>20</v>
      </c>
      <c r="K663" s="7" t="s">
        <v>26</v>
      </c>
      <c r="L663" s="6"/>
      <c r="M663" s="10">
        <v>5.8200000000000002E-2</v>
      </c>
      <c r="N663" s="6" t="s">
        <v>3194</v>
      </c>
      <c r="O663" s="11">
        <v>3400</v>
      </c>
      <c r="P663" s="11"/>
      <c r="Q663" s="18">
        <v>425</v>
      </c>
      <c r="R663" s="19"/>
    </row>
    <row r="664" spans="1:18" hidden="1" x14ac:dyDescent="0.3">
      <c r="A664" s="6" t="s">
        <v>3195</v>
      </c>
      <c r="B664" s="7" t="s">
        <v>753</v>
      </c>
      <c r="C664" s="17" t="s">
        <v>3196</v>
      </c>
      <c r="D664" s="17"/>
      <c r="E664" s="7" t="s">
        <v>3197</v>
      </c>
      <c r="F664" s="9">
        <v>76</v>
      </c>
      <c r="G664" s="6" t="s">
        <v>3198</v>
      </c>
      <c r="H664" s="7" t="s">
        <v>25</v>
      </c>
      <c r="I664" s="6" t="s">
        <v>19</v>
      </c>
      <c r="J664" s="7" t="s">
        <v>20</v>
      </c>
      <c r="K664" s="7" t="s">
        <v>26</v>
      </c>
      <c r="L664" s="6"/>
      <c r="M664" s="10">
        <v>5.9799999999999999E-2</v>
      </c>
      <c r="N664" s="6" t="s">
        <v>3199</v>
      </c>
      <c r="O664" s="6" t="s">
        <v>19</v>
      </c>
      <c r="P664" s="6"/>
      <c r="Q664" s="19" t="s">
        <v>19</v>
      </c>
      <c r="R664" s="19"/>
    </row>
    <row r="665" spans="1:18" hidden="1" x14ac:dyDescent="0.3">
      <c r="A665" s="6" t="s">
        <v>3200</v>
      </c>
      <c r="B665" s="7" t="s">
        <v>3015</v>
      </c>
      <c r="C665" s="17" t="s">
        <v>3201</v>
      </c>
      <c r="D665" s="17"/>
      <c r="E665" s="8">
        <v>17523</v>
      </c>
      <c r="F665" s="9">
        <v>75</v>
      </c>
      <c r="G665" s="6" t="s">
        <v>3202</v>
      </c>
      <c r="H665" s="7" t="s">
        <v>25</v>
      </c>
      <c r="I665" s="6"/>
      <c r="J665" s="7" t="s">
        <v>20</v>
      </c>
      <c r="K665" s="7" t="s">
        <v>26</v>
      </c>
      <c r="L665" s="6"/>
      <c r="M665" s="10">
        <v>5.8200000000000002E-2</v>
      </c>
      <c r="N665" s="6" t="s">
        <v>3203</v>
      </c>
      <c r="O665" s="11">
        <v>25040.240000000002</v>
      </c>
      <c r="P665" s="11"/>
      <c r="Q665" s="18">
        <v>3130.03</v>
      </c>
      <c r="R665" s="19"/>
    </row>
    <row r="666" spans="1:18" ht="28.8" hidden="1" x14ac:dyDescent="0.3">
      <c r="A666" s="6" t="s">
        <v>3204</v>
      </c>
      <c r="B666" s="7" t="s">
        <v>1134</v>
      </c>
      <c r="C666" s="17" t="s">
        <v>3205</v>
      </c>
      <c r="D666" s="17"/>
      <c r="E666" s="8">
        <v>17167</v>
      </c>
      <c r="F666" s="9">
        <v>76</v>
      </c>
      <c r="G666" s="6" t="s">
        <v>3207</v>
      </c>
      <c r="H666" s="7" t="s">
        <v>39</v>
      </c>
      <c r="I666" s="6" t="s">
        <v>237</v>
      </c>
      <c r="J666" s="7" t="s">
        <v>20</v>
      </c>
      <c r="K666" s="7" t="s">
        <v>26</v>
      </c>
      <c r="L666" s="6"/>
      <c r="M666" s="10">
        <v>5.9799999999999999E-2</v>
      </c>
      <c r="N666" s="6" t="s">
        <v>3208</v>
      </c>
      <c r="O666" s="11">
        <v>7200</v>
      </c>
      <c r="P666" s="11"/>
      <c r="Q666" s="18">
        <v>900</v>
      </c>
      <c r="R666" s="19"/>
    </row>
    <row r="667" spans="1:18" ht="28.8" hidden="1" x14ac:dyDescent="0.3">
      <c r="A667" s="6" t="s">
        <v>3209</v>
      </c>
      <c r="B667" s="7" t="s">
        <v>129</v>
      </c>
      <c r="C667" s="17" t="s">
        <v>3210</v>
      </c>
      <c r="D667" s="17"/>
      <c r="E667" s="8">
        <v>15587</v>
      </c>
      <c r="F667" s="9">
        <v>80</v>
      </c>
      <c r="G667" s="6" t="s">
        <v>3211</v>
      </c>
      <c r="H667" s="7" t="s">
        <v>39</v>
      </c>
      <c r="I667" s="6" t="s">
        <v>176</v>
      </c>
      <c r="J667" s="7" t="s">
        <v>20</v>
      </c>
      <c r="K667" s="7" t="s">
        <v>26</v>
      </c>
      <c r="L667" s="6"/>
      <c r="M667" s="10">
        <v>6.8199999999999997E-2</v>
      </c>
      <c r="N667" s="6" t="s">
        <v>3212</v>
      </c>
      <c r="O667" s="11">
        <v>24800</v>
      </c>
      <c r="P667" s="11"/>
      <c r="Q667" s="18">
        <v>600</v>
      </c>
      <c r="R667" s="19"/>
    </row>
    <row r="668" spans="1:18" ht="43.2" hidden="1" x14ac:dyDescent="0.3">
      <c r="A668" s="6" t="s">
        <v>3213</v>
      </c>
      <c r="B668" s="7" t="s">
        <v>3214</v>
      </c>
      <c r="C668" s="17" t="s">
        <v>3215</v>
      </c>
      <c r="D668" s="17"/>
      <c r="E668" s="8">
        <v>18273</v>
      </c>
      <c r="F668" s="9">
        <v>72</v>
      </c>
      <c r="G668" s="6" t="s">
        <v>3216</v>
      </c>
      <c r="H668" s="7" t="s">
        <v>39</v>
      </c>
      <c r="I668" s="6" t="s">
        <v>122</v>
      </c>
      <c r="J668" s="7" t="s">
        <v>20</v>
      </c>
      <c r="K668" s="7" t="s">
        <v>26</v>
      </c>
      <c r="L668" s="6"/>
      <c r="M668" s="10">
        <v>5.3999999999999999E-2</v>
      </c>
      <c r="N668" s="6" t="s">
        <v>3217</v>
      </c>
      <c r="O668" s="11">
        <v>16000</v>
      </c>
      <c r="P668" s="11"/>
      <c r="Q668" s="18">
        <v>2000</v>
      </c>
      <c r="R668" s="19"/>
    </row>
    <row r="669" spans="1:18" hidden="1" x14ac:dyDescent="0.3">
      <c r="A669" s="6" t="s">
        <v>3218</v>
      </c>
      <c r="B669" s="7" t="s">
        <v>3219</v>
      </c>
      <c r="C669" s="17" t="s">
        <v>3215</v>
      </c>
      <c r="D669" s="17"/>
      <c r="E669" s="8">
        <v>17059</v>
      </c>
      <c r="F669" s="9">
        <v>76</v>
      </c>
      <c r="G669" s="6" t="s">
        <v>3220</v>
      </c>
      <c r="H669" s="7" t="s">
        <v>25</v>
      </c>
      <c r="I669" s="6"/>
      <c r="J669" s="7" t="s">
        <v>20</v>
      </c>
      <c r="K669" s="7" t="s">
        <v>26</v>
      </c>
      <c r="L669" s="6"/>
      <c r="M669" s="10">
        <v>5.9799999999999999E-2</v>
      </c>
      <c r="N669" s="6" t="s">
        <v>3221</v>
      </c>
      <c r="O669" s="11">
        <v>5884.64</v>
      </c>
      <c r="P669" s="11"/>
      <c r="Q669" s="18">
        <v>735.58</v>
      </c>
      <c r="R669" s="19"/>
    </row>
    <row r="670" spans="1:18" hidden="1" x14ac:dyDescent="0.3">
      <c r="A670" s="6" t="s">
        <v>3222</v>
      </c>
      <c r="B670" s="7" t="s">
        <v>1477</v>
      </c>
      <c r="C670" s="17" t="s">
        <v>3215</v>
      </c>
      <c r="D670" s="17"/>
      <c r="E670" s="8">
        <v>17285</v>
      </c>
      <c r="F670" s="9">
        <v>75</v>
      </c>
      <c r="G670" s="6" t="s">
        <v>3223</v>
      </c>
      <c r="H670" s="7" t="s">
        <v>25</v>
      </c>
      <c r="I670" s="6"/>
      <c r="J670" s="7" t="s">
        <v>20</v>
      </c>
      <c r="K670" s="7" t="s">
        <v>32</v>
      </c>
      <c r="L670" s="6"/>
      <c r="M670" s="10">
        <v>5.8200000000000002E-2</v>
      </c>
      <c r="N670" s="6" t="s">
        <v>3224</v>
      </c>
      <c r="O670" s="11">
        <v>6182.97</v>
      </c>
      <c r="P670" s="11"/>
      <c r="Q670" s="18">
        <v>6182.97</v>
      </c>
      <c r="R670" s="19"/>
    </row>
    <row r="671" spans="1:18" ht="43.2" hidden="1" x14ac:dyDescent="0.3">
      <c r="A671" s="6" t="s">
        <v>3225</v>
      </c>
      <c r="B671" s="7" t="s">
        <v>667</v>
      </c>
      <c r="C671" s="17" t="s">
        <v>3215</v>
      </c>
      <c r="D671" s="17"/>
      <c r="E671" s="8">
        <v>17184</v>
      </c>
      <c r="F671" s="9">
        <v>75</v>
      </c>
      <c r="G671" s="6" t="s">
        <v>3226</v>
      </c>
      <c r="H671" s="7" t="s">
        <v>39</v>
      </c>
      <c r="I671" s="6" t="s">
        <v>1599</v>
      </c>
      <c r="J671" s="7" t="s">
        <v>20</v>
      </c>
      <c r="K671" s="7" t="s">
        <v>26</v>
      </c>
      <c r="L671" s="6"/>
      <c r="M671" s="10">
        <v>5.8200000000000002E-2</v>
      </c>
      <c r="N671" s="6" t="s">
        <v>3227</v>
      </c>
      <c r="O671" s="11">
        <v>16100</v>
      </c>
      <c r="P671" s="11"/>
      <c r="Q671" s="18">
        <v>3200</v>
      </c>
      <c r="R671" s="19"/>
    </row>
    <row r="672" spans="1:18" ht="28.8" hidden="1" x14ac:dyDescent="0.3">
      <c r="A672" s="6" t="s">
        <v>3228</v>
      </c>
      <c r="B672" s="7" t="s">
        <v>3229</v>
      </c>
      <c r="C672" s="17" t="s">
        <v>3215</v>
      </c>
      <c r="D672" s="17"/>
      <c r="E672" s="8">
        <v>17520</v>
      </c>
      <c r="F672" s="9">
        <v>75</v>
      </c>
      <c r="G672" s="6" t="s">
        <v>3230</v>
      </c>
      <c r="H672" s="7" t="s">
        <v>39</v>
      </c>
      <c r="I672" s="6" t="s">
        <v>284</v>
      </c>
      <c r="J672" s="7" t="s">
        <v>20</v>
      </c>
      <c r="K672" s="7" t="s">
        <v>26</v>
      </c>
      <c r="L672" s="6"/>
      <c r="M672" s="10">
        <v>5.8200000000000002E-2</v>
      </c>
      <c r="N672" s="6" t="s">
        <v>3231</v>
      </c>
      <c r="O672" s="11">
        <v>2000</v>
      </c>
      <c r="P672" s="11"/>
      <c r="Q672" s="18">
        <v>250</v>
      </c>
      <c r="R672" s="19"/>
    </row>
    <row r="673" spans="1:18" ht="43.2" x14ac:dyDescent="0.3">
      <c r="A673" s="6" t="s">
        <v>3232</v>
      </c>
      <c r="B673" s="7" t="s">
        <v>3233</v>
      </c>
      <c r="C673" s="17" t="s">
        <v>3234</v>
      </c>
      <c r="D673" s="17"/>
      <c r="E673" s="8">
        <v>17844</v>
      </c>
      <c r="F673" s="9">
        <v>74</v>
      </c>
      <c r="G673" s="6" t="s">
        <v>3235</v>
      </c>
      <c r="H673" s="7" t="s">
        <v>39</v>
      </c>
      <c r="I673" s="6" t="s">
        <v>3236</v>
      </c>
      <c r="J673" s="7" t="s">
        <v>41</v>
      </c>
      <c r="K673" s="7" t="s">
        <v>26</v>
      </c>
      <c r="L673" s="9">
        <v>67</v>
      </c>
      <c r="M673" s="10">
        <v>4.3499999999999997E-2</v>
      </c>
      <c r="N673" s="6" t="s">
        <v>3237</v>
      </c>
      <c r="O673" s="11">
        <v>54400</v>
      </c>
      <c r="P673" s="11"/>
      <c r="Q673" s="18">
        <v>6800</v>
      </c>
      <c r="R673" s="19"/>
    </row>
    <row r="674" spans="1:18" ht="43.2" hidden="1" x14ac:dyDescent="0.3">
      <c r="A674" s="6" t="s">
        <v>3238</v>
      </c>
      <c r="B674" s="7" t="s">
        <v>3239</v>
      </c>
      <c r="C674" s="17" t="s">
        <v>3240</v>
      </c>
      <c r="D674" s="17"/>
      <c r="E674" s="8">
        <v>18583</v>
      </c>
      <c r="F674" s="9">
        <v>72</v>
      </c>
      <c r="G674" s="6" t="s">
        <v>3241</v>
      </c>
      <c r="H674" s="7" t="s">
        <v>39</v>
      </c>
      <c r="I674" s="6" t="s">
        <v>40</v>
      </c>
      <c r="J674" s="7" t="s">
        <v>20</v>
      </c>
      <c r="K674" s="7" t="s">
        <v>26</v>
      </c>
      <c r="L674" s="6"/>
      <c r="M674" s="10">
        <v>5.3999999999999999E-2</v>
      </c>
      <c r="N674" s="6" t="s">
        <v>3242</v>
      </c>
      <c r="O674" s="11">
        <v>34000</v>
      </c>
      <c r="P674" s="11"/>
      <c r="Q674" s="18">
        <v>3000</v>
      </c>
      <c r="R674" s="19"/>
    </row>
    <row r="675" spans="1:18" hidden="1" x14ac:dyDescent="0.3">
      <c r="A675" s="6" t="s">
        <v>3243</v>
      </c>
      <c r="B675" s="7" t="s">
        <v>3244</v>
      </c>
      <c r="C675" s="17" t="s">
        <v>3245</v>
      </c>
      <c r="D675" s="17"/>
      <c r="E675" s="7" t="s">
        <v>3246</v>
      </c>
      <c r="F675" s="9">
        <v>83</v>
      </c>
      <c r="G675" s="6" t="s">
        <v>3247</v>
      </c>
      <c r="H675" s="7" t="s">
        <v>25</v>
      </c>
      <c r="I675" s="6" t="s">
        <v>19</v>
      </c>
      <c r="J675" s="7" t="s">
        <v>41</v>
      </c>
      <c r="K675" s="7" t="s">
        <v>32</v>
      </c>
      <c r="L675" s="9">
        <v>73</v>
      </c>
      <c r="M675" s="10">
        <v>5.5300000000000002E-2</v>
      </c>
      <c r="N675" s="6" t="s">
        <v>3248</v>
      </c>
      <c r="O675" s="6" t="s">
        <v>19</v>
      </c>
      <c r="P675" s="6"/>
      <c r="Q675" s="19" t="s">
        <v>19</v>
      </c>
      <c r="R675" s="19"/>
    </row>
    <row r="676" spans="1:18" ht="28.8" x14ac:dyDescent="0.3">
      <c r="A676" s="6" t="s">
        <v>3249</v>
      </c>
      <c r="B676" s="7" t="s">
        <v>3250</v>
      </c>
      <c r="C676" s="17" t="s">
        <v>3251</v>
      </c>
      <c r="D676" s="17"/>
      <c r="E676" s="8">
        <v>17826</v>
      </c>
      <c r="F676" s="9">
        <v>74</v>
      </c>
      <c r="G676" s="6" t="s">
        <v>3252</v>
      </c>
      <c r="H676" s="7" t="s">
        <v>39</v>
      </c>
      <c r="I676" s="6" t="s">
        <v>2738</v>
      </c>
      <c r="J676" s="7" t="s">
        <v>41</v>
      </c>
      <c r="K676" s="7" t="s">
        <v>26</v>
      </c>
      <c r="L676" s="9">
        <v>63</v>
      </c>
      <c r="M676" s="10">
        <v>3.6999999999999998E-2</v>
      </c>
      <c r="N676" s="6" t="s">
        <v>3253</v>
      </c>
      <c r="O676" s="11">
        <v>7600</v>
      </c>
      <c r="P676" s="11"/>
      <c r="Q676" s="18">
        <v>1500</v>
      </c>
      <c r="R676" s="19"/>
    </row>
    <row r="677" spans="1:18" ht="43.2" hidden="1" x14ac:dyDescent="0.3">
      <c r="A677" s="6" t="s">
        <v>3254</v>
      </c>
      <c r="B677" s="7" t="s">
        <v>349</v>
      </c>
      <c r="C677" s="17" t="s">
        <v>3255</v>
      </c>
      <c r="D677" s="17"/>
      <c r="E677" s="8">
        <v>18597</v>
      </c>
      <c r="F677" s="9">
        <v>72</v>
      </c>
      <c r="G677" s="6" t="s">
        <v>3256</v>
      </c>
      <c r="H677" s="7" t="s">
        <v>39</v>
      </c>
      <c r="I677" s="6" t="s">
        <v>728</v>
      </c>
      <c r="J677" s="7" t="s">
        <v>20</v>
      </c>
      <c r="K677" s="7" t="s">
        <v>26</v>
      </c>
      <c r="L677" s="6"/>
      <c r="M677" s="10">
        <v>5.3999999999999999E-2</v>
      </c>
      <c r="N677" s="6" t="s">
        <v>3257</v>
      </c>
      <c r="O677" s="11">
        <v>66374</v>
      </c>
      <c r="P677" s="11"/>
      <c r="Q677" s="18">
        <v>3500</v>
      </c>
      <c r="R677" s="19"/>
    </row>
    <row r="678" spans="1:18" hidden="1" x14ac:dyDescent="0.3">
      <c r="A678" s="6" t="s">
        <v>3258</v>
      </c>
      <c r="B678" s="7" t="s">
        <v>3259</v>
      </c>
      <c r="C678" s="17" t="s">
        <v>3260</v>
      </c>
      <c r="D678" s="17"/>
      <c r="E678" s="8">
        <v>17196</v>
      </c>
      <c r="F678" s="9">
        <v>75</v>
      </c>
      <c r="G678" s="6" t="s">
        <v>3261</v>
      </c>
      <c r="H678" s="7" t="s">
        <v>25</v>
      </c>
      <c r="I678" s="6"/>
      <c r="J678" s="7" t="s">
        <v>20</v>
      </c>
      <c r="K678" s="7" t="s">
        <v>32</v>
      </c>
      <c r="L678" s="6"/>
      <c r="M678" s="10">
        <v>5.8200000000000002E-2</v>
      </c>
      <c r="N678" s="6" t="s">
        <v>3262</v>
      </c>
      <c r="O678" s="11">
        <v>647.48</v>
      </c>
      <c r="P678" s="11"/>
      <c r="Q678" s="18">
        <v>647.48</v>
      </c>
      <c r="R678" s="19"/>
    </row>
    <row r="679" spans="1:18" ht="43.2" hidden="1" x14ac:dyDescent="0.3">
      <c r="A679" s="6" t="s">
        <v>3263</v>
      </c>
      <c r="B679" s="7" t="s">
        <v>1069</v>
      </c>
      <c r="C679" s="17" t="s">
        <v>3264</v>
      </c>
      <c r="D679" s="17"/>
      <c r="E679" s="8">
        <v>18529</v>
      </c>
      <c r="F679" s="9">
        <v>72</v>
      </c>
      <c r="G679" s="6" t="s">
        <v>3266</v>
      </c>
      <c r="H679" s="7" t="s">
        <v>39</v>
      </c>
      <c r="I679" s="6" t="s">
        <v>40</v>
      </c>
      <c r="J679" s="7" t="s">
        <v>20</v>
      </c>
      <c r="K679" s="7" t="s">
        <v>26</v>
      </c>
      <c r="L679" s="6"/>
      <c r="M679" s="10">
        <v>5.3999999999999999E-2</v>
      </c>
      <c r="N679" s="6" t="s">
        <v>3267</v>
      </c>
      <c r="O679" s="11">
        <v>24000</v>
      </c>
      <c r="P679" s="11"/>
      <c r="Q679" s="18">
        <v>3000</v>
      </c>
      <c r="R679" s="19"/>
    </row>
    <row r="680" spans="1:18" hidden="1" x14ac:dyDescent="0.3">
      <c r="A680" s="6" t="s">
        <v>3268</v>
      </c>
      <c r="B680" s="7" t="s">
        <v>401</v>
      </c>
      <c r="C680" s="17" t="s">
        <v>3269</v>
      </c>
      <c r="D680" s="17"/>
      <c r="E680" s="8">
        <v>17515</v>
      </c>
      <c r="F680" s="9">
        <v>75</v>
      </c>
      <c r="G680" s="6" t="s">
        <v>3270</v>
      </c>
      <c r="H680" s="7" t="s">
        <v>25</v>
      </c>
      <c r="I680" s="6"/>
      <c r="J680" s="7" t="s">
        <v>20</v>
      </c>
      <c r="K680" s="7" t="s">
        <v>26</v>
      </c>
      <c r="L680" s="6"/>
      <c r="M680" s="10">
        <v>5.8200000000000002E-2</v>
      </c>
      <c r="N680" s="6" t="s">
        <v>3271</v>
      </c>
      <c r="O680" s="11">
        <v>10000</v>
      </c>
      <c r="P680" s="11"/>
      <c r="Q680" s="18">
        <v>10000</v>
      </c>
      <c r="R680" s="19"/>
    </row>
    <row r="681" spans="1:18" ht="43.2" hidden="1" x14ac:dyDescent="0.3">
      <c r="A681" s="6" t="s">
        <v>3272</v>
      </c>
      <c r="B681" s="7" t="s">
        <v>29</v>
      </c>
      <c r="C681" s="17" t="s">
        <v>3273</v>
      </c>
      <c r="D681" s="17"/>
      <c r="E681" s="8">
        <v>17837</v>
      </c>
      <c r="F681" s="9">
        <v>74</v>
      </c>
      <c r="G681" s="6" t="s">
        <v>3274</v>
      </c>
      <c r="H681" s="7" t="s">
        <v>39</v>
      </c>
      <c r="I681" s="6" t="s">
        <v>106</v>
      </c>
      <c r="J681" s="7" t="s">
        <v>20</v>
      </c>
      <c r="K681" s="7" t="s">
        <v>26</v>
      </c>
      <c r="L681" s="6"/>
      <c r="M681" s="10">
        <v>5.67E-2</v>
      </c>
      <c r="N681" s="6" t="s">
        <v>3275</v>
      </c>
      <c r="O681" s="11">
        <v>32000</v>
      </c>
      <c r="P681" s="11"/>
      <c r="Q681" s="18">
        <v>4000</v>
      </c>
      <c r="R681" s="19"/>
    </row>
    <row r="682" spans="1:18" hidden="1" x14ac:dyDescent="0.3">
      <c r="A682" s="6" t="s">
        <v>3276</v>
      </c>
      <c r="B682" s="7" t="s">
        <v>3277</v>
      </c>
      <c r="C682" s="17" t="s">
        <v>3278</v>
      </c>
      <c r="D682" s="17"/>
      <c r="E682" s="8">
        <v>16484</v>
      </c>
      <c r="F682" s="9">
        <v>77</v>
      </c>
      <c r="G682" s="6" t="s">
        <v>3279</v>
      </c>
      <c r="H682" s="7" t="s">
        <v>25</v>
      </c>
      <c r="I682" s="6"/>
      <c r="J682" s="7" t="s">
        <v>20</v>
      </c>
      <c r="K682" s="7" t="s">
        <v>26</v>
      </c>
      <c r="L682" s="6"/>
      <c r="M682" s="10">
        <v>6.1699999999999998E-2</v>
      </c>
      <c r="N682" s="6" t="s">
        <v>3280</v>
      </c>
      <c r="O682" s="11">
        <v>76523.44</v>
      </c>
      <c r="P682" s="11"/>
      <c r="Q682" s="18">
        <v>9565.43</v>
      </c>
      <c r="R682" s="19"/>
    </row>
    <row r="683" spans="1:18" ht="43.2" hidden="1" x14ac:dyDescent="0.3">
      <c r="A683" s="6" t="s">
        <v>3281</v>
      </c>
      <c r="B683" s="7" t="s">
        <v>2197</v>
      </c>
      <c r="C683" s="17" t="s">
        <v>3282</v>
      </c>
      <c r="D683" s="17"/>
      <c r="E683" s="8">
        <v>17321</v>
      </c>
      <c r="F683" s="9">
        <v>75</v>
      </c>
      <c r="G683" s="6" t="s">
        <v>3283</v>
      </c>
      <c r="H683" s="7" t="s">
        <v>39</v>
      </c>
      <c r="I683" s="6" t="s">
        <v>89</v>
      </c>
      <c r="J683" s="7" t="s">
        <v>20</v>
      </c>
      <c r="K683" s="7" t="s">
        <v>26</v>
      </c>
      <c r="L683" s="6"/>
      <c r="M683" s="10">
        <v>5.8200000000000002E-2</v>
      </c>
      <c r="N683" s="6" t="s">
        <v>3284</v>
      </c>
      <c r="O683" s="11">
        <v>8000</v>
      </c>
      <c r="P683" s="11"/>
      <c r="Q683" s="18">
        <v>3000</v>
      </c>
      <c r="R683" s="19"/>
    </row>
    <row r="684" spans="1:18" hidden="1" x14ac:dyDescent="0.3">
      <c r="A684" s="6" t="s">
        <v>3285</v>
      </c>
      <c r="B684" s="7" t="s">
        <v>1038</v>
      </c>
      <c r="C684" s="17" t="s">
        <v>3286</v>
      </c>
      <c r="D684" s="17"/>
      <c r="E684" s="7" t="s">
        <v>3287</v>
      </c>
      <c r="F684" s="9">
        <v>79</v>
      </c>
      <c r="G684" s="6" t="s">
        <v>3288</v>
      </c>
      <c r="H684" s="7" t="s">
        <v>25</v>
      </c>
      <c r="I684" s="6" t="s">
        <v>19</v>
      </c>
      <c r="J684" s="7" t="s">
        <v>20</v>
      </c>
      <c r="K684" s="7" t="s">
        <v>32</v>
      </c>
      <c r="L684" s="6"/>
      <c r="M684" s="10">
        <v>6.5799999999999997E-2</v>
      </c>
      <c r="N684" s="6" t="s">
        <v>3289</v>
      </c>
      <c r="O684" s="6" t="s">
        <v>19</v>
      </c>
      <c r="P684" s="6"/>
      <c r="Q684" s="19" t="s">
        <v>19</v>
      </c>
      <c r="R684" s="19"/>
    </row>
    <row r="685" spans="1:18" hidden="1" x14ac:dyDescent="0.3">
      <c r="A685" s="6" t="s">
        <v>3290</v>
      </c>
      <c r="B685" s="7" t="s">
        <v>503</v>
      </c>
      <c r="C685" s="17" t="s">
        <v>3291</v>
      </c>
      <c r="D685" s="17"/>
      <c r="E685" s="8">
        <v>17804</v>
      </c>
      <c r="F685" s="9">
        <v>74</v>
      </c>
      <c r="G685" s="6" t="s">
        <v>3292</v>
      </c>
      <c r="H685" s="7" t="s">
        <v>25</v>
      </c>
      <c r="I685" s="6"/>
      <c r="J685" s="7" t="s">
        <v>20</v>
      </c>
      <c r="K685" s="7" t="s">
        <v>26</v>
      </c>
      <c r="L685" s="6"/>
      <c r="M685" s="10">
        <v>5.67E-2</v>
      </c>
      <c r="N685" s="6" t="s">
        <v>3293</v>
      </c>
      <c r="O685" s="11">
        <v>6720.24</v>
      </c>
      <c r="P685" s="11"/>
      <c r="Q685" s="18">
        <v>840.03</v>
      </c>
      <c r="R685" s="19"/>
    </row>
    <row r="686" spans="1:18" ht="43.2" x14ac:dyDescent="0.3">
      <c r="A686" s="6" t="s">
        <v>3294</v>
      </c>
      <c r="B686" s="7" t="s">
        <v>1712</v>
      </c>
      <c r="C686" s="17" t="s">
        <v>3291</v>
      </c>
      <c r="D686" s="17"/>
      <c r="E686" s="8">
        <v>18320</v>
      </c>
      <c r="F686" s="9">
        <v>72</v>
      </c>
      <c r="G686" s="6" t="s">
        <v>3295</v>
      </c>
      <c r="H686" s="7" t="s">
        <v>39</v>
      </c>
      <c r="I686" s="6" t="s">
        <v>182</v>
      </c>
      <c r="J686" s="7" t="s">
        <v>41</v>
      </c>
      <c r="K686" s="7" t="s">
        <v>26</v>
      </c>
      <c r="L686" s="9">
        <v>70</v>
      </c>
      <c r="M686" s="10">
        <v>0.05</v>
      </c>
      <c r="N686" s="6" t="s">
        <v>3296</v>
      </c>
      <c r="O686" s="11">
        <v>43600</v>
      </c>
      <c r="P686" s="11"/>
      <c r="Q686" s="18">
        <v>4500</v>
      </c>
      <c r="R686" s="19"/>
    </row>
    <row r="687" spans="1:18" hidden="1" x14ac:dyDescent="0.3">
      <c r="A687" s="6" t="s">
        <v>3297</v>
      </c>
      <c r="B687" s="7" t="s">
        <v>881</v>
      </c>
      <c r="C687" s="17" t="s">
        <v>3298</v>
      </c>
      <c r="D687" s="17"/>
      <c r="E687" s="8">
        <v>17284</v>
      </c>
      <c r="F687" s="9">
        <v>75</v>
      </c>
      <c r="G687" s="6" t="s">
        <v>3299</v>
      </c>
      <c r="H687" s="7" t="s">
        <v>25</v>
      </c>
      <c r="I687" s="6"/>
      <c r="J687" s="7" t="s">
        <v>20</v>
      </c>
      <c r="K687" s="7" t="s">
        <v>26</v>
      </c>
      <c r="L687" s="6"/>
      <c r="M687" s="10">
        <v>5.8200000000000002E-2</v>
      </c>
      <c r="N687" s="6" t="s">
        <v>3300</v>
      </c>
      <c r="O687" s="11">
        <v>2128.2399999999998</v>
      </c>
      <c r="P687" s="11"/>
      <c r="Q687" s="18">
        <v>266.02999999999997</v>
      </c>
      <c r="R687" s="19"/>
    </row>
    <row r="688" spans="1:18" ht="43.2" hidden="1" x14ac:dyDescent="0.3">
      <c r="A688" s="6" t="s">
        <v>3301</v>
      </c>
      <c r="B688" s="7" t="s">
        <v>3302</v>
      </c>
      <c r="C688" s="17" t="s">
        <v>1246</v>
      </c>
      <c r="D688" s="17"/>
      <c r="E688" s="8">
        <v>18616</v>
      </c>
      <c r="F688" s="9">
        <v>72</v>
      </c>
      <c r="G688" s="6" t="s">
        <v>3303</v>
      </c>
      <c r="H688" s="7" t="s">
        <v>39</v>
      </c>
      <c r="I688" s="6" t="s">
        <v>704</v>
      </c>
      <c r="J688" s="7" t="s">
        <v>20</v>
      </c>
      <c r="K688" s="7" t="s">
        <v>26</v>
      </c>
      <c r="L688" s="6"/>
      <c r="M688" s="10">
        <v>5.3999999999999999E-2</v>
      </c>
      <c r="N688" s="6" t="s">
        <v>3304</v>
      </c>
      <c r="O688" s="11">
        <v>10000</v>
      </c>
      <c r="P688" s="11"/>
      <c r="Q688" s="18">
        <v>1250</v>
      </c>
      <c r="R688" s="19"/>
    </row>
    <row r="689" spans="1:18" ht="43.2" hidden="1" x14ac:dyDescent="0.3">
      <c r="A689" s="6" t="s">
        <v>3305</v>
      </c>
      <c r="B689" s="7" t="s">
        <v>2492</v>
      </c>
      <c r="C689" s="17" t="s">
        <v>3306</v>
      </c>
      <c r="D689" s="17"/>
      <c r="E689" s="8">
        <v>18467</v>
      </c>
      <c r="F689" s="9">
        <v>72</v>
      </c>
      <c r="G689" s="6" t="s">
        <v>3307</v>
      </c>
      <c r="H689" s="7" t="s">
        <v>39</v>
      </c>
      <c r="I689" s="6" t="s">
        <v>106</v>
      </c>
      <c r="J689" s="7" t="s">
        <v>20</v>
      </c>
      <c r="K689" s="7" t="s">
        <v>32</v>
      </c>
      <c r="L689" s="6"/>
      <c r="M689" s="10">
        <v>5.3999999999999999E-2</v>
      </c>
      <c r="N689" s="6" t="s">
        <v>3308</v>
      </c>
      <c r="O689" s="11">
        <v>12995</v>
      </c>
      <c r="P689" s="11"/>
      <c r="Q689" s="18">
        <v>4000</v>
      </c>
      <c r="R689" s="19"/>
    </row>
    <row r="690" spans="1:18" hidden="1" x14ac:dyDescent="0.3">
      <c r="A690" s="6" t="s">
        <v>3309</v>
      </c>
      <c r="B690" s="7" t="s">
        <v>240</v>
      </c>
      <c r="C690" s="17" t="s">
        <v>3310</v>
      </c>
      <c r="D690" s="17"/>
      <c r="E690" s="8">
        <v>18317</v>
      </c>
      <c r="F690" s="9">
        <v>72</v>
      </c>
      <c r="G690" s="6" t="s">
        <v>3312</v>
      </c>
      <c r="H690" s="7" t="s">
        <v>25</v>
      </c>
      <c r="I690" s="6"/>
      <c r="J690" s="7" t="s">
        <v>20</v>
      </c>
      <c r="K690" s="7" t="s">
        <v>26</v>
      </c>
      <c r="L690" s="6"/>
      <c r="M690" s="10">
        <v>5.3999999999999999E-2</v>
      </c>
      <c r="N690" s="6" t="s">
        <v>3313</v>
      </c>
      <c r="O690" s="11">
        <v>5200</v>
      </c>
      <c r="P690" s="11"/>
      <c r="Q690" s="18">
        <v>4000</v>
      </c>
      <c r="R690" s="19"/>
    </row>
    <row r="691" spans="1:18" ht="43.2" hidden="1" x14ac:dyDescent="0.3">
      <c r="A691" s="6" t="s">
        <v>3314</v>
      </c>
      <c r="B691" s="7" t="s">
        <v>3315</v>
      </c>
      <c r="C691" s="17" t="s">
        <v>3316</v>
      </c>
      <c r="D691" s="17"/>
      <c r="E691" s="8">
        <v>17421</v>
      </c>
      <c r="F691" s="9">
        <v>75</v>
      </c>
      <c r="G691" s="6" t="s">
        <v>3317</v>
      </c>
      <c r="H691" s="7" t="s">
        <v>39</v>
      </c>
      <c r="I691" s="6" t="s">
        <v>3318</v>
      </c>
      <c r="J691" s="7" t="s">
        <v>20</v>
      </c>
      <c r="K691" s="7" t="s">
        <v>26</v>
      </c>
      <c r="L691" s="6"/>
      <c r="M691" s="10">
        <v>5.8200000000000002E-2</v>
      </c>
      <c r="N691" s="6" t="s">
        <v>3319</v>
      </c>
      <c r="O691" s="11">
        <v>32249.24</v>
      </c>
      <c r="P691" s="11"/>
      <c r="Q691" s="18">
        <v>4376</v>
      </c>
      <c r="R691" s="19"/>
    </row>
    <row r="692" spans="1:18" ht="28.8" hidden="1" x14ac:dyDescent="0.3">
      <c r="A692" s="6" t="s">
        <v>3320</v>
      </c>
      <c r="B692" s="7" t="s">
        <v>3321</v>
      </c>
      <c r="C692" s="17" t="s">
        <v>3322</v>
      </c>
      <c r="D692" s="17"/>
      <c r="E692" s="8">
        <v>15930</v>
      </c>
      <c r="F692" s="9">
        <v>79</v>
      </c>
      <c r="G692" s="6" t="s">
        <v>3323</v>
      </c>
      <c r="H692" s="7" t="s">
        <v>39</v>
      </c>
      <c r="I692" s="6" t="s">
        <v>2738</v>
      </c>
      <c r="J692" s="7" t="s">
        <v>20</v>
      </c>
      <c r="K692" s="7" t="s">
        <v>26</v>
      </c>
      <c r="L692" s="6"/>
      <c r="M692" s="10">
        <v>6.5799999999999997E-2</v>
      </c>
      <c r="N692" s="6" t="s">
        <v>3324</v>
      </c>
      <c r="O692" s="11">
        <v>800</v>
      </c>
      <c r="P692" s="11"/>
      <c r="Q692" s="18">
        <v>100</v>
      </c>
      <c r="R692" s="19"/>
    </row>
    <row r="693" spans="1:18" ht="43.2" hidden="1" x14ac:dyDescent="0.3">
      <c r="A693" s="6" t="s">
        <v>3325</v>
      </c>
      <c r="B693" s="7" t="s">
        <v>125</v>
      </c>
      <c r="C693" s="17" t="s">
        <v>3326</v>
      </c>
      <c r="D693" s="17"/>
      <c r="E693" s="8">
        <v>18120</v>
      </c>
      <c r="F693" s="9">
        <v>73</v>
      </c>
      <c r="G693" s="6" t="s">
        <v>3327</v>
      </c>
      <c r="H693" s="7" t="s">
        <v>39</v>
      </c>
      <c r="I693" s="6" t="s">
        <v>40</v>
      </c>
      <c r="J693" s="7" t="s">
        <v>20</v>
      </c>
      <c r="K693" s="7" t="s">
        <v>26</v>
      </c>
      <c r="L693" s="6"/>
      <c r="M693" s="10">
        <v>5.5300000000000002E-2</v>
      </c>
      <c r="N693" s="6" t="s">
        <v>3328</v>
      </c>
      <c r="O693" s="11">
        <v>24000</v>
      </c>
      <c r="P693" s="11"/>
      <c r="Q693" s="18">
        <v>3000</v>
      </c>
      <c r="R693" s="19"/>
    </row>
    <row r="694" spans="1:18" hidden="1" x14ac:dyDescent="0.3">
      <c r="A694" s="6" t="s">
        <v>3329</v>
      </c>
      <c r="B694" s="7" t="s">
        <v>3330</v>
      </c>
      <c r="C694" s="17" t="s">
        <v>3331</v>
      </c>
      <c r="D694" s="17"/>
      <c r="E694" s="7" t="s">
        <v>3332</v>
      </c>
      <c r="F694" s="9">
        <v>78</v>
      </c>
      <c r="G694" s="6" t="s">
        <v>3333</v>
      </c>
      <c r="H694" s="7" t="s">
        <v>25</v>
      </c>
      <c r="I694" s="6" t="s">
        <v>19</v>
      </c>
      <c r="J694" s="7" t="s">
        <v>20</v>
      </c>
      <c r="K694" s="7" t="s">
        <v>26</v>
      </c>
      <c r="L694" s="6"/>
      <c r="M694" s="10">
        <v>6.3600000000000004E-2</v>
      </c>
      <c r="N694" s="6" t="s">
        <v>3334</v>
      </c>
      <c r="O694" s="6" t="s">
        <v>19</v>
      </c>
      <c r="P694" s="6"/>
      <c r="Q694" s="19" t="s">
        <v>19</v>
      </c>
      <c r="R694" s="19"/>
    </row>
    <row r="695" spans="1:18" hidden="1" x14ac:dyDescent="0.3">
      <c r="A695" s="6" t="s">
        <v>3335</v>
      </c>
      <c r="B695" s="7" t="s">
        <v>3336</v>
      </c>
      <c r="C695" s="17" t="s">
        <v>3337</v>
      </c>
      <c r="D695" s="17"/>
      <c r="E695" s="7" t="s">
        <v>3338</v>
      </c>
      <c r="F695" s="9">
        <v>72</v>
      </c>
      <c r="G695" s="6" t="s">
        <v>3339</v>
      </c>
      <c r="H695" s="7" t="s">
        <v>25</v>
      </c>
      <c r="I695" s="6" t="s">
        <v>19</v>
      </c>
      <c r="J695" s="7" t="s">
        <v>41</v>
      </c>
      <c r="K695" s="7" t="s">
        <v>32</v>
      </c>
      <c r="L695" s="9">
        <v>70</v>
      </c>
      <c r="M695" s="10">
        <v>0.05</v>
      </c>
      <c r="N695" s="6" t="s">
        <v>3340</v>
      </c>
      <c r="O695" s="6" t="s">
        <v>19</v>
      </c>
      <c r="P695" s="6"/>
      <c r="Q695" s="19" t="s">
        <v>19</v>
      </c>
      <c r="R695" s="19"/>
    </row>
    <row r="696" spans="1:18" hidden="1" x14ac:dyDescent="0.3">
      <c r="A696" s="6" t="s">
        <v>3341</v>
      </c>
      <c r="B696" s="7" t="s">
        <v>334</v>
      </c>
      <c r="C696" s="17" t="s">
        <v>3342</v>
      </c>
      <c r="D696" s="17"/>
      <c r="E696" s="8">
        <v>16168</v>
      </c>
      <c r="F696" s="9">
        <v>78</v>
      </c>
      <c r="G696" s="6" t="s">
        <v>3343</v>
      </c>
      <c r="H696" s="7" t="s">
        <v>25</v>
      </c>
      <c r="I696" s="6"/>
      <c r="J696" s="7" t="s">
        <v>20</v>
      </c>
      <c r="K696" s="7" t="s">
        <v>26</v>
      </c>
      <c r="L696" s="6"/>
      <c r="M696" s="10">
        <v>6.3600000000000004E-2</v>
      </c>
      <c r="N696" s="6" t="s">
        <v>3344</v>
      </c>
      <c r="O696" s="11">
        <v>4986</v>
      </c>
      <c r="P696" s="11"/>
      <c r="Q696" s="18">
        <v>309.79000000000002</v>
      </c>
      <c r="R696" s="19"/>
    </row>
    <row r="697" spans="1:18" ht="43.2" x14ac:dyDescent="0.3">
      <c r="A697" s="6" t="s">
        <v>3345</v>
      </c>
      <c r="B697" s="7" t="s">
        <v>3315</v>
      </c>
      <c r="C697" s="17" t="s">
        <v>3346</v>
      </c>
      <c r="D697" s="17"/>
      <c r="E697" s="8">
        <v>17465</v>
      </c>
      <c r="F697" s="9">
        <v>75</v>
      </c>
      <c r="G697" s="6" t="s">
        <v>3347</v>
      </c>
      <c r="H697" s="7" t="s">
        <v>39</v>
      </c>
      <c r="I697" s="6" t="s">
        <v>1599</v>
      </c>
      <c r="J697" s="7" t="s">
        <v>41</v>
      </c>
      <c r="K697" s="7" t="s">
        <v>26</v>
      </c>
      <c r="L697" s="9">
        <v>71</v>
      </c>
      <c r="M697" s="10">
        <v>5.28E-2</v>
      </c>
      <c r="N697" s="6" t="s">
        <v>3348</v>
      </c>
      <c r="O697" s="11">
        <v>25600</v>
      </c>
      <c r="P697" s="11"/>
      <c r="Q697" s="18">
        <v>3200</v>
      </c>
      <c r="R697" s="19"/>
    </row>
    <row r="698" spans="1:18" ht="43.2" hidden="1" x14ac:dyDescent="0.3">
      <c r="A698" s="6" t="s">
        <v>3349</v>
      </c>
      <c r="B698" s="7" t="s">
        <v>753</v>
      </c>
      <c r="C698" s="17" t="s">
        <v>3350</v>
      </c>
      <c r="D698" s="17"/>
      <c r="E698" s="8">
        <v>17258</v>
      </c>
      <c r="F698" s="9">
        <v>75</v>
      </c>
      <c r="G698" s="6" t="s">
        <v>3351</v>
      </c>
      <c r="H698" s="7" t="s">
        <v>39</v>
      </c>
      <c r="I698" s="6" t="s">
        <v>243</v>
      </c>
      <c r="J698" s="7" t="s">
        <v>20</v>
      </c>
      <c r="K698" s="7" t="s">
        <v>26</v>
      </c>
      <c r="L698" s="6"/>
      <c r="M698" s="10">
        <v>5.8200000000000002E-2</v>
      </c>
      <c r="N698" s="6" t="s">
        <v>3352</v>
      </c>
      <c r="O698" s="11">
        <v>14400</v>
      </c>
      <c r="P698" s="11"/>
      <c r="Q698" s="18">
        <v>1800</v>
      </c>
      <c r="R698" s="19"/>
    </row>
    <row r="699" spans="1:18" ht="43.2" hidden="1" x14ac:dyDescent="0.3">
      <c r="A699" s="6" t="s">
        <v>3353</v>
      </c>
      <c r="B699" s="7" t="s">
        <v>29</v>
      </c>
      <c r="C699" s="17" t="s">
        <v>3354</v>
      </c>
      <c r="D699" s="17"/>
      <c r="E699" s="8">
        <v>18539</v>
      </c>
      <c r="F699" s="9">
        <v>72</v>
      </c>
      <c r="G699" s="6" t="s">
        <v>3355</v>
      </c>
      <c r="H699" s="7" t="s">
        <v>39</v>
      </c>
      <c r="I699" s="6" t="s">
        <v>151</v>
      </c>
      <c r="J699" s="7" t="s">
        <v>20</v>
      </c>
      <c r="K699" s="7" t="s">
        <v>26</v>
      </c>
      <c r="L699" s="6"/>
      <c r="M699" s="10">
        <v>5.3999999999999999E-2</v>
      </c>
      <c r="N699" s="6" t="s">
        <v>3356</v>
      </c>
      <c r="O699" s="11">
        <v>19200</v>
      </c>
      <c r="P699" s="11"/>
      <c r="Q699" s="18">
        <v>1169.53</v>
      </c>
      <c r="R699" s="19"/>
    </row>
    <row r="700" spans="1:18" ht="43.2" hidden="1" x14ac:dyDescent="0.3">
      <c r="A700" s="6" t="s">
        <v>3357</v>
      </c>
      <c r="B700" s="7" t="s">
        <v>3358</v>
      </c>
      <c r="C700" s="17" t="s">
        <v>3354</v>
      </c>
      <c r="D700" s="17"/>
      <c r="E700" s="8">
        <v>16337</v>
      </c>
      <c r="F700" s="9">
        <v>78</v>
      </c>
      <c r="G700" s="6" t="s">
        <v>3359</v>
      </c>
      <c r="H700" s="7" t="s">
        <v>39</v>
      </c>
      <c r="I700" s="6" t="s">
        <v>89</v>
      </c>
      <c r="J700" s="7" t="s">
        <v>20</v>
      </c>
      <c r="K700" s="7" t="s">
        <v>26</v>
      </c>
      <c r="L700" s="6"/>
      <c r="M700" s="10">
        <v>6.3600000000000004E-2</v>
      </c>
      <c r="N700" s="6" t="s">
        <v>3360</v>
      </c>
      <c r="O700" s="11">
        <v>9600</v>
      </c>
      <c r="P700" s="11"/>
      <c r="Q700" s="18">
        <v>1200</v>
      </c>
      <c r="R700" s="19"/>
    </row>
    <row r="701" spans="1:18" hidden="1" x14ac:dyDescent="0.3">
      <c r="A701" s="6" t="s">
        <v>3361</v>
      </c>
      <c r="B701" s="7" t="s">
        <v>3362</v>
      </c>
      <c r="C701" s="17" t="s">
        <v>3363</v>
      </c>
      <c r="D701" s="17"/>
      <c r="E701" s="8">
        <v>18336</v>
      </c>
      <c r="F701" s="9">
        <v>72</v>
      </c>
      <c r="G701" s="6" t="s">
        <v>3364</v>
      </c>
      <c r="H701" s="7" t="s">
        <v>25</v>
      </c>
      <c r="I701" s="6"/>
      <c r="J701" s="7" t="s">
        <v>20</v>
      </c>
      <c r="K701" s="7" t="s">
        <v>26</v>
      </c>
      <c r="L701" s="6"/>
      <c r="M701" s="10">
        <v>5.3999999999999999E-2</v>
      </c>
      <c r="N701" s="6" t="s">
        <v>3365</v>
      </c>
      <c r="O701" s="11">
        <v>10969.12</v>
      </c>
      <c r="P701" s="11"/>
      <c r="Q701" s="18">
        <v>1371.14</v>
      </c>
      <c r="R701" s="19"/>
    </row>
    <row r="702" spans="1:18" ht="43.2" x14ac:dyDescent="0.3">
      <c r="A702" s="6" t="s">
        <v>3366</v>
      </c>
      <c r="B702" s="7" t="s">
        <v>1822</v>
      </c>
      <c r="C702" s="17" t="s">
        <v>3367</v>
      </c>
      <c r="D702" s="17"/>
      <c r="E702" s="8">
        <v>16563</v>
      </c>
      <c r="F702" s="9">
        <v>77</v>
      </c>
      <c r="G702" s="6" t="s">
        <v>3368</v>
      </c>
      <c r="H702" s="7" t="s">
        <v>39</v>
      </c>
      <c r="I702" s="6" t="s">
        <v>3369</v>
      </c>
      <c r="J702" s="7" t="s">
        <v>41</v>
      </c>
      <c r="K702" s="7" t="s">
        <v>26</v>
      </c>
      <c r="L702" s="9">
        <v>76</v>
      </c>
      <c r="M702" s="10">
        <v>5.9799999999999999E-2</v>
      </c>
      <c r="N702" s="6" t="s">
        <v>3370</v>
      </c>
      <c r="O702" s="11">
        <v>34225</v>
      </c>
      <c r="P702" s="11"/>
      <c r="Q702" s="18">
        <v>4845</v>
      </c>
      <c r="R702" s="19"/>
    </row>
    <row r="703" spans="1:18" ht="43.2" hidden="1" x14ac:dyDescent="0.3">
      <c r="A703" s="6" t="s">
        <v>3371</v>
      </c>
      <c r="B703" s="7" t="s">
        <v>556</v>
      </c>
      <c r="C703" s="17" t="s">
        <v>3372</v>
      </c>
      <c r="D703" s="17"/>
      <c r="E703" s="8">
        <v>17477</v>
      </c>
      <c r="F703" s="9">
        <v>75</v>
      </c>
      <c r="G703" s="6" t="s">
        <v>3373</v>
      </c>
      <c r="H703" s="7" t="s">
        <v>39</v>
      </c>
      <c r="I703" s="6" t="s">
        <v>3374</v>
      </c>
      <c r="J703" s="7" t="s">
        <v>20</v>
      </c>
      <c r="K703" s="7" t="s">
        <v>26</v>
      </c>
      <c r="L703" s="6"/>
      <c r="M703" s="10">
        <v>5.8200000000000002E-2</v>
      </c>
      <c r="N703" s="6" t="s">
        <v>3375</v>
      </c>
      <c r="O703" s="11">
        <v>35200</v>
      </c>
      <c r="P703" s="11"/>
      <c r="Q703" s="18">
        <v>4400</v>
      </c>
      <c r="R703" s="19"/>
    </row>
    <row r="704" spans="1:18" hidden="1" x14ac:dyDescent="0.3">
      <c r="A704" s="6" t="s">
        <v>3376</v>
      </c>
      <c r="B704" s="7" t="s">
        <v>1230</v>
      </c>
      <c r="C704" s="17" t="s">
        <v>3377</v>
      </c>
      <c r="D704" s="17"/>
      <c r="E704" s="7" t="s">
        <v>1886</v>
      </c>
      <c r="F704" s="9">
        <v>77</v>
      </c>
      <c r="G704" s="6" t="s">
        <v>3378</v>
      </c>
      <c r="H704" s="7" t="s">
        <v>25</v>
      </c>
      <c r="I704" s="6" t="s">
        <v>19</v>
      </c>
      <c r="J704" s="7" t="s">
        <v>20</v>
      </c>
      <c r="K704" s="7" t="s">
        <v>26</v>
      </c>
      <c r="L704" s="6"/>
      <c r="M704" s="10">
        <v>6.1699999999999998E-2</v>
      </c>
      <c r="N704" s="6" t="s">
        <v>3379</v>
      </c>
      <c r="O704" s="6" t="s">
        <v>19</v>
      </c>
      <c r="P704" s="6"/>
      <c r="Q704" s="19" t="s">
        <v>19</v>
      </c>
      <c r="R704" s="19"/>
    </row>
    <row r="705" spans="1:18" hidden="1" x14ac:dyDescent="0.3">
      <c r="A705" s="6" t="s">
        <v>3380</v>
      </c>
      <c r="B705" s="7" t="s">
        <v>3381</v>
      </c>
      <c r="C705" s="17" t="s">
        <v>3382</v>
      </c>
      <c r="D705" s="17"/>
      <c r="E705" s="8">
        <v>17257</v>
      </c>
      <c r="F705" s="9">
        <v>75</v>
      </c>
      <c r="G705" s="6" t="s">
        <v>3383</v>
      </c>
      <c r="H705" s="7" t="s">
        <v>25</v>
      </c>
      <c r="I705" s="6"/>
      <c r="J705" s="7" t="s">
        <v>20</v>
      </c>
      <c r="K705" s="7" t="s">
        <v>26</v>
      </c>
      <c r="L705" s="6"/>
      <c r="M705" s="10">
        <v>5.8200000000000002E-2</v>
      </c>
      <c r="N705" s="6" t="s">
        <v>3384</v>
      </c>
      <c r="O705" s="11">
        <v>2503.12</v>
      </c>
      <c r="P705" s="11"/>
      <c r="Q705" s="18">
        <v>312.89</v>
      </c>
      <c r="R705" s="19"/>
    </row>
    <row r="706" spans="1:18" ht="43.2" hidden="1" x14ac:dyDescent="0.3">
      <c r="A706" s="6" t="s">
        <v>3385</v>
      </c>
      <c r="B706" s="7" t="s">
        <v>3386</v>
      </c>
      <c r="C706" s="17" t="s">
        <v>3387</v>
      </c>
      <c r="D706" s="17"/>
      <c r="E706" s="7" t="s">
        <v>3388</v>
      </c>
      <c r="F706" s="9">
        <v>79</v>
      </c>
      <c r="G706" s="6" t="s">
        <v>3389</v>
      </c>
      <c r="H706" s="7" t="s">
        <v>39</v>
      </c>
      <c r="I706" s="6" t="s">
        <v>182</v>
      </c>
      <c r="J706" s="7" t="s">
        <v>41</v>
      </c>
      <c r="K706" s="7" t="s">
        <v>32</v>
      </c>
      <c r="L706" s="9">
        <v>72</v>
      </c>
      <c r="M706" s="10">
        <v>5.3999999999999999E-2</v>
      </c>
      <c r="N706" s="6" t="s">
        <v>3390</v>
      </c>
      <c r="O706" s="6" t="s">
        <v>19</v>
      </c>
      <c r="P706" s="6"/>
      <c r="Q706" s="19" t="s">
        <v>19</v>
      </c>
      <c r="R706" s="19"/>
    </row>
    <row r="707" spans="1:18" ht="43.2" hidden="1" x14ac:dyDescent="0.3">
      <c r="A707" s="6" t="s">
        <v>3391</v>
      </c>
      <c r="B707" s="7" t="s">
        <v>359</v>
      </c>
      <c r="C707" s="17" t="s">
        <v>3387</v>
      </c>
      <c r="D707" s="17"/>
      <c r="E707" s="8">
        <v>18444</v>
      </c>
      <c r="F707" s="9">
        <v>72</v>
      </c>
      <c r="G707" s="6" t="s">
        <v>3392</v>
      </c>
      <c r="H707" s="7" t="s">
        <v>39</v>
      </c>
      <c r="I707" s="6" t="s">
        <v>40</v>
      </c>
      <c r="J707" s="7" t="s">
        <v>20</v>
      </c>
      <c r="K707" s="7" t="s">
        <v>26</v>
      </c>
      <c r="L707" s="6"/>
      <c r="M707" s="10">
        <v>5.3999999999999999E-2</v>
      </c>
      <c r="N707" s="6" t="s">
        <v>3393</v>
      </c>
      <c r="O707" s="11">
        <v>34000</v>
      </c>
      <c r="P707" s="11"/>
      <c r="Q707" s="18">
        <v>10000</v>
      </c>
      <c r="R707" s="19"/>
    </row>
    <row r="708" spans="1:18" ht="28.8" hidden="1" x14ac:dyDescent="0.3">
      <c r="A708" s="6" t="s">
        <v>3394</v>
      </c>
      <c r="B708" s="7" t="s">
        <v>3395</v>
      </c>
      <c r="C708" s="17" t="s">
        <v>3396</v>
      </c>
      <c r="D708" s="17"/>
      <c r="E708" s="8">
        <v>16967</v>
      </c>
      <c r="F708" s="9">
        <v>76</v>
      </c>
      <c r="G708" s="6" t="s">
        <v>3397</v>
      </c>
      <c r="H708" s="7" t="s">
        <v>39</v>
      </c>
      <c r="I708" s="6" t="s">
        <v>67</v>
      </c>
      <c r="J708" s="7" t="s">
        <v>20</v>
      </c>
      <c r="K708" s="7" t="s">
        <v>26</v>
      </c>
      <c r="L708" s="6"/>
      <c r="M708" s="10">
        <v>5.9799999999999999E-2</v>
      </c>
      <c r="N708" s="6" t="s">
        <v>3398</v>
      </c>
      <c r="O708" s="11">
        <v>6400</v>
      </c>
      <c r="P708" s="11"/>
      <c r="Q708" s="18">
        <v>800</v>
      </c>
      <c r="R708" s="19"/>
    </row>
    <row r="709" spans="1:18" ht="28.8" hidden="1" x14ac:dyDescent="0.3">
      <c r="A709" s="6" t="s">
        <v>3399</v>
      </c>
      <c r="B709" s="7" t="s">
        <v>2224</v>
      </c>
      <c r="C709" s="17" t="s">
        <v>3396</v>
      </c>
      <c r="D709" s="17"/>
      <c r="E709" s="8">
        <v>16408</v>
      </c>
      <c r="F709" s="9">
        <v>78</v>
      </c>
      <c r="G709" s="6" t="s">
        <v>3400</v>
      </c>
      <c r="H709" s="7" t="s">
        <v>39</v>
      </c>
      <c r="I709" s="6" t="s">
        <v>176</v>
      </c>
      <c r="J709" s="7" t="s">
        <v>20</v>
      </c>
      <c r="K709" s="7" t="s">
        <v>26</v>
      </c>
      <c r="L709" s="6"/>
      <c r="M709" s="10">
        <v>6.3600000000000004E-2</v>
      </c>
      <c r="N709" s="6" t="s">
        <v>3401</v>
      </c>
      <c r="O709" s="11">
        <v>4800</v>
      </c>
      <c r="P709" s="11"/>
      <c r="Q709" s="18">
        <v>600</v>
      </c>
      <c r="R709" s="19"/>
    </row>
    <row r="710" spans="1:18" ht="43.2" x14ac:dyDescent="0.3">
      <c r="A710" s="6" t="s">
        <v>3402</v>
      </c>
      <c r="B710" s="7" t="s">
        <v>621</v>
      </c>
      <c r="C710" s="17" t="s">
        <v>3403</v>
      </c>
      <c r="D710" s="17"/>
      <c r="E710" s="8">
        <v>17444</v>
      </c>
      <c r="F710" s="9">
        <v>75</v>
      </c>
      <c r="G710" s="6" t="s">
        <v>3404</v>
      </c>
      <c r="H710" s="7" t="s">
        <v>39</v>
      </c>
      <c r="I710" s="6" t="s">
        <v>89</v>
      </c>
      <c r="J710" s="7" t="s">
        <v>41</v>
      </c>
      <c r="K710" s="7" t="s">
        <v>26</v>
      </c>
      <c r="L710" s="9">
        <v>76</v>
      </c>
      <c r="M710" s="10">
        <v>5.9799999999999999E-2</v>
      </c>
      <c r="N710" s="6" t="s">
        <v>3405</v>
      </c>
      <c r="O710" s="11">
        <v>9600</v>
      </c>
      <c r="P710" s="11"/>
      <c r="Q710" s="18">
        <v>1200</v>
      </c>
      <c r="R710" s="19"/>
    </row>
    <row r="711" spans="1:18" hidden="1" x14ac:dyDescent="0.3">
      <c r="A711" s="6" t="s">
        <v>3406</v>
      </c>
      <c r="B711" s="7" t="s">
        <v>3407</v>
      </c>
      <c r="C711" s="17" t="s">
        <v>3408</v>
      </c>
      <c r="D711" s="17"/>
      <c r="E711" s="7" t="s">
        <v>3409</v>
      </c>
      <c r="F711" s="9">
        <v>73</v>
      </c>
      <c r="G711" s="6" t="s">
        <v>3410</v>
      </c>
      <c r="H711" s="7" t="s">
        <v>25</v>
      </c>
      <c r="I711" s="6" t="s">
        <v>19</v>
      </c>
      <c r="J711" s="7" t="s">
        <v>20</v>
      </c>
      <c r="K711" s="7" t="s">
        <v>26</v>
      </c>
      <c r="L711" s="6"/>
      <c r="M711" s="10">
        <v>5.5300000000000002E-2</v>
      </c>
      <c r="N711" s="6" t="s">
        <v>3411</v>
      </c>
      <c r="O711" s="6" t="s">
        <v>19</v>
      </c>
      <c r="P711" s="6"/>
      <c r="Q711" s="19" t="s">
        <v>19</v>
      </c>
      <c r="R711" s="19"/>
    </row>
    <row r="712" spans="1:18" ht="28.8" hidden="1" x14ac:dyDescent="0.3">
      <c r="A712" s="6" t="s">
        <v>3412</v>
      </c>
      <c r="B712" s="7" t="s">
        <v>2247</v>
      </c>
      <c r="C712" s="17" t="s">
        <v>3413</v>
      </c>
      <c r="D712" s="17"/>
      <c r="E712" s="8">
        <v>16647</v>
      </c>
      <c r="F712" s="9">
        <v>77</v>
      </c>
      <c r="G712" s="6" t="s">
        <v>3414</v>
      </c>
      <c r="H712" s="7" t="s">
        <v>39</v>
      </c>
      <c r="I712" s="6" t="s">
        <v>67</v>
      </c>
      <c r="J712" s="7" t="s">
        <v>20</v>
      </c>
      <c r="K712" s="7" t="s">
        <v>26</v>
      </c>
      <c r="L712" s="6"/>
      <c r="M712" s="10">
        <v>6.1699999999999998E-2</v>
      </c>
      <c r="N712" s="6" t="s">
        <v>3415</v>
      </c>
      <c r="O712" s="11">
        <v>6400</v>
      </c>
      <c r="P712" s="11"/>
      <c r="Q712" s="18">
        <v>800</v>
      </c>
      <c r="R712" s="19"/>
    </row>
    <row r="713" spans="1:18" hidden="1" x14ac:dyDescent="0.3">
      <c r="A713" s="6" t="s">
        <v>3416</v>
      </c>
      <c r="B713" s="7" t="s">
        <v>1038</v>
      </c>
      <c r="C713" s="17" t="s">
        <v>3413</v>
      </c>
      <c r="D713" s="17"/>
      <c r="E713" s="7" t="s">
        <v>3417</v>
      </c>
      <c r="F713" s="9">
        <v>77</v>
      </c>
      <c r="G713" s="6" t="s">
        <v>3418</v>
      </c>
      <c r="H713" s="7" t="s">
        <v>25</v>
      </c>
      <c r="I713" s="6" t="s">
        <v>19</v>
      </c>
      <c r="J713" s="7" t="s">
        <v>20</v>
      </c>
      <c r="K713" s="7" t="s">
        <v>32</v>
      </c>
      <c r="L713" s="6"/>
      <c r="M713" s="10">
        <v>6.1699999999999998E-2</v>
      </c>
      <c r="N713" s="6" t="s">
        <v>3419</v>
      </c>
      <c r="O713" s="6" t="s">
        <v>19</v>
      </c>
      <c r="P713" s="6"/>
      <c r="Q713" s="19" t="s">
        <v>19</v>
      </c>
      <c r="R713" s="19"/>
    </row>
    <row r="714" spans="1:18" hidden="1" x14ac:dyDescent="0.3">
      <c r="A714" s="6" t="s">
        <v>3420</v>
      </c>
      <c r="B714" s="7" t="s">
        <v>210</v>
      </c>
      <c r="C714" s="17" t="s">
        <v>3421</v>
      </c>
      <c r="D714" s="17"/>
      <c r="E714" s="8">
        <v>17887</v>
      </c>
      <c r="F714" s="9">
        <v>74</v>
      </c>
      <c r="G714" s="6" t="s">
        <v>3422</v>
      </c>
      <c r="H714" s="7" t="s">
        <v>25</v>
      </c>
      <c r="I714" s="6"/>
      <c r="J714" s="7" t="s">
        <v>20</v>
      </c>
      <c r="K714" s="7" t="s">
        <v>26</v>
      </c>
      <c r="L714" s="6"/>
      <c r="M714" s="10">
        <v>5.67E-2</v>
      </c>
      <c r="N714" s="6" t="s">
        <v>3423</v>
      </c>
      <c r="O714" s="11">
        <v>1729.36</v>
      </c>
      <c r="P714" s="11"/>
      <c r="Q714" s="18">
        <v>216.17</v>
      </c>
      <c r="R714" s="19"/>
    </row>
    <row r="715" spans="1:18" ht="28.8" hidden="1" x14ac:dyDescent="0.3">
      <c r="A715" s="6" t="s">
        <v>3424</v>
      </c>
      <c r="B715" s="7" t="s">
        <v>3425</v>
      </c>
      <c r="C715" s="17" t="s">
        <v>3426</v>
      </c>
      <c r="D715" s="17"/>
      <c r="E715" s="8">
        <v>16237</v>
      </c>
      <c r="F715" s="9">
        <v>78</v>
      </c>
      <c r="G715" s="6" t="s">
        <v>3427</v>
      </c>
      <c r="H715" s="7" t="s">
        <v>39</v>
      </c>
      <c r="I715" s="6" t="s">
        <v>321</v>
      </c>
      <c r="J715" s="7" t="s">
        <v>20</v>
      </c>
      <c r="K715" s="7" t="s">
        <v>26</v>
      </c>
      <c r="L715" s="6"/>
      <c r="M715" s="10">
        <v>6.3600000000000004E-2</v>
      </c>
      <c r="N715" s="6" t="s">
        <v>3428</v>
      </c>
      <c r="O715" s="11">
        <v>500</v>
      </c>
      <c r="P715" s="11"/>
      <c r="Q715" s="18">
        <v>500</v>
      </c>
      <c r="R715" s="19"/>
    </row>
    <row r="716" spans="1:18" ht="43.2" hidden="1" x14ac:dyDescent="0.3">
      <c r="A716" s="6" t="s">
        <v>3429</v>
      </c>
      <c r="B716" s="7" t="s">
        <v>2211</v>
      </c>
      <c r="C716" s="17" t="s">
        <v>3430</v>
      </c>
      <c r="D716" s="17"/>
      <c r="E716" s="8">
        <v>17305</v>
      </c>
      <c r="F716" s="9">
        <v>75</v>
      </c>
      <c r="G716" s="6" t="s">
        <v>3431</v>
      </c>
      <c r="H716" s="7" t="s">
        <v>39</v>
      </c>
      <c r="I716" s="6" t="s">
        <v>3432</v>
      </c>
      <c r="J716" s="7" t="s">
        <v>20</v>
      </c>
      <c r="K716" s="7" t="s">
        <v>26</v>
      </c>
      <c r="L716" s="6"/>
      <c r="M716" s="10">
        <v>5.8200000000000002E-2</v>
      </c>
      <c r="N716" s="6" t="s">
        <v>3433</v>
      </c>
      <c r="O716" s="11">
        <v>13920</v>
      </c>
      <c r="P716" s="11"/>
      <c r="Q716" s="18">
        <v>271.01</v>
      </c>
      <c r="R716" s="19"/>
    </row>
    <row r="717" spans="1:18" hidden="1" x14ac:dyDescent="0.3">
      <c r="A717" s="6" t="s">
        <v>3434</v>
      </c>
      <c r="B717" s="7" t="s">
        <v>224</v>
      </c>
      <c r="C717" s="17" t="s">
        <v>3435</v>
      </c>
      <c r="D717" s="17"/>
      <c r="E717" s="7" t="s">
        <v>3436</v>
      </c>
      <c r="F717" s="9">
        <v>80</v>
      </c>
      <c r="G717" s="6" t="s">
        <v>3437</v>
      </c>
      <c r="H717" s="7" t="s">
        <v>25</v>
      </c>
      <c r="I717" s="6" t="s">
        <v>19</v>
      </c>
      <c r="J717" s="7" t="s">
        <v>20</v>
      </c>
      <c r="K717" s="7" t="s">
        <v>32</v>
      </c>
      <c r="L717" s="6"/>
      <c r="M717" s="10">
        <v>6.8199999999999997E-2</v>
      </c>
      <c r="N717" s="6" t="s">
        <v>3438</v>
      </c>
      <c r="O717" s="6" t="s">
        <v>19</v>
      </c>
      <c r="P717" s="6"/>
      <c r="Q717" s="19" t="s">
        <v>19</v>
      </c>
      <c r="R717" s="19"/>
    </row>
    <row r="718" spans="1:18" ht="43.2" x14ac:dyDescent="0.3">
      <c r="A718" s="6" t="s">
        <v>3439</v>
      </c>
      <c r="B718" s="7" t="s">
        <v>2751</v>
      </c>
      <c r="C718" s="17" t="s">
        <v>3440</v>
      </c>
      <c r="D718" s="17"/>
      <c r="E718" s="8">
        <v>18023</v>
      </c>
      <c r="F718" s="9">
        <v>73</v>
      </c>
      <c r="G718" s="6" t="s">
        <v>3441</v>
      </c>
      <c r="H718" s="7" t="s">
        <v>39</v>
      </c>
      <c r="I718" s="6" t="s">
        <v>267</v>
      </c>
      <c r="J718" s="7" t="s">
        <v>41</v>
      </c>
      <c r="K718" s="7" t="s">
        <v>26</v>
      </c>
      <c r="L718" s="9">
        <v>65</v>
      </c>
      <c r="M718" s="10">
        <v>0.04</v>
      </c>
      <c r="N718" s="6" t="s">
        <v>3442</v>
      </c>
      <c r="O718" s="11">
        <v>17600</v>
      </c>
      <c r="P718" s="11"/>
      <c r="Q718" s="18">
        <v>2200</v>
      </c>
      <c r="R718" s="19"/>
    </row>
    <row r="719" spans="1:18" ht="43.2" hidden="1" x14ac:dyDescent="0.3">
      <c r="A719" s="6" t="s">
        <v>3443</v>
      </c>
      <c r="B719" s="7" t="s">
        <v>1303</v>
      </c>
      <c r="C719" s="17" t="s">
        <v>3444</v>
      </c>
      <c r="D719" s="17"/>
      <c r="E719" s="8">
        <v>16281</v>
      </c>
      <c r="F719" s="9">
        <v>78</v>
      </c>
      <c r="G719" s="6" t="s">
        <v>3445</v>
      </c>
      <c r="H719" s="7" t="s">
        <v>39</v>
      </c>
      <c r="I719" s="6" t="s">
        <v>89</v>
      </c>
      <c r="J719" s="7" t="s">
        <v>20</v>
      </c>
      <c r="K719" s="7" t="s">
        <v>26</v>
      </c>
      <c r="L719" s="6"/>
      <c r="M719" s="10">
        <v>6.3600000000000004E-2</v>
      </c>
      <c r="N719" s="6" t="s">
        <v>3446</v>
      </c>
      <c r="O719" s="11">
        <v>9600</v>
      </c>
      <c r="P719" s="11"/>
      <c r="Q719" s="18">
        <v>1200</v>
      </c>
      <c r="R719" s="19"/>
    </row>
    <row r="720" spans="1:18" ht="43.2" hidden="1" x14ac:dyDescent="0.3">
      <c r="A720" s="6" t="s">
        <v>3447</v>
      </c>
      <c r="B720" s="7" t="s">
        <v>1187</v>
      </c>
      <c r="C720" s="17" t="s">
        <v>3448</v>
      </c>
      <c r="D720" s="17"/>
      <c r="E720" s="8">
        <v>14591</v>
      </c>
      <c r="F720" s="9">
        <v>83</v>
      </c>
      <c r="G720" s="6" t="s">
        <v>3449</v>
      </c>
      <c r="H720" s="7" t="s">
        <v>39</v>
      </c>
      <c r="I720" s="6" t="s">
        <v>122</v>
      </c>
      <c r="J720" s="7" t="s">
        <v>20</v>
      </c>
      <c r="K720" s="7" t="s">
        <v>26</v>
      </c>
      <c r="L720" s="6"/>
      <c r="M720" s="10">
        <v>7.7100000000000002E-2</v>
      </c>
      <c r="N720" s="6" t="s">
        <v>3450</v>
      </c>
      <c r="O720" s="11">
        <v>16000</v>
      </c>
      <c r="P720" s="11"/>
      <c r="Q720" s="18">
        <v>2000</v>
      </c>
      <c r="R720" s="19"/>
    </row>
    <row r="721" spans="1:18" hidden="1" x14ac:dyDescent="0.3">
      <c r="A721" s="6" t="s">
        <v>3451</v>
      </c>
      <c r="B721" s="7" t="s">
        <v>3452</v>
      </c>
      <c r="C721" s="17" t="s">
        <v>3448</v>
      </c>
      <c r="D721" s="17"/>
      <c r="E721" s="8">
        <v>17307</v>
      </c>
      <c r="F721" s="9">
        <v>75</v>
      </c>
      <c r="G721" s="6" t="s">
        <v>3453</v>
      </c>
      <c r="H721" s="7" t="s">
        <v>25</v>
      </c>
      <c r="I721" s="6"/>
      <c r="J721" s="7" t="s">
        <v>20</v>
      </c>
      <c r="K721" s="7" t="s">
        <v>26</v>
      </c>
      <c r="L721" s="6"/>
      <c r="M721" s="10">
        <v>5.8200000000000002E-2</v>
      </c>
      <c r="N721" s="6" t="s">
        <v>3454</v>
      </c>
      <c r="O721" s="11">
        <v>59000</v>
      </c>
      <c r="P721" s="11"/>
      <c r="Q721" s="18">
        <v>59000</v>
      </c>
      <c r="R721" s="19"/>
    </row>
    <row r="722" spans="1:18" hidden="1" x14ac:dyDescent="0.3">
      <c r="A722" s="6" t="s">
        <v>3455</v>
      </c>
      <c r="B722" s="7" t="s">
        <v>3456</v>
      </c>
      <c r="C722" s="17" t="s">
        <v>3457</v>
      </c>
      <c r="D722" s="17"/>
      <c r="E722" s="7" t="s">
        <v>3458</v>
      </c>
      <c r="F722" s="9">
        <v>72</v>
      </c>
      <c r="G722" s="6" t="s">
        <v>3459</v>
      </c>
      <c r="H722" s="7" t="s">
        <v>25</v>
      </c>
      <c r="I722" s="6" t="s">
        <v>19</v>
      </c>
      <c r="J722" s="7" t="s">
        <v>20</v>
      </c>
      <c r="K722" s="7" t="s">
        <v>32</v>
      </c>
      <c r="L722" s="6"/>
      <c r="M722" s="10">
        <v>5.3999999999999999E-2</v>
      </c>
      <c r="N722" s="6" t="s">
        <v>3460</v>
      </c>
      <c r="O722" s="6" t="s">
        <v>19</v>
      </c>
      <c r="P722" s="6"/>
      <c r="Q722" s="19" t="s">
        <v>19</v>
      </c>
      <c r="R722" s="19"/>
    </row>
    <row r="723" spans="1:18" hidden="1" x14ac:dyDescent="0.3">
      <c r="A723" s="6" t="s">
        <v>3461</v>
      </c>
      <c r="B723" s="7" t="s">
        <v>874</v>
      </c>
      <c r="C723" s="17" t="s">
        <v>3462</v>
      </c>
      <c r="D723" s="17"/>
      <c r="E723" s="7" t="s">
        <v>3463</v>
      </c>
      <c r="F723" s="9">
        <v>80</v>
      </c>
      <c r="G723" s="6" t="s">
        <v>3464</v>
      </c>
      <c r="H723" s="7" t="s">
        <v>25</v>
      </c>
      <c r="I723" s="6" t="s">
        <v>19</v>
      </c>
      <c r="J723" s="7" t="s">
        <v>20</v>
      </c>
      <c r="K723" s="7" t="s">
        <v>32</v>
      </c>
      <c r="L723" s="6"/>
      <c r="M723" s="10">
        <v>6.8199999999999997E-2</v>
      </c>
      <c r="N723" s="6" t="s">
        <v>3465</v>
      </c>
      <c r="O723" s="6" t="s">
        <v>19</v>
      </c>
      <c r="P723" s="6"/>
      <c r="Q723" s="19" t="s">
        <v>19</v>
      </c>
      <c r="R723" s="19"/>
    </row>
    <row r="724" spans="1:18" hidden="1" x14ac:dyDescent="0.3">
      <c r="A724" s="6" t="s">
        <v>3466</v>
      </c>
      <c r="B724" s="7" t="s">
        <v>944</v>
      </c>
      <c r="C724" s="17" t="s">
        <v>3467</v>
      </c>
      <c r="D724" s="17"/>
      <c r="E724" s="8">
        <v>18329</v>
      </c>
      <c r="F724" s="9">
        <v>72</v>
      </c>
      <c r="G724" s="6" t="s">
        <v>3468</v>
      </c>
      <c r="H724" s="7" t="s">
        <v>25</v>
      </c>
      <c r="I724" s="6"/>
      <c r="J724" s="7" t="s">
        <v>20</v>
      </c>
      <c r="K724" s="7" t="s">
        <v>26</v>
      </c>
      <c r="L724" s="6"/>
      <c r="M724" s="10">
        <v>5.3999999999999999E-2</v>
      </c>
      <c r="N724" s="6" t="s">
        <v>3469</v>
      </c>
      <c r="O724" s="11">
        <v>39577.120000000003</v>
      </c>
      <c r="P724" s="11"/>
      <c r="Q724" s="18">
        <v>4947.1400000000003</v>
      </c>
      <c r="R724" s="19"/>
    </row>
    <row r="725" spans="1:18" ht="43.2" x14ac:dyDescent="0.3">
      <c r="A725" s="6" t="s">
        <v>3470</v>
      </c>
      <c r="B725" s="7" t="s">
        <v>81</v>
      </c>
      <c r="C725" s="17" t="s">
        <v>3471</v>
      </c>
      <c r="D725" s="17"/>
      <c r="E725" s="8">
        <v>17226</v>
      </c>
      <c r="F725" s="9">
        <v>75</v>
      </c>
      <c r="G725" s="6" t="s">
        <v>3472</v>
      </c>
      <c r="H725" s="7" t="s">
        <v>39</v>
      </c>
      <c r="I725" s="6" t="s">
        <v>40</v>
      </c>
      <c r="J725" s="7" t="s">
        <v>41</v>
      </c>
      <c r="K725" s="7" t="s">
        <v>26</v>
      </c>
      <c r="L725" s="9">
        <v>65</v>
      </c>
      <c r="M725" s="10">
        <v>0.04</v>
      </c>
      <c r="N725" s="6" t="s">
        <v>3473</v>
      </c>
      <c r="O725" s="11">
        <v>24000</v>
      </c>
      <c r="P725" s="11"/>
      <c r="Q725" s="18">
        <v>3000</v>
      </c>
      <c r="R725" s="19"/>
    </row>
    <row r="726" spans="1:18" ht="43.2" x14ac:dyDescent="0.3">
      <c r="A726" s="6" t="s">
        <v>3474</v>
      </c>
      <c r="B726" s="7" t="s">
        <v>1207</v>
      </c>
      <c r="C726" s="17" t="s">
        <v>3475</v>
      </c>
      <c r="D726" s="17"/>
      <c r="E726" s="8">
        <v>18268</v>
      </c>
      <c r="F726" s="9">
        <v>72</v>
      </c>
      <c r="G726" s="6" t="s">
        <v>3476</v>
      </c>
      <c r="H726" s="7" t="s">
        <v>39</v>
      </c>
      <c r="I726" s="6" t="s">
        <v>2646</v>
      </c>
      <c r="J726" s="7" t="s">
        <v>41</v>
      </c>
      <c r="K726" s="7" t="s">
        <v>26</v>
      </c>
      <c r="L726" s="9">
        <v>72</v>
      </c>
      <c r="M726" s="10">
        <v>5.3999999999999999E-2</v>
      </c>
      <c r="N726" s="6" t="s">
        <v>3477</v>
      </c>
      <c r="O726" s="11">
        <v>13600</v>
      </c>
      <c r="P726" s="11"/>
      <c r="Q726" s="18">
        <v>1700</v>
      </c>
      <c r="R726" s="19"/>
    </row>
    <row r="727" spans="1:18" ht="28.8" hidden="1" x14ac:dyDescent="0.3">
      <c r="A727" s="6" t="s">
        <v>3478</v>
      </c>
      <c r="B727" s="7" t="s">
        <v>859</v>
      </c>
      <c r="C727" s="17" t="s">
        <v>3479</v>
      </c>
      <c r="D727" s="17"/>
      <c r="E727" s="8">
        <v>17477</v>
      </c>
      <c r="F727" s="9">
        <v>75</v>
      </c>
      <c r="G727" s="6" t="s">
        <v>3480</v>
      </c>
      <c r="H727" s="7" t="s">
        <v>39</v>
      </c>
      <c r="I727" s="6" t="s">
        <v>3481</v>
      </c>
      <c r="J727" s="7" t="s">
        <v>20</v>
      </c>
      <c r="K727" s="7" t="s">
        <v>26</v>
      </c>
      <c r="L727" s="6"/>
      <c r="M727" s="10">
        <v>5.8200000000000002E-2</v>
      </c>
      <c r="N727" s="6" t="s">
        <v>3482</v>
      </c>
      <c r="O727" s="11">
        <v>2080</v>
      </c>
      <c r="P727" s="11"/>
      <c r="Q727" s="18">
        <v>260</v>
      </c>
      <c r="R727" s="19"/>
    </row>
    <row r="728" spans="1:18" ht="43.2" hidden="1" x14ac:dyDescent="0.3">
      <c r="A728" s="6" t="s">
        <v>3483</v>
      </c>
      <c r="B728" s="7" t="s">
        <v>1584</v>
      </c>
      <c r="C728" s="17" t="s">
        <v>3484</v>
      </c>
      <c r="D728" s="17"/>
      <c r="E728" s="8">
        <v>18024</v>
      </c>
      <c r="F728" s="9">
        <v>73</v>
      </c>
      <c r="G728" s="6" t="s">
        <v>3485</v>
      </c>
      <c r="H728" s="7" t="s">
        <v>39</v>
      </c>
      <c r="I728" s="6" t="s">
        <v>40</v>
      </c>
      <c r="J728" s="7" t="s">
        <v>20</v>
      </c>
      <c r="K728" s="7" t="s">
        <v>26</v>
      </c>
      <c r="L728" s="6"/>
      <c r="M728" s="10">
        <v>5.5300000000000002E-2</v>
      </c>
      <c r="N728" s="6" t="s">
        <v>3486</v>
      </c>
      <c r="O728" s="11">
        <v>24000</v>
      </c>
      <c r="P728" s="11"/>
      <c r="Q728" s="18">
        <v>3000</v>
      </c>
      <c r="R728" s="19"/>
    </row>
    <row r="729" spans="1:18" ht="28.8" hidden="1" x14ac:dyDescent="0.3">
      <c r="A729" s="6" t="s">
        <v>3487</v>
      </c>
      <c r="B729" s="7" t="s">
        <v>3488</v>
      </c>
      <c r="C729" s="17" t="s">
        <v>3489</v>
      </c>
      <c r="D729" s="17"/>
      <c r="E729" s="8">
        <v>18058</v>
      </c>
      <c r="F729" s="9">
        <v>73</v>
      </c>
      <c r="G729" s="6" t="s">
        <v>3490</v>
      </c>
      <c r="H729" s="7" t="s">
        <v>39</v>
      </c>
      <c r="I729" s="6" t="s">
        <v>1160</v>
      </c>
      <c r="J729" s="7" t="s">
        <v>20</v>
      </c>
      <c r="K729" s="7" t="s">
        <v>26</v>
      </c>
      <c r="L729" s="6"/>
      <c r="M729" s="10">
        <v>5.5300000000000002E-2</v>
      </c>
      <c r="N729" s="6" t="s">
        <v>3491</v>
      </c>
      <c r="O729" s="11">
        <v>3200</v>
      </c>
      <c r="P729" s="11"/>
      <c r="Q729" s="18">
        <v>400</v>
      </c>
      <c r="R729" s="19"/>
    </row>
    <row r="730" spans="1:18" ht="43.2" hidden="1" x14ac:dyDescent="0.3">
      <c r="A730" s="6" t="s">
        <v>3492</v>
      </c>
      <c r="B730" s="7" t="s">
        <v>334</v>
      </c>
      <c r="C730" s="17" t="s">
        <v>3493</v>
      </c>
      <c r="D730" s="17"/>
      <c r="E730" s="8">
        <v>18022</v>
      </c>
      <c r="F730" s="9">
        <v>73</v>
      </c>
      <c r="G730" s="6" t="s">
        <v>3494</v>
      </c>
      <c r="H730" s="7" t="s">
        <v>39</v>
      </c>
      <c r="I730" s="6" t="s">
        <v>3495</v>
      </c>
      <c r="J730" s="7" t="s">
        <v>20</v>
      </c>
      <c r="K730" s="7" t="s">
        <v>26</v>
      </c>
      <c r="L730" s="6"/>
      <c r="M730" s="10">
        <v>5.5300000000000002E-2</v>
      </c>
      <c r="N730" s="6" t="s">
        <v>3496</v>
      </c>
      <c r="O730" s="11">
        <v>14120</v>
      </c>
      <c r="P730" s="11"/>
      <c r="Q730" s="18">
        <v>1765</v>
      </c>
      <c r="R730" s="19"/>
    </row>
    <row r="731" spans="1:18" ht="43.2" hidden="1" x14ac:dyDescent="0.3">
      <c r="A731" s="6" t="s">
        <v>3497</v>
      </c>
      <c r="B731" s="7" t="s">
        <v>684</v>
      </c>
      <c r="C731" s="17" t="s">
        <v>3493</v>
      </c>
      <c r="D731" s="17"/>
      <c r="E731" s="8">
        <v>17974</v>
      </c>
      <c r="F731" s="9">
        <v>73</v>
      </c>
      <c r="G731" s="6" t="s">
        <v>3498</v>
      </c>
      <c r="H731" s="7" t="s">
        <v>39</v>
      </c>
      <c r="I731" s="6" t="s">
        <v>2453</v>
      </c>
      <c r="J731" s="7" t="s">
        <v>20</v>
      </c>
      <c r="K731" s="7" t="s">
        <v>26</v>
      </c>
      <c r="L731" s="6"/>
      <c r="M731" s="10">
        <v>5.5300000000000002E-2</v>
      </c>
      <c r="N731" s="6" t="s">
        <v>3499</v>
      </c>
      <c r="O731" s="11">
        <v>23200</v>
      </c>
      <c r="P731" s="11"/>
      <c r="Q731" s="18">
        <v>2900</v>
      </c>
      <c r="R731" s="19"/>
    </row>
    <row r="732" spans="1:18" hidden="1" x14ac:dyDescent="0.3">
      <c r="A732" s="6" t="s">
        <v>3500</v>
      </c>
      <c r="B732" s="7" t="s">
        <v>2306</v>
      </c>
      <c r="C732" s="17" t="s">
        <v>3501</v>
      </c>
      <c r="D732" s="17"/>
      <c r="E732" s="7" t="s">
        <v>3502</v>
      </c>
      <c r="F732" s="9">
        <v>72</v>
      </c>
      <c r="G732" s="6" t="s">
        <v>3503</v>
      </c>
      <c r="H732" s="7" t="s">
        <v>19</v>
      </c>
      <c r="I732" s="6" t="s">
        <v>19</v>
      </c>
      <c r="J732" s="7" t="s">
        <v>20</v>
      </c>
      <c r="K732" s="7"/>
      <c r="L732" s="6"/>
      <c r="M732" s="10">
        <v>5.3999999999999999E-2</v>
      </c>
      <c r="N732" s="6" t="s">
        <v>3504</v>
      </c>
      <c r="O732" s="6" t="s">
        <v>19</v>
      </c>
      <c r="P732" s="6"/>
      <c r="Q732" s="19" t="s">
        <v>19</v>
      </c>
      <c r="R732" s="19"/>
    </row>
    <row r="733" spans="1:18" ht="43.2" hidden="1" x14ac:dyDescent="0.3">
      <c r="A733" s="6" t="s">
        <v>3505</v>
      </c>
      <c r="B733" s="7" t="s">
        <v>859</v>
      </c>
      <c r="C733" s="17" t="s">
        <v>3506</v>
      </c>
      <c r="D733" s="17"/>
      <c r="E733" s="8">
        <v>17342</v>
      </c>
      <c r="F733" s="9">
        <v>75</v>
      </c>
      <c r="G733" s="6" t="s">
        <v>3507</v>
      </c>
      <c r="H733" s="7" t="s">
        <v>39</v>
      </c>
      <c r="I733" s="6" t="s">
        <v>89</v>
      </c>
      <c r="J733" s="7" t="s">
        <v>20</v>
      </c>
      <c r="K733" s="7" t="s">
        <v>26</v>
      </c>
      <c r="L733" s="6"/>
      <c r="M733" s="10">
        <v>5.8200000000000002E-2</v>
      </c>
      <c r="N733" s="6" t="s">
        <v>3508</v>
      </c>
      <c r="O733" s="11">
        <v>9600</v>
      </c>
      <c r="P733" s="11"/>
      <c r="Q733" s="18">
        <v>1200</v>
      </c>
      <c r="R733" s="19"/>
    </row>
    <row r="734" spans="1:18" hidden="1" x14ac:dyDescent="0.3">
      <c r="A734" s="6" t="s">
        <v>3509</v>
      </c>
      <c r="B734" s="7" t="s">
        <v>406</v>
      </c>
      <c r="C734" s="17" t="s">
        <v>3510</v>
      </c>
      <c r="D734" s="17"/>
      <c r="E734" s="7" t="s">
        <v>197</v>
      </c>
      <c r="F734" s="9">
        <v>75</v>
      </c>
      <c r="G734" s="6" t="s">
        <v>3511</v>
      </c>
      <c r="H734" s="7" t="s">
        <v>25</v>
      </c>
      <c r="I734" s="6" t="s">
        <v>19</v>
      </c>
      <c r="J734" s="7" t="s">
        <v>41</v>
      </c>
      <c r="K734" s="7" t="s">
        <v>32</v>
      </c>
      <c r="L734" s="9">
        <v>74</v>
      </c>
      <c r="M734" s="10">
        <v>5.67E-2</v>
      </c>
      <c r="N734" s="6" t="s">
        <v>3512</v>
      </c>
      <c r="O734" s="6" t="s">
        <v>19</v>
      </c>
      <c r="P734" s="6"/>
      <c r="Q734" s="19" t="s">
        <v>19</v>
      </c>
      <c r="R734" s="19"/>
    </row>
    <row r="735" spans="1:18" x14ac:dyDescent="0.3">
      <c r="A735" s="6" t="s">
        <v>3513</v>
      </c>
      <c r="B735" s="7" t="s">
        <v>3038</v>
      </c>
      <c r="C735" s="17" t="s">
        <v>3510</v>
      </c>
      <c r="D735" s="17"/>
      <c r="E735" s="8">
        <v>17362</v>
      </c>
      <c r="F735" s="9">
        <v>75</v>
      </c>
      <c r="G735" s="6" t="s">
        <v>3514</v>
      </c>
      <c r="H735" s="7" t="s">
        <v>25</v>
      </c>
      <c r="I735" s="6"/>
      <c r="J735" s="7" t="s">
        <v>41</v>
      </c>
      <c r="K735" s="7" t="s">
        <v>26</v>
      </c>
      <c r="L735" s="9">
        <v>68</v>
      </c>
      <c r="M735" s="10">
        <v>4.5499999999999999E-2</v>
      </c>
      <c r="N735" s="6" t="s">
        <v>3515</v>
      </c>
      <c r="O735" s="11">
        <v>14342</v>
      </c>
      <c r="P735" s="11"/>
      <c r="Q735" s="18">
        <v>1792.75</v>
      </c>
      <c r="R735" s="19"/>
    </row>
    <row r="736" spans="1:18" ht="28.8" hidden="1" x14ac:dyDescent="0.3">
      <c r="A736" s="6" t="s">
        <v>3516</v>
      </c>
      <c r="B736" s="7" t="s">
        <v>125</v>
      </c>
      <c r="C736" s="17" t="s">
        <v>3517</v>
      </c>
      <c r="D736" s="17"/>
      <c r="E736" s="8">
        <v>15790</v>
      </c>
      <c r="F736" s="9">
        <v>79</v>
      </c>
      <c r="G736" s="6" t="s">
        <v>3519</v>
      </c>
      <c r="H736" s="7" t="s">
        <v>39</v>
      </c>
      <c r="I736" s="6" t="s">
        <v>681</v>
      </c>
      <c r="J736" s="7" t="s">
        <v>20</v>
      </c>
      <c r="K736" s="7" t="s">
        <v>26</v>
      </c>
      <c r="L736" s="6"/>
      <c r="M736" s="10">
        <v>6.5799999999999997E-2</v>
      </c>
      <c r="N736" s="6" t="s">
        <v>3520</v>
      </c>
      <c r="O736" s="11">
        <v>5600</v>
      </c>
      <c r="P736" s="11"/>
      <c r="Q736" s="18">
        <v>700</v>
      </c>
      <c r="R736" s="19"/>
    </row>
    <row r="737" spans="1:18" ht="43.2" x14ac:dyDescent="0.3">
      <c r="A737" s="6" t="s">
        <v>3521</v>
      </c>
      <c r="B737" s="7" t="s">
        <v>598</v>
      </c>
      <c r="C737" s="17" t="s">
        <v>3522</v>
      </c>
      <c r="D737" s="17"/>
      <c r="E737" s="8">
        <v>17911</v>
      </c>
      <c r="F737" s="9">
        <v>73</v>
      </c>
      <c r="G737" s="6" t="s">
        <v>3523</v>
      </c>
      <c r="H737" s="7" t="s">
        <v>39</v>
      </c>
      <c r="I737" s="6" t="s">
        <v>40</v>
      </c>
      <c r="J737" s="7" t="s">
        <v>41</v>
      </c>
      <c r="K737" s="7" t="s">
        <v>26</v>
      </c>
      <c r="L737" s="9">
        <v>70</v>
      </c>
      <c r="M737" s="10">
        <v>0.05</v>
      </c>
      <c r="N737" s="6" t="s">
        <v>3524</v>
      </c>
      <c r="O737" s="11">
        <v>24000</v>
      </c>
      <c r="P737" s="11"/>
      <c r="Q737" s="18">
        <v>3000</v>
      </c>
      <c r="R737" s="19"/>
    </row>
    <row r="738" spans="1:18" x14ac:dyDescent="0.3">
      <c r="A738" s="6" t="s">
        <v>3525</v>
      </c>
      <c r="B738" s="7" t="s">
        <v>640</v>
      </c>
      <c r="C738" s="17" t="s">
        <v>3526</v>
      </c>
      <c r="D738" s="17"/>
      <c r="E738" s="8">
        <v>17093</v>
      </c>
      <c r="F738" s="9">
        <v>76</v>
      </c>
      <c r="G738" s="6" t="s">
        <v>3527</v>
      </c>
      <c r="H738" s="7" t="s">
        <v>25</v>
      </c>
      <c r="I738" s="6"/>
      <c r="J738" s="7" t="s">
        <v>41</v>
      </c>
      <c r="K738" s="7" t="s">
        <v>32</v>
      </c>
      <c r="L738" s="9">
        <v>54</v>
      </c>
      <c r="M738" s="10">
        <v>2.7799999999999998E-2</v>
      </c>
      <c r="N738" s="6" t="s">
        <v>3528</v>
      </c>
      <c r="O738" s="11">
        <v>11524.42</v>
      </c>
      <c r="P738" s="11"/>
      <c r="Q738" s="18">
        <v>4000</v>
      </c>
      <c r="R738" s="19"/>
    </row>
    <row r="739" spans="1:18" ht="43.2" hidden="1" x14ac:dyDescent="0.3">
      <c r="A739" s="6" t="s">
        <v>3529</v>
      </c>
      <c r="B739" s="7" t="s">
        <v>707</v>
      </c>
      <c r="C739" s="17" t="s">
        <v>3530</v>
      </c>
      <c r="D739" s="17"/>
      <c r="E739" s="8">
        <v>17088</v>
      </c>
      <c r="F739" s="9">
        <v>76</v>
      </c>
      <c r="G739" s="6" t="s">
        <v>3531</v>
      </c>
      <c r="H739" s="7" t="s">
        <v>39</v>
      </c>
      <c r="I739" s="6" t="s">
        <v>151</v>
      </c>
      <c r="J739" s="7" t="s">
        <v>20</v>
      </c>
      <c r="K739" s="7" t="s">
        <v>26</v>
      </c>
      <c r="L739" s="6"/>
      <c r="M739" s="10">
        <v>5.9799999999999999E-2</v>
      </c>
      <c r="N739" s="6" t="s">
        <v>3532</v>
      </c>
      <c r="O739" s="11">
        <v>20000</v>
      </c>
      <c r="P739" s="11"/>
      <c r="Q739" s="18">
        <v>2500</v>
      </c>
      <c r="R739" s="19"/>
    </row>
    <row r="740" spans="1:18" ht="43.2" hidden="1" x14ac:dyDescent="0.3">
      <c r="A740" s="6" t="s">
        <v>3533</v>
      </c>
      <c r="B740" s="7" t="s">
        <v>219</v>
      </c>
      <c r="C740" s="17" t="s">
        <v>3534</v>
      </c>
      <c r="D740" s="17"/>
      <c r="E740" s="8">
        <v>18510</v>
      </c>
      <c r="F740" s="9">
        <v>72</v>
      </c>
      <c r="G740" s="6" t="s">
        <v>3535</v>
      </c>
      <c r="H740" s="7" t="s">
        <v>39</v>
      </c>
      <c r="I740" s="6" t="s">
        <v>728</v>
      </c>
      <c r="J740" s="7" t="s">
        <v>20</v>
      </c>
      <c r="K740" s="7" t="s">
        <v>26</v>
      </c>
      <c r="L740" s="6"/>
      <c r="M740" s="10">
        <v>5.3999999999999999E-2</v>
      </c>
      <c r="N740" s="6" t="s">
        <v>3536</v>
      </c>
      <c r="O740" s="11">
        <v>21000</v>
      </c>
      <c r="P740" s="11"/>
      <c r="Q740" s="18">
        <v>15.87</v>
      </c>
      <c r="R740" s="19"/>
    </row>
    <row r="741" spans="1:18" ht="43.2" hidden="1" x14ac:dyDescent="0.3">
      <c r="A741" s="6" t="s">
        <v>3537</v>
      </c>
      <c r="B741" s="7" t="s">
        <v>3538</v>
      </c>
      <c r="C741" s="17" t="s">
        <v>3534</v>
      </c>
      <c r="D741" s="17"/>
      <c r="E741" s="7" t="s">
        <v>3539</v>
      </c>
      <c r="F741" s="9">
        <v>81</v>
      </c>
      <c r="G741" s="6" t="s">
        <v>3540</v>
      </c>
      <c r="H741" s="7" t="s">
        <v>39</v>
      </c>
      <c r="I741" s="6" t="s">
        <v>243</v>
      </c>
      <c r="J741" s="7" t="s">
        <v>20</v>
      </c>
      <c r="K741" s="7" t="s">
        <v>32</v>
      </c>
      <c r="L741" s="6"/>
      <c r="M741" s="10">
        <v>7.0800000000000002E-2</v>
      </c>
      <c r="N741" s="6" t="s">
        <v>3541</v>
      </c>
      <c r="O741" s="6" t="s">
        <v>19</v>
      </c>
      <c r="P741" s="6"/>
      <c r="Q741" s="19" t="s">
        <v>19</v>
      </c>
      <c r="R741" s="19"/>
    </row>
    <row r="742" spans="1:18" ht="43.2" hidden="1" x14ac:dyDescent="0.3">
      <c r="A742" s="6" t="s">
        <v>3542</v>
      </c>
      <c r="B742" s="7" t="s">
        <v>338</v>
      </c>
      <c r="C742" s="17" t="s">
        <v>3543</v>
      </c>
      <c r="D742" s="17"/>
      <c r="E742" s="8">
        <v>16638</v>
      </c>
      <c r="F742" s="9">
        <v>77</v>
      </c>
      <c r="G742" s="6" t="s">
        <v>3544</v>
      </c>
      <c r="H742" s="7" t="s">
        <v>39</v>
      </c>
      <c r="I742" s="6" t="s">
        <v>243</v>
      </c>
      <c r="J742" s="7" t="s">
        <v>20</v>
      </c>
      <c r="K742" s="7" t="s">
        <v>26</v>
      </c>
      <c r="L742" s="6"/>
      <c r="M742" s="10">
        <v>6.1699999999999998E-2</v>
      </c>
      <c r="N742" s="6" t="s">
        <v>3545</v>
      </c>
      <c r="O742" s="11">
        <v>14400</v>
      </c>
      <c r="P742" s="11"/>
      <c r="Q742" s="18">
        <v>1800</v>
      </c>
      <c r="R742" s="19"/>
    </row>
    <row r="743" spans="1:18" ht="43.2" hidden="1" x14ac:dyDescent="0.3">
      <c r="A743" s="6" t="s">
        <v>3546</v>
      </c>
      <c r="B743" s="7" t="s">
        <v>3547</v>
      </c>
      <c r="C743" s="17" t="s">
        <v>219</v>
      </c>
      <c r="D743" s="17"/>
      <c r="E743" s="8">
        <v>17616</v>
      </c>
      <c r="F743" s="9">
        <v>74</v>
      </c>
      <c r="G743" s="6" t="s">
        <v>3548</v>
      </c>
      <c r="H743" s="7" t="s">
        <v>39</v>
      </c>
      <c r="I743" s="6" t="s">
        <v>89</v>
      </c>
      <c r="J743" s="7" t="s">
        <v>20</v>
      </c>
      <c r="K743" s="7" t="s">
        <v>26</v>
      </c>
      <c r="L743" s="6"/>
      <c r="M743" s="10">
        <v>5.67E-2</v>
      </c>
      <c r="N743" s="6" t="s">
        <v>3549</v>
      </c>
      <c r="O743" s="11">
        <v>9600</v>
      </c>
      <c r="P743" s="11"/>
      <c r="Q743" s="18">
        <v>468.4</v>
      </c>
      <c r="R743" s="19"/>
    </row>
    <row r="744" spans="1:18" ht="28.8" hidden="1" x14ac:dyDescent="0.3">
      <c r="A744" s="6" t="s">
        <v>3550</v>
      </c>
      <c r="B744" s="7" t="s">
        <v>270</v>
      </c>
      <c r="C744" s="17" t="s">
        <v>219</v>
      </c>
      <c r="D744" s="17"/>
      <c r="E744" s="8">
        <v>17017</v>
      </c>
      <c r="F744" s="9">
        <v>76</v>
      </c>
      <c r="G744" s="6" t="s">
        <v>3551</v>
      </c>
      <c r="H744" s="7" t="s">
        <v>39</v>
      </c>
      <c r="I744" s="6" t="s">
        <v>237</v>
      </c>
      <c r="J744" s="7" t="s">
        <v>20</v>
      </c>
      <c r="K744" s="7" t="s">
        <v>26</v>
      </c>
      <c r="L744" s="6"/>
      <c r="M744" s="10">
        <v>5.9799999999999999E-2</v>
      </c>
      <c r="N744" s="6" t="s">
        <v>3552</v>
      </c>
      <c r="O744" s="11">
        <v>7200</v>
      </c>
      <c r="P744" s="11"/>
      <c r="Q744" s="18">
        <v>900</v>
      </c>
      <c r="R744" s="19"/>
    </row>
    <row r="745" spans="1:18" ht="43.2" hidden="1" x14ac:dyDescent="0.3">
      <c r="A745" s="6" t="s">
        <v>3553</v>
      </c>
      <c r="B745" s="7" t="s">
        <v>3554</v>
      </c>
      <c r="C745" s="17" t="s">
        <v>219</v>
      </c>
      <c r="D745" s="17"/>
      <c r="E745" s="8">
        <v>18409</v>
      </c>
      <c r="F745" s="9">
        <v>72</v>
      </c>
      <c r="G745" s="6" t="s">
        <v>3555</v>
      </c>
      <c r="H745" s="7" t="s">
        <v>39</v>
      </c>
      <c r="I745" s="6" t="s">
        <v>144</v>
      </c>
      <c r="J745" s="7" t="s">
        <v>20</v>
      </c>
      <c r="K745" s="7" t="s">
        <v>26</v>
      </c>
      <c r="L745" s="6"/>
      <c r="M745" s="10">
        <v>5.3999999999999999E-2</v>
      </c>
      <c r="N745" s="6" t="s">
        <v>3556</v>
      </c>
      <c r="O745" s="11">
        <v>40000</v>
      </c>
      <c r="P745" s="11"/>
      <c r="Q745" s="18">
        <v>5000</v>
      </c>
      <c r="R745" s="19"/>
    </row>
    <row r="746" spans="1:18" ht="43.2" hidden="1" x14ac:dyDescent="0.3">
      <c r="A746" s="6" t="s">
        <v>3557</v>
      </c>
      <c r="B746" s="7" t="s">
        <v>135</v>
      </c>
      <c r="C746" s="17" t="s">
        <v>3558</v>
      </c>
      <c r="D746" s="17"/>
      <c r="E746" s="8">
        <v>17922</v>
      </c>
      <c r="F746" s="9">
        <v>73</v>
      </c>
      <c r="G746" s="6" t="s">
        <v>3559</v>
      </c>
      <c r="H746" s="7" t="s">
        <v>39</v>
      </c>
      <c r="I746" s="6" t="s">
        <v>227</v>
      </c>
      <c r="J746" s="7" t="s">
        <v>20</v>
      </c>
      <c r="K746" s="7" t="s">
        <v>26</v>
      </c>
      <c r="L746" s="6"/>
      <c r="M746" s="10">
        <v>5.5300000000000002E-2</v>
      </c>
      <c r="N746" s="6" t="s">
        <v>3560</v>
      </c>
      <c r="O746" s="11">
        <v>18400</v>
      </c>
      <c r="P746" s="11"/>
      <c r="Q746" s="18">
        <v>2300</v>
      </c>
      <c r="R746" s="19"/>
    </row>
    <row r="747" spans="1:18" ht="43.2" hidden="1" x14ac:dyDescent="0.3">
      <c r="A747" s="6" t="s">
        <v>3561</v>
      </c>
      <c r="B747" s="7" t="s">
        <v>3321</v>
      </c>
      <c r="C747" s="17" t="s">
        <v>3562</v>
      </c>
      <c r="D747" s="17"/>
      <c r="E747" s="8">
        <v>18341</v>
      </c>
      <c r="F747" s="9">
        <v>72</v>
      </c>
      <c r="G747" s="6" t="s">
        <v>3563</v>
      </c>
      <c r="H747" s="7" t="s">
        <v>39</v>
      </c>
      <c r="I747" s="6" t="s">
        <v>47</v>
      </c>
      <c r="J747" s="7" t="s">
        <v>20</v>
      </c>
      <c r="K747" s="7" t="s">
        <v>26</v>
      </c>
      <c r="L747" s="6"/>
      <c r="M747" s="10">
        <v>5.3999999999999999E-2</v>
      </c>
      <c r="N747" s="6" t="s">
        <v>3564</v>
      </c>
      <c r="O747" s="11">
        <v>8000</v>
      </c>
      <c r="P747" s="11"/>
      <c r="Q747" s="18">
        <v>1000</v>
      </c>
      <c r="R747" s="19"/>
    </row>
    <row r="748" spans="1:18" ht="43.2" x14ac:dyDescent="0.3">
      <c r="A748" s="6" t="s">
        <v>3565</v>
      </c>
      <c r="B748" s="7" t="s">
        <v>824</v>
      </c>
      <c r="C748" s="17" t="s">
        <v>3566</v>
      </c>
      <c r="D748" s="17"/>
      <c r="E748" s="8">
        <v>15903</v>
      </c>
      <c r="F748" s="9">
        <v>79</v>
      </c>
      <c r="G748" s="6" t="s">
        <v>3567</v>
      </c>
      <c r="H748" s="7" t="s">
        <v>39</v>
      </c>
      <c r="I748" s="6" t="s">
        <v>1052</v>
      </c>
      <c r="J748" s="7" t="s">
        <v>41</v>
      </c>
      <c r="K748" s="7" t="s">
        <v>26</v>
      </c>
      <c r="L748" s="9">
        <v>75</v>
      </c>
      <c r="M748" s="10">
        <v>5.8200000000000002E-2</v>
      </c>
      <c r="N748" s="6" t="s">
        <v>3568</v>
      </c>
      <c r="O748" s="11">
        <v>72000</v>
      </c>
      <c r="P748" s="11"/>
      <c r="Q748" s="18">
        <v>9000</v>
      </c>
      <c r="R748" s="19"/>
    </row>
    <row r="749" spans="1:18" hidden="1" x14ac:dyDescent="0.3">
      <c r="A749" s="6" t="s">
        <v>3569</v>
      </c>
      <c r="B749" s="7" t="s">
        <v>493</v>
      </c>
      <c r="C749" s="17" t="s">
        <v>3570</v>
      </c>
      <c r="D749" s="17"/>
      <c r="E749" s="8">
        <v>14940</v>
      </c>
      <c r="F749" s="9">
        <v>82</v>
      </c>
      <c r="G749" s="6" t="s">
        <v>3571</v>
      </c>
      <c r="H749" s="7" t="s">
        <v>25</v>
      </c>
      <c r="I749" s="6"/>
      <c r="J749" s="7" t="s">
        <v>20</v>
      </c>
      <c r="K749" s="7" t="s">
        <v>26</v>
      </c>
      <c r="L749" s="6"/>
      <c r="M749" s="10">
        <v>7.3800000000000004E-2</v>
      </c>
      <c r="N749" s="6" t="s">
        <v>3572</v>
      </c>
      <c r="O749" s="11">
        <v>6533.12</v>
      </c>
      <c r="P749" s="11"/>
      <c r="Q749" s="18">
        <v>816.64</v>
      </c>
      <c r="R749" s="19"/>
    </row>
    <row r="750" spans="1:18" x14ac:dyDescent="0.3">
      <c r="A750" s="6" t="s">
        <v>3573</v>
      </c>
      <c r="B750" s="7" t="s">
        <v>401</v>
      </c>
      <c r="C750" s="17" t="s">
        <v>3574</v>
      </c>
      <c r="D750" s="17"/>
      <c r="E750" s="8">
        <v>17337</v>
      </c>
      <c r="F750" s="9">
        <v>75</v>
      </c>
      <c r="G750" s="6" t="s">
        <v>3575</v>
      </c>
      <c r="H750" s="7" t="s">
        <v>25</v>
      </c>
      <c r="I750" s="6"/>
      <c r="J750" s="7" t="s">
        <v>41</v>
      </c>
      <c r="K750" s="7" t="s">
        <v>26</v>
      </c>
      <c r="L750" s="9">
        <v>74</v>
      </c>
      <c r="M750" s="10">
        <v>5.67E-2</v>
      </c>
      <c r="N750" s="6" t="s">
        <v>3576</v>
      </c>
      <c r="O750" s="11">
        <v>3963.84</v>
      </c>
      <c r="P750" s="11"/>
      <c r="Q750" s="18">
        <v>495.48</v>
      </c>
      <c r="R750" s="19"/>
    </row>
    <row r="751" spans="1:18" x14ac:dyDescent="0.3">
      <c r="A751" s="6" t="s">
        <v>3577</v>
      </c>
      <c r="B751" s="7" t="s">
        <v>1143</v>
      </c>
      <c r="C751" s="17" t="s">
        <v>3578</v>
      </c>
      <c r="D751" s="17"/>
      <c r="E751" s="8">
        <v>17556</v>
      </c>
      <c r="F751" s="9">
        <v>74</v>
      </c>
      <c r="G751" s="6" t="s">
        <v>3579</v>
      </c>
      <c r="H751" s="7" t="s">
        <v>25</v>
      </c>
      <c r="I751" s="6"/>
      <c r="J751" s="7" t="s">
        <v>41</v>
      </c>
      <c r="K751" s="7" t="s">
        <v>26</v>
      </c>
      <c r="L751" s="9">
        <v>71</v>
      </c>
      <c r="M751" s="10">
        <v>5.28E-2</v>
      </c>
      <c r="N751" s="6" t="s">
        <v>3580</v>
      </c>
      <c r="O751" s="11">
        <v>32584.32</v>
      </c>
      <c r="P751" s="11"/>
      <c r="Q751" s="18">
        <v>4073.04</v>
      </c>
      <c r="R751" s="19"/>
    </row>
    <row r="752" spans="1:18" hidden="1" x14ac:dyDescent="0.3">
      <c r="A752" s="6" t="s">
        <v>3581</v>
      </c>
      <c r="B752" s="7" t="s">
        <v>3582</v>
      </c>
      <c r="C752" s="17" t="s">
        <v>3147</v>
      </c>
      <c r="D752" s="17"/>
      <c r="E752" s="8">
        <v>16808</v>
      </c>
      <c r="F752" s="9">
        <v>76</v>
      </c>
      <c r="G752" s="6" t="s">
        <v>3584</v>
      </c>
      <c r="H752" s="7" t="s">
        <v>25</v>
      </c>
      <c r="I752" s="6"/>
      <c r="J752" s="7" t="s">
        <v>20</v>
      </c>
      <c r="K752" s="7" t="s">
        <v>26</v>
      </c>
      <c r="L752" s="6"/>
      <c r="M752" s="10">
        <v>5.9799999999999999E-2</v>
      </c>
      <c r="N752" s="6" t="s">
        <v>3585</v>
      </c>
      <c r="O752" s="11">
        <v>18297.599999999999</v>
      </c>
      <c r="P752" s="11"/>
      <c r="Q752" s="18">
        <v>2287.1999999999998</v>
      </c>
      <c r="R752" s="19"/>
    </row>
    <row r="753" spans="1:18" ht="43.2" hidden="1" x14ac:dyDescent="0.3">
      <c r="A753" s="6" t="s">
        <v>3586</v>
      </c>
      <c r="B753" s="7" t="s">
        <v>3587</v>
      </c>
      <c r="C753" s="17" t="s">
        <v>3147</v>
      </c>
      <c r="D753" s="17"/>
      <c r="E753" s="8">
        <v>18175</v>
      </c>
      <c r="F753" s="9">
        <v>73</v>
      </c>
      <c r="G753" s="6" t="s">
        <v>3588</v>
      </c>
      <c r="H753" s="7" t="s">
        <v>39</v>
      </c>
      <c r="I753" s="6" t="s">
        <v>100</v>
      </c>
      <c r="J753" s="7" t="s">
        <v>20</v>
      </c>
      <c r="K753" s="7" t="s">
        <v>32</v>
      </c>
      <c r="L753" s="6"/>
      <c r="M753" s="10">
        <v>5.5300000000000002E-2</v>
      </c>
      <c r="N753" s="6" t="s">
        <v>3589</v>
      </c>
      <c r="O753" s="11">
        <v>6000</v>
      </c>
      <c r="P753" s="11"/>
      <c r="Q753" s="18">
        <v>6000</v>
      </c>
      <c r="R753" s="19"/>
    </row>
    <row r="754" spans="1:18" x14ac:dyDescent="0.3">
      <c r="A754" s="6" t="s">
        <v>3590</v>
      </c>
      <c r="B754" s="7" t="s">
        <v>8592</v>
      </c>
      <c r="C754" s="17" t="s">
        <v>3147</v>
      </c>
      <c r="D754" s="17"/>
      <c r="E754" s="8">
        <v>16501</v>
      </c>
      <c r="F754" s="9">
        <v>77</v>
      </c>
      <c r="G754" s="6" t="s">
        <v>3591</v>
      </c>
      <c r="H754" s="7" t="s">
        <v>25</v>
      </c>
      <c r="I754" s="6"/>
      <c r="J754" s="7" t="s">
        <v>41</v>
      </c>
      <c r="K754" s="7" t="s">
        <v>26</v>
      </c>
      <c r="L754" s="9">
        <v>76</v>
      </c>
      <c r="M754" s="10">
        <v>5.9799999999999999E-2</v>
      </c>
      <c r="N754" s="6" t="s">
        <v>3592</v>
      </c>
      <c r="O754" s="11">
        <v>31897.25</v>
      </c>
      <c r="P754" s="11"/>
      <c r="Q754" s="18">
        <v>3829.45</v>
      </c>
      <c r="R754" s="19"/>
    </row>
    <row r="755" spans="1:18" ht="43.2" hidden="1" x14ac:dyDescent="0.3">
      <c r="A755" s="6" t="s">
        <v>3593</v>
      </c>
      <c r="B755" s="7" t="s">
        <v>125</v>
      </c>
      <c r="C755" s="17" t="s">
        <v>3594</v>
      </c>
      <c r="D755" s="17"/>
      <c r="E755" s="8">
        <v>16893</v>
      </c>
      <c r="F755" s="9">
        <v>76</v>
      </c>
      <c r="G755" s="6" t="s">
        <v>3595</v>
      </c>
      <c r="H755" s="7" t="s">
        <v>39</v>
      </c>
      <c r="I755" s="6" t="s">
        <v>3596</v>
      </c>
      <c r="J755" s="7" t="s">
        <v>20</v>
      </c>
      <c r="K755" s="7" t="s">
        <v>26</v>
      </c>
      <c r="L755" s="6"/>
      <c r="M755" s="10">
        <v>5.9799999999999999E-2</v>
      </c>
      <c r="N755" s="6" t="s">
        <v>3597</v>
      </c>
      <c r="O755" s="11">
        <v>31200</v>
      </c>
      <c r="P755" s="11"/>
      <c r="Q755" s="18">
        <v>3900</v>
      </c>
      <c r="R755" s="19"/>
    </row>
    <row r="756" spans="1:18" ht="43.2" x14ac:dyDescent="0.3">
      <c r="A756" s="6" t="s">
        <v>3598</v>
      </c>
      <c r="B756" s="7" t="s">
        <v>783</v>
      </c>
      <c r="C756" s="17" t="s">
        <v>3599</v>
      </c>
      <c r="D756" s="17"/>
      <c r="E756" s="8">
        <v>18597</v>
      </c>
      <c r="F756" s="9">
        <v>72</v>
      </c>
      <c r="G756" s="6" t="s">
        <v>3600</v>
      </c>
      <c r="H756" s="7" t="s">
        <v>39</v>
      </c>
      <c r="I756" s="6" t="s">
        <v>728</v>
      </c>
      <c r="J756" s="7" t="s">
        <v>41</v>
      </c>
      <c r="K756" s="7" t="s">
        <v>26</v>
      </c>
      <c r="L756" s="9">
        <v>69</v>
      </c>
      <c r="M756" s="10">
        <v>4.7600000000000003E-2</v>
      </c>
      <c r="N756" s="6" t="s">
        <v>3601</v>
      </c>
      <c r="O756" s="11">
        <v>28000</v>
      </c>
      <c r="P756" s="11"/>
      <c r="Q756" s="18">
        <v>3500</v>
      </c>
      <c r="R756" s="19"/>
    </row>
    <row r="757" spans="1:18" ht="28.8" hidden="1" x14ac:dyDescent="0.3">
      <c r="A757" s="6" t="s">
        <v>3602</v>
      </c>
      <c r="B757" s="7" t="s">
        <v>909</v>
      </c>
      <c r="C757" s="17" t="s">
        <v>3603</v>
      </c>
      <c r="D757" s="17"/>
      <c r="E757" s="8">
        <v>18352</v>
      </c>
      <c r="F757" s="9">
        <v>72</v>
      </c>
      <c r="G757" s="6" t="s">
        <v>3605</v>
      </c>
      <c r="H757" s="7" t="s">
        <v>39</v>
      </c>
      <c r="I757" s="6" t="s">
        <v>67</v>
      </c>
      <c r="J757" s="7" t="s">
        <v>20</v>
      </c>
      <c r="K757" s="7" t="s">
        <v>26</v>
      </c>
      <c r="L757" s="6"/>
      <c r="M757" s="10">
        <v>5.3999999999999999E-2</v>
      </c>
      <c r="N757" s="6" t="s">
        <v>3606</v>
      </c>
      <c r="O757" s="11">
        <v>6400</v>
      </c>
      <c r="P757" s="11"/>
      <c r="Q757" s="18">
        <v>800</v>
      </c>
      <c r="R757" s="19"/>
    </row>
    <row r="758" spans="1:18" hidden="1" x14ac:dyDescent="0.3">
      <c r="A758" s="6" t="s">
        <v>3607</v>
      </c>
      <c r="B758" s="7" t="s">
        <v>3608</v>
      </c>
      <c r="C758" s="17" t="s">
        <v>3603</v>
      </c>
      <c r="D758" s="17"/>
      <c r="E758" s="8">
        <v>16874</v>
      </c>
      <c r="F758" s="9">
        <v>76</v>
      </c>
      <c r="G758" s="6" t="s">
        <v>3609</v>
      </c>
      <c r="H758" s="7" t="s">
        <v>25</v>
      </c>
      <c r="I758" s="6"/>
      <c r="J758" s="7" t="s">
        <v>20</v>
      </c>
      <c r="K758" s="7" t="s">
        <v>32</v>
      </c>
      <c r="L758" s="6"/>
      <c r="M758" s="10">
        <v>5.9799999999999999E-2</v>
      </c>
      <c r="N758" s="6" t="s">
        <v>3610</v>
      </c>
      <c r="O758" s="11">
        <v>16621.18</v>
      </c>
      <c r="P758" s="11"/>
      <c r="Q758" s="18">
        <v>16621.18</v>
      </c>
      <c r="R758" s="19"/>
    </row>
    <row r="759" spans="1:18" hidden="1" x14ac:dyDescent="0.3">
      <c r="A759" s="6" t="s">
        <v>3611</v>
      </c>
      <c r="B759" s="7" t="s">
        <v>406</v>
      </c>
      <c r="C759" s="17" t="s">
        <v>3612</v>
      </c>
      <c r="D759" s="17"/>
      <c r="E759" s="8">
        <v>17756</v>
      </c>
      <c r="F759" s="9">
        <v>74</v>
      </c>
      <c r="G759" s="6" t="s">
        <v>3613</v>
      </c>
      <c r="H759" s="7" t="s">
        <v>25</v>
      </c>
      <c r="I759" s="6"/>
      <c r="J759" s="7" t="s">
        <v>20</v>
      </c>
      <c r="K759" s="7" t="s">
        <v>26</v>
      </c>
      <c r="L759" s="6"/>
      <c r="M759" s="10">
        <v>5.67E-2</v>
      </c>
      <c r="N759" s="6" t="s">
        <v>3614</v>
      </c>
      <c r="O759" s="11">
        <v>27306.32</v>
      </c>
      <c r="P759" s="11"/>
      <c r="Q759" s="18">
        <v>3413.29</v>
      </c>
      <c r="R759" s="19"/>
    </row>
    <row r="760" spans="1:18" ht="43.2" hidden="1" x14ac:dyDescent="0.3">
      <c r="A760" s="6" t="s">
        <v>3615</v>
      </c>
      <c r="B760" s="7" t="s">
        <v>1134</v>
      </c>
      <c r="C760" s="17" t="s">
        <v>3616</v>
      </c>
      <c r="D760" s="17"/>
      <c r="E760" s="8">
        <v>17784</v>
      </c>
      <c r="F760" s="9">
        <v>74</v>
      </c>
      <c r="G760" s="6" t="s">
        <v>3617</v>
      </c>
      <c r="H760" s="7" t="s">
        <v>39</v>
      </c>
      <c r="I760" s="6" t="s">
        <v>2646</v>
      </c>
      <c r="J760" s="7" t="s">
        <v>20</v>
      </c>
      <c r="K760" s="7" t="s">
        <v>26</v>
      </c>
      <c r="L760" s="6"/>
      <c r="M760" s="10">
        <v>5.67E-2</v>
      </c>
      <c r="N760" s="6" t="s">
        <v>3618</v>
      </c>
      <c r="O760" s="11">
        <v>13600</v>
      </c>
      <c r="P760" s="11"/>
      <c r="Q760" s="18">
        <v>1700</v>
      </c>
      <c r="R760" s="19"/>
    </row>
    <row r="761" spans="1:18" hidden="1" x14ac:dyDescent="0.3">
      <c r="A761" s="6" t="s">
        <v>3619</v>
      </c>
      <c r="B761" s="7" t="s">
        <v>3620</v>
      </c>
      <c r="C761" s="17" t="s">
        <v>3621</v>
      </c>
      <c r="D761" s="17"/>
      <c r="E761" s="7" t="s">
        <v>3622</v>
      </c>
      <c r="F761" s="9">
        <v>75</v>
      </c>
      <c r="G761" s="6" t="s">
        <v>3623</v>
      </c>
      <c r="H761" s="7" t="s">
        <v>25</v>
      </c>
      <c r="I761" s="6" t="s">
        <v>19</v>
      </c>
      <c r="J761" s="7" t="s">
        <v>20</v>
      </c>
      <c r="K761" s="7" t="s">
        <v>32</v>
      </c>
      <c r="L761" s="6"/>
      <c r="M761" s="10">
        <v>5.8200000000000002E-2</v>
      </c>
      <c r="N761" s="6" t="s">
        <v>3624</v>
      </c>
      <c r="O761" s="6" t="s">
        <v>19</v>
      </c>
      <c r="P761" s="6"/>
      <c r="Q761" s="19" t="s">
        <v>19</v>
      </c>
      <c r="R761" s="19"/>
    </row>
    <row r="762" spans="1:18" hidden="1" x14ac:dyDescent="0.3">
      <c r="A762" s="6" t="s">
        <v>3625</v>
      </c>
      <c r="B762" s="7" t="s">
        <v>3626</v>
      </c>
      <c r="C762" s="17" t="s">
        <v>3627</v>
      </c>
      <c r="D762" s="17"/>
      <c r="E762" s="8">
        <v>17846</v>
      </c>
      <c r="F762" s="9">
        <v>74</v>
      </c>
      <c r="G762" s="6" t="s">
        <v>3628</v>
      </c>
      <c r="H762" s="7" t="s">
        <v>25</v>
      </c>
      <c r="I762" s="6"/>
      <c r="J762" s="7" t="s">
        <v>20</v>
      </c>
      <c r="K762" s="7" t="s">
        <v>26</v>
      </c>
      <c r="L762" s="6"/>
      <c r="M762" s="10">
        <v>5.67E-2</v>
      </c>
      <c r="N762" s="6" t="s">
        <v>3629</v>
      </c>
      <c r="O762" s="11">
        <v>16494.16</v>
      </c>
      <c r="P762" s="11"/>
      <c r="Q762" s="18">
        <v>2061.77</v>
      </c>
      <c r="R762" s="19"/>
    </row>
    <row r="763" spans="1:18" ht="28.8" hidden="1" x14ac:dyDescent="0.3">
      <c r="A763" s="6" t="s">
        <v>3630</v>
      </c>
      <c r="B763" s="7" t="s">
        <v>843</v>
      </c>
      <c r="C763" s="17" t="s">
        <v>3631</v>
      </c>
      <c r="D763" s="17"/>
      <c r="E763" s="8">
        <v>17862</v>
      </c>
      <c r="F763" s="9">
        <v>74</v>
      </c>
      <c r="G763" s="6" t="s">
        <v>3632</v>
      </c>
      <c r="H763" s="7" t="s">
        <v>39</v>
      </c>
      <c r="I763" s="6" t="s">
        <v>951</v>
      </c>
      <c r="J763" s="7" t="s">
        <v>20</v>
      </c>
      <c r="K763" s="7" t="s">
        <v>26</v>
      </c>
      <c r="L763" s="6"/>
      <c r="M763" s="10">
        <v>5.67E-2</v>
      </c>
      <c r="N763" s="6" t="s">
        <v>3633</v>
      </c>
      <c r="O763" s="11">
        <v>6000</v>
      </c>
      <c r="P763" s="11"/>
      <c r="Q763" s="18">
        <v>750</v>
      </c>
      <c r="R763" s="19"/>
    </row>
    <row r="764" spans="1:18" hidden="1" x14ac:dyDescent="0.3">
      <c r="A764" s="6" t="s">
        <v>3634</v>
      </c>
      <c r="B764" s="7" t="s">
        <v>3635</v>
      </c>
      <c r="C764" s="17" t="s">
        <v>509</v>
      </c>
      <c r="D764" s="17"/>
      <c r="E764" s="8">
        <v>17061</v>
      </c>
      <c r="F764" s="9">
        <v>76</v>
      </c>
      <c r="G764" s="6" t="s">
        <v>3636</v>
      </c>
      <c r="H764" s="7" t="s">
        <v>25</v>
      </c>
      <c r="I764" s="6"/>
      <c r="J764" s="7" t="s">
        <v>20</v>
      </c>
      <c r="K764" s="7" t="s">
        <v>26</v>
      </c>
      <c r="L764" s="6"/>
      <c r="M764" s="10">
        <v>5.9799999999999999E-2</v>
      </c>
      <c r="N764" s="6" t="s">
        <v>3637</v>
      </c>
      <c r="O764" s="11">
        <v>25008.32</v>
      </c>
      <c r="P764" s="11"/>
      <c r="Q764" s="18">
        <v>3126.04</v>
      </c>
      <c r="R764" s="19"/>
    </row>
    <row r="765" spans="1:18" ht="43.2" x14ac:dyDescent="0.3">
      <c r="A765" s="6" t="s">
        <v>3638</v>
      </c>
      <c r="B765" s="7" t="s">
        <v>2820</v>
      </c>
      <c r="C765" s="17" t="s">
        <v>3639</v>
      </c>
      <c r="D765" s="17"/>
      <c r="E765" s="8">
        <v>18504</v>
      </c>
      <c r="F765" s="9">
        <v>72</v>
      </c>
      <c r="G765" s="6" t="s">
        <v>3640</v>
      </c>
      <c r="H765" s="7" t="s">
        <v>39</v>
      </c>
      <c r="I765" s="6" t="s">
        <v>144</v>
      </c>
      <c r="J765" s="7" t="s">
        <v>41</v>
      </c>
      <c r="K765" s="7" t="s">
        <v>32</v>
      </c>
      <c r="L765" s="9">
        <v>62</v>
      </c>
      <c r="M765" s="10">
        <v>3.5700000000000003E-2</v>
      </c>
      <c r="N765" s="6" t="s">
        <v>3641</v>
      </c>
      <c r="O765" s="11">
        <v>5000</v>
      </c>
      <c r="P765" s="11"/>
      <c r="Q765" s="18">
        <v>1438.45</v>
      </c>
      <c r="R765" s="19"/>
    </row>
    <row r="766" spans="1:18" ht="43.2" hidden="1" x14ac:dyDescent="0.3">
      <c r="A766" s="6" t="s">
        <v>3642</v>
      </c>
      <c r="B766" s="7" t="s">
        <v>401</v>
      </c>
      <c r="C766" s="17" t="s">
        <v>3639</v>
      </c>
      <c r="D766" s="17"/>
      <c r="E766" s="8">
        <v>18169</v>
      </c>
      <c r="F766" s="9">
        <v>73</v>
      </c>
      <c r="G766" s="6" t="s">
        <v>3643</v>
      </c>
      <c r="H766" s="7" t="s">
        <v>39</v>
      </c>
      <c r="I766" s="6" t="s">
        <v>40</v>
      </c>
      <c r="J766" s="7" t="s">
        <v>20</v>
      </c>
      <c r="K766" s="7" t="s">
        <v>26</v>
      </c>
      <c r="L766" s="6"/>
      <c r="M766" s="10">
        <v>5.5300000000000002E-2</v>
      </c>
      <c r="N766" s="6" t="s">
        <v>3644</v>
      </c>
      <c r="O766" s="11">
        <v>24000</v>
      </c>
      <c r="P766" s="11"/>
      <c r="Q766" s="18">
        <v>3000</v>
      </c>
      <c r="R766" s="19"/>
    </row>
    <row r="767" spans="1:18" ht="43.2" hidden="1" x14ac:dyDescent="0.3">
      <c r="A767" s="6" t="s">
        <v>3645</v>
      </c>
      <c r="B767" s="7" t="s">
        <v>224</v>
      </c>
      <c r="C767" s="17" t="s">
        <v>3646</v>
      </c>
      <c r="D767" s="17"/>
      <c r="E767" s="8">
        <v>16327</v>
      </c>
      <c r="F767" s="9">
        <v>78</v>
      </c>
      <c r="G767" s="6" t="s">
        <v>3647</v>
      </c>
      <c r="H767" s="7" t="s">
        <v>39</v>
      </c>
      <c r="I767" s="6" t="s">
        <v>132</v>
      </c>
      <c r="J767" s="7" t="s">
        <v>20</v>
      </c>
      <c r="K767" s="7" t="s">
        <v>26</v>
      </c>
      <c r="L767" s="6"/>
      <c r="M767" s="10">
        <v>6.3600000000000004E-2</v>
      </c>
      <c r="N767" s="6" t="s">
        <v>3648</v>
      </c>
      <c r="O767" s="11">
        <v>12000</v>
      </c>
      <c r="P767" s="11"/>
      <c r="Q767" s="18">
        <v>1500</v>
      </c>
      <c r="R767" s="19"/>
    </row>
    <row r="768" spans="1:18" ht="43.2" x14ac:dyDescent="0.3">
      <c r="A768" s="6" t="s">
        <v>3649</v>
      </c>
      <c r="B768" s="7" t="s">
        <v>3650</v>
      </c>
      <c r="C768" s="17" t="s">
        <v>3651</v>
      </c>
      <c r="D768" s="17"/>
      <c r="E768" s="8">
        <v>16830</v>
      </c>
      <c r="F768" s="9">
        <v>76</v>
      </c>
      <c r="G768" s="6" t="s">
        <v>3652</v>
      </c>
      <c r="H768" s="7" t="s">
        <v>39</v>
      </c>
      <c r="I768" s="6" t="s">
        <v>144</v>
      </c>
      <c r="J768" s="7" t="s">
        <v>41</v>
      </c>
      <c r="K768" s="7" t="s">
        <v>26</v>
      </c>
      <c r="L768" s="9">
        <v>74</v>
      </c>
      <c r="M768" s="10">
        <v>5.67E-2</v>
      </c>
      <c r="N768" s="6" t="s">
        <v>3653</v>
      </c>
      <c r="O768" s="11">
        <v>43500</v>
      </c>
      <c r="P768" s="11"/>
      <c r="Q768" s="18">
        <v>5000</v>
      </c>
      <c r="R768" s="19"/>
    </row>
    <row r="769" spans="1:18" hidden="1" x14ac:dyDescent="0.3">
      <c r="A769" s="6" t="s">
        <v>3654</v>
      </c>
      <c r="B769" s="7" t="s">
        <v>81</v>
      </c>
      <c r="C769" s="17" t="s">
        <v>3655</v>
      </c>
      <c r="D769" s="17"/>
      <c r="E769" s="8">
        <v>15335</v>
      </c>
      <c r="F769" s="9">
        <v>81</v>
      </c>
      <c r="G769" s="6" t="s">
        <v>3656</v>
      </c>
      <c r="H769" s="7" t="s">
        <v>25</v>
      </c>
      <c r="I769" s="6"/>
      <c r="J769" s="7" t="s">
        <v>20</v>
      </c>
      <c r="K769" s="7" t="s">
        <v>26</v>
      </c>
      <c r="L769" s="6"/>
      <c r="M769" s="10">
        <v>7.0800000000000002E-2</v>
      </c>
      <c r="N769" s="6" t="s">
        <v>3657</v>
      </c>
      <c r="O769" s="11">
        <v>15652.16</v>
      </c>
      <c r="P769" s="11"/>
      <c r="Q769" s="18">
        <v>1956.52</v>
      </c>
      <c r="R769" s="19"/>
    </row>
    <row r="770" spans="1:18" ht="28.8" hidden="1" x14ac:dyDescent="0.3">
      <c r="A770" s="6" t="s">
        <v>3658</v>
      </c>
      <c r="B770" s="7" t="s">
        <v>3659</v>
      </c>
      <c r="C770" s="17" t="s">
        <v>3660</v>
      </c>
      <c r="D770" s="17"/>
      <c r="E770" s="8">
        <v>17860</v>
      </c>
      <c r="F770" s="9">
        <v>74</v>
      </c>
      <c r="G770" s="6" t="s">
        <v>3661</v>
      </c>
      <c r="H770" s="7" t="s">
        <v>39</v>
      </c>
      <c r="I770" s="6" t="s">
        <v>941</v>
      </c>
      <c r="J770" s="7" t="s">
        <v>20</v>
      </c>
      <c r="K770" s="7" t="s">
        <v>26</v>
      </c>
      <c r="L770" s="6"/>
      <c r="M770" s="10">
        <v>5.67E-2</v>
      </c>
      <c r="N770" s="6" t="s">
        <v>3662</v>
      </c>
      <c r="O770" s="11">
        <v>2400</v>
      </c>
      <c r="P770" s="11"/>
      <c r="Q770" s="18">
        <v>300</v>
      </c>
      <c r="R770" s="19"/>
    </row>
    <row r="771" spans="1:18" hidden="1" x14ac:dyDescent="0.3">
      <c r="A771" s="6" t="s">
        <v>3663</v>
      </c>
      <c r="B771" s="7" t="s">
        <v>140</v>
      </c>
      <c r="C771" s="17" t="s">
        <v>3664</v>
      </c>
      <c r="D771" s="17"/>
      <c r="E771" s="7" t="s">
        <v>3665</v>
      </c>
      <c r="F771" s="9">
        <v>82</v>
      </c>
      <c r="G771" s="6" t="s">
        <v>3666</v>
      </c>
      <c r="H771" s="7" t="s">
        <v>25</v>
      </c>
      <c r="I771" s="6" t="s">
        <v>19</v>
      </c>
      <c r="J771" s="7" t="s">
        <v>41</v>
      </c>
      <c r="K771" s="7" t="s">
        <v>32</v>
      </c>
      <c r="L771" s="9">
        <v>79</v>
      </c>
      <c r="M771" s="10">
        <v>6.5799999999999997E-2</v>
      </c>
      <c r="N771" s="6" t="s">
        <v>3667</v>
      </c>
      <c r="O771" s="6" t="s">
        <v>19</v>
      </c>
      <c r="P771" s="6"/>
      <c r="Q771" s="19" t="s">
        <v>19</v>
      </c>
      <c r="R771" s="19"/>
    </row>
    <row r="772" spans="1:18" x14ac:dyDescent="0.3">
      <c r="A772" s="6" t="s">
        <v>3668</v>
      </c>
      <c r="B772" s="7" t="s">
        <v>3669</v>
      </c>
      <c r="C772" s="17" t="s">
        <v>3670</v>
      </c>
      <c r="D772" s="17"/>
      <c r="E772" s="8">
        <v>17631</v>
      </c>
      <c r="F772" s="9">
        <v>74</v>
      </c>
      <c r="G772" s="6" t="s">
        <v>3671</v>
      </c>
      <c r="H772" s="7" t="s">
        <v>25</v>
      </c>
      <c r="I772" s="6"/>
      <c r="J772" s="7" t="s">
        <v>41</v>
      </c>
      <c r="K772" s="7" t="s">
        <v>26</v>
      </c>
      <c r="L772" s="9">
        <v>73</v>
      </c>
      <c r="M772" s="10">
        <v>5.5300000000000002E-2</v>
      </c>
      <c r="N772" s="6" t="s">
        <v>3672</v>
      </c>
      <c r="O772" s="11">
        <v>1827.36</v>
      </c>
      <c r="P772" s="11"/>
      <c r="Q772" s="18">
        <v>228.42</v>
      </c>
      <c r="R772" s="19"/>
    </row>
    <row r="773" spans="1:18" hidden="1" x14ac:dyDescent="0.3">
      <c r="A773" s="6" t="s">
        <v>3673</v>
      </c>
      <c r="B773" s="7" t="s">
        <v>140</v>
      </c>
      <c r="C773" s="17" t="s">
        <v>3674</v>
      </c>
      <c r="D773" s="17"/>
      <c r="E773" s="7" t="s">
        <v>789</v>
      </c>
      <c r="F773" s="9">
        <v>75</v>
      </c>
      <c r="G773" s="6" t="s">
        <v>3675</v>
      </c>
      <c r="H773" s="7" t="s">
        <v>25</v>
      </c>
      <c r="I773" s="6" t="s">
        <v>19</v>
      </c>
      <c r="J773" s="7" t="s">
        <v>20</v>
      </c>
      <c r="K773" s="7" t="s">
        <v>26</v>
      </c>
      <c r="L773" s="6"/>
      <c r="M773" s="10">
        <v>5.8200000000000002E-2</v>
      </c>
      <c r="N773" s="6" t="s">
        <v>3676</v>
      </c>
      <c r="O773" s="6" t="s">
        <v>19</v>
      </c>
      <c r="P773" s="6"/>
      <c r="Q773" s="19" t="s">
        <v>19</v>
      </c>
      <c r="R773" s="19"/>
    </row>
    <row r="774" spans="1:18" ht="28.8" hidden="1" x14ac:dyDescent="0.3">
      <c r="A774" s="6" t="s">
        <v>3677</v>
      </c>
      <c r="B774" s="7" t="s">
        <v>1932</v>
      </c>
      <c r="C774" s="17" t="s">
        <v>3678</v>
      </c>
      <c r="D774" s="17"/>
      <c r="E774" s="8">
        <v>16943</v>
      </c>
      <c r="F774" s="9">
        <v>76</v>
      </c>
      <c r="G774" s="6" t="s">
        <v>3679</v>
      </c>
      <c r="H774" s="7" t="s">
        <v>39</v>
      </c>
      <c r="I774" s="6" t="s">
        <v>1562</v>
      </c>
      <c r="J774" s="7" t="s">
        <v>20</v>
      </c>
      <c r="K774" s="7" t="s">
        <v>26</v>
      </c>
      <c r="L774" s="6"/>
      <c r="M774" s="10">
        <v>5.9799999999999999E-2</v>
      </c>
      <c r="N774" s="6" t="s">
        <v>3680</v>
      </c>
      <c r="O774" s="11">
        <v>5200</v>
      </c>
      <c r="P774" s="11"/>
      <c r="Q774" s="18">
        <v>650</v>
      </c>
      <c r="R774" s="19"/>
    </row>
    <row r="775" spans="1:18" hidden="1" x14ac:dyDescent="0.3">
      <c r="A775" s="6" t="s">
        <v>3681</v>
      </c>
      <c r="B775" s="7" t="s">
        <v>2306</v>
      </c>
      <c r="C775" s="17" t="s">
        <v>3682</v>
      </c>
      <c r="D775" s="17"/>
      <c r="E775" s="8">
        <v>16544</v>
      </c>
      <c r="F775" s="9">
        <v>77</v>
      </c>
      <c r="G775" s="6" t="s">
        <v>3683</v>
      </c>
      <c r="H775" s="7" t="s">
        <v>25</v>
      </c>
      <c r="I775" s="6"/>
      <c r="J775" s="7" t="s">
        <v>20</v>
      </c>
      <c r="K775" s="7" t="s">
        <v>26</v>
      </c>
      <c r="L775" s="6"/>
      <c r="M775" s="10">
        <v>6.1699999999999998E-2</v>
      </c>
      <c r="N775" s="6" t="s">
        <v>3684</v>
      </c>
      <c r="O775" s="11">
        <v>31585.439999999999</v>
      </c>
      <c r="P775" s="11"/>
      <c r="Q775" s="18">
        <v>3948.18</v>
      </c>
      <c r="R775" s="19"/>
    </row>
    <row r="776" spans="1:18" ht="28.8" hidden="1" x14ac:dyDescent="0.3">
      <c r="A776" s="6" t="s">
        <v>3685</v>
      </c>
      <c r="B776" s="7" t="s">
        <v>179</v>
      </c>
      <c r="C776" s="17" t="s">
        <v>3686</v>
      </c>
      <c r="D776" s="17"/>
      <c r="E776" s="8">
        <v>17854</v>
      </c>
      <c r="F776" s="9">
        <v>74</v>
      </c>
      <c r="G776" s="6" t="s">
        <v>3687</v>
      </c>
      <c r="H776" s="7" t="s">
        <v>39</v>
      </c>
      <c r="I776" s="6" t="s">
        <v>1562</v>
      </c>
      <c r="J776" s="7" t="s">
        <v>20</v>
      </c>
      <c r="K776" s="7" t="s">
        <v>26</v>
      </c>
      <c r="L776" s="6"/>
      <c r="M776" s="10">
        <v>5.67E-2</v>
      </c>
      <c r="N776" s="6" t="s">
        <v>3688</v>
      </c>
      <c r="O776" s="11">
        <v>5200</v>
      </c>
      <c r="P776" s="11"/>
      <c r="Q776" s="18">
        <v>650</v>
      </c>
      <c r="R776" s="19"/>
    </row>
    <row r="777" spans="1:18" hidden="1" x14ac:dyDescent="0.3">
      <c r="A777" s="6" t="s">
        <v>3689</v>
      </c>
      <c r="B777" s="7" t="s">
        <v>3690</v>
      </c>
      <c r="C777" s="17" t="s">
        <v>3691</v>
      </c>
      <c r="D777" s="17"/>
      <c r="E777" s="7" t="s">
        <v>3692</v>
      </c>
      <c r="F777" s="9">
        <v>75</v>
      </c>
      <c r="G777" s="6" t="s">
        <v>3693</v>
      </c>
      <c r="H777" s="7" t="s">
        <v>25</v>
      </c>
      <c r="I777" s="6" t="s">
        <v>19</v>
      </c>
      <c r="J777" s="7" t="s">
        <v>20</v>
      </c>
      <c r="K777" s="7" t="s">
        <v>26</v>
      </c>
      <c r="L777" s="6"/>
      <c r="M777" s="10">
        <v>5.8200000000000002E-2</v>
      </c>
      <c r="N777" s="6" t="s">
        <v>3694</v>
      </c>
      <c r="O777" s="6" t="s">
        <v>19</v>
      </c>
      <c r="P777" s="6"/>
      <c r="Q777" s="19" t="s">
        <v>19</v>
      </c>
      <c r="R777" s="19"/>
    </row>
    <row r="778" spans="1:18" ht="43.2" hidden="1" x14ac:dyDescent="0.3">
      <c r="A778" s="6" t="s">
        <v>3695</v>
      </c>
      <c r="B778" s="7" t="s">
        <v>3696</v>
      </c>
      <c r="C778" s="17" t="s">
        <v>3697</v>
      </c>
      <c r="D778" s="17"/>
      <c r="E778" s="8">
        <v>16969</v>
      </c>
      <c r="F778" s="9">
        <v>76</v>
      </c>
      <c r="G778" s="6" t="s">
        <v>3698</v>
      </c>
      <c r="H778" s="7" t="s">
        <v>39</v>
      </c>
      <c r="I778" s="6" t="s">
        <v>106</v>
      </c>
      <c r="J778" s="7" t="s">
        <v>20</v>
      </c>
      <c r="K778" s="7" t="s">
        <v>26</v>
      </c>
      <c r="L778" s="6"/>
      <c r="M778" s="10">
        <v>5.9799999999999999E-2</v>
      </c>
      <c r="N778" s="6" t="s">
        <v>3699</v>
      </c>
      <c r="O778" s="11">
        <v>35000</v>
      </c>
      <c r="P778" s="11"/>
      <c r="Q778" s="18">
        <v>4000</v>
      </c>
      <c r="R778" s="19"/>
    </row>
    <row r="779" spans="1:18" ht="28.8" hidden="1" x14ac:dyDescent="0.3">
      <c r="A779" s="6" t="s">
        <v>3700</v>
      </c>
      <c r="B779" s="7" t="s">
        <v>3701</v>
      </c>
      <c r="C779" s="17" t="s">
        <v>3702</v>
      </c>
      <c r="D779" s="17"/>
      <c r="E779" s="8">
        <v>17452</v>
      </c>
      <c r="F779" s="9">
        <v>75</v>
      </c>
      <c r="G779" s="6" t="s">
        <v>3703</v>
      </c>
      <c r="H779" s="7" t="s">
        <v>39</v>
      </c>
      <c r="I779" s="6" t="s">
        <v>1160</v>
      </c>
      <c r="J779" s="7" t="s">
        <v>20</v>
      </c>
      <c r="K779" s="7" t="s">
        <v>26</v>
      </c>
      <c r="L779" s="6"/>
      <c r="M779" s="10">
        <v>5.8200000000000002E-2</v>
      </c>
      <c r="N779" s="6" t="s">
        <v>3704</v>
      </c>
      <c r="O779" s="11">
        <v>3200</v>
      </c>
      <c r="P779" s="11"/>
      <c r="Q779" s="18">
        <v>400</v>
      </c>
      <c r="R779" s="19"/>
    </row>
    <row r="780" spans="1:18" ht="28.8" hidden="1" x14ac:dyDescent="0.3">
      <c r="A780" s="6" t="s">
        <v>3705</v>
      </c>
      <c r="B780" s="7" t="s">
        <v>3706</v>
      </c>
      <c r="C780" s="17" t="s">
        <v>3707</v>
      </c>
      <c r="D780" s="17"/>
      <c r="E780" s="8">
        <v>17266</v>
      </c>
      <c r="F780" s="9">
        <v>75</v>
      </c>
      <c r="G780" s="6" t="s">
        <v>3708</v>
      </c>
      <c r="H780" s="7" t="s">
        <v>39</v>
      </c>
      <c r="I780" s="6" t="s">
        <v>3709</v>
      </c>
      <c r="J780" s="7" t="s">
        <v>20</v>
      </c>
      <c r="K780" s="7" t="s">
        <v>26</v>
      </c>
      <c r="L780" s="6"/>
      <c r="M780" s="10">
        <v>5.8200000000000002E-2</v>
      </c>
      <c r="N780" s="6" t="s">
        <v>3710</v>
      </c>
      <c r="O780" s="11">
        <v>4541.6000000000004</v>
      </c>
      <c r="P780" s="11"/>
      <c r="Q780" s="18">
        <v>567.70000000000005</v>
      </c>
      <c r="R780" s="19"/>
    </row>
    <row r="781" spans="1:18" ht="43.2" hidden="1" x14ac:dyDescent="0.3">
      <c r="A781" s="6" t="s">
        <v>3711</v>
      </c>
      <c r="B781" s="7" t="s">
        <v>292</v>
      </c>
      <c r="C781" s="17" t="s">
        <v>3712</v>
      </c>
      <c r="D781" s="17"/>
      <c r="E781" s="8">
        <v>18414</v>
      </c>
      <c r="F781" s="9">
        <v>72</v>
      </c>
      <c r="G781" s="6" t="s">
        <v>3713</v>
      </c>
      <c r="H781" s="7" t="s">
        <v>39</v>
      </c>
      <c r="I781" s="6" t="s">
        <v>151</v>
      </c>
      <c r="J781" s="7" t="s">
        <v>20</v>
      </c>
      <c r="K781" s="7" t="s">
        <v>26</v>
      </c>
      <c r="L781" s="6"/>
      <c r="M781" s="10">
        <v>5.3999999999999999E-2</v>
      </c>
      <c r="N781" s="6" t="s">
        <v>3714</v>
      </c>
      <c r="O781" s="11">
        <v>20000</v>
      </c>
      <c r="P781" s="11"/>
      <c r="Q781" s="18">
        <v>2500</v>
      </c>
      <c r="R781" s="19"/>
    </row>
    <row r="782" spans="1:18" ht="43.2" hidden="1" x14ac:dyDescent="0.3">
      <c r="A782" s="6" t="s">
        <v>3715</v>
      </c>
      <c r="B782" s="7" t="s">
        <v>140</v>
      </c>
      <c r="C782" s="17" t="s">
        <v>3712</v>
      </c>
      <c r="D782" s="17"/>
      <c r="E782" s="8">
        <v>17075</v>
      </c>
      <c r="F782" s="9">
        <v>76</v>
      </c>
      <c r="G782" s="6" t="s">
        <v>3716</v>
      </c>
      <c r="H782" s="7" t="s">
        <v>39</v>
      </c>
      <c r="I782" s="6" t="s">
        <v>3717</v>
      </c>
      <c r="J782" s="7" t="s">
        <v>20</v>
      </c>
      <c r="K782" s="7" t="s">
        <v>32</v>
      </c>
      <c r="L782" s="6"/>
      <c r="M782" s="10">
        <v>5.9799999999999999E-2</v>
      </c>
      <c r="N782" s="6" t="s">
        <v>3718</v>
      </c>
      <c r="O782" s="11">
        <v>19600</v>
      </c>
      <c r="P782" s="11"/>
      <c r="Q782" s="18">
        <v>19600</v>
      </c>
      <c r="R782" s="19"/>
    </row>
    <row r="783" spans="1:18" hidden="1" x14ac:dyDescent="0.3">
      <c r="A783" s="6" t="s">
        <v>3719</v>
      </c>
      <c r="B783" s="7" t="s">
        <v>3720</v>
      </c>
      <c r="C783" s="17" t="s">
        <v>3721</v>
      </c>
      <c r="D783" s="17"/>
      <c r="E783" s="8">
        <v>14513</v>
      </c>
      <c r="F783" s="9">
        <v>83</v>
      </c>
      <c r="G783" s="6" t="s">
        <v>3722</v>
      </c>
      <c r="H783" s="7" t="s">
        <v>25</v>
      </c>
      <c r="I783" s="6"/>
      <c r="J783" s="7" t="s">
        <v>20</v>
      </c>
      <c r="K783" s="7" t="s">
        <v>32</v>
      </c>
      <c r="L783" s="6"/>
      <c r="M783" s="10">
        <v>7.7100000000000002E-2</v>
      </c>
      <c r="N783" s="6" t="s">
        <v>3723</v>
      </c>
      <c r="O783" s="11">
        <v>598.64</v>
      </c>
      <c r="P783" s="11"/>
      <c r="Q783" s="18">
        <v>598.64</v>
      </c>
      <c r="R783" s="19"/>
    </row>
    <row r="784" spans="1:18" ht="43.2" hidden="1" x14ac:dyDescent="0.3">
      <c r="A784" s="6" t="s">
        <v>3724</v>
      </c>
      <c r="B784" s="7" t="s">
        <v>168</v>
      </c>
      <c r="C784" s="17" t="s">
        <v>3725</v>
      </c>
      <c r="D784" s="17"/>
      <c r="E784" s="8">
        <v>16220</v>
      </c>
      <c r="F784" s="9">
        <v>78</v>
      </c>
      <c r="G784" s="6" t="s">
        <v>3726</v>
      </c>
      <c r="H784" s="7" t="s">
        <v>39</v>
      </c>
      <c r="I784" s="6" t="s">
        <v>1026</v>
      </c>
      <c r="J784" s="7" t="s">
        <v>20</v>
      </c>
      <c r="K784" s="7" t="s">
        <v>26</v>
      </c>
      <c r="L784" s="6"/>
      <c r="M784" s="10">
        <v>6.3600000000000004E-2</v>
      </c>
      <c r="N784" s="6" t="s">
        <v>3727</v>
      </c>
      <c r="O784" s="11">
        <v>8600</v>
      </c>
      <c r="P784" s="11"/>
      <c r="Q784" s="18">
        <v>1100</v>
      </c>
      <c r="R784" s="19"/>
    </row>
    <row r="785" spans="1:18" ht="43.2" hidden="1" x14ac:dyDescent="0.3">
      <c r="A785" s="6" t="s">
        <v>3728</v>
      </c>
      <c r="B785" s="7" t="s">
        <v>2857</v>
      </c>
      <c r="C785" s="17" t="s">
        <v>3729</v>
      </c>
      <c r="D785" s="17"/>
      <c r="E785" s="8">
        <v>18568</v>
      </c>
      <c r="F785" s="9">
        <v>72</v>
      </c>
      <c r="G785" s="6" t="s">
        <v>3730</v>
      </c>
      <c r="H785" s="7" t="s">
        <v>39</v>
      </c>
      <c r="I785" s="6" t="s">
        <v>40</v>
      </c>
      <c r="J785" s="7" t="s">
        <v>20</v>
      </c>
      <c r="K785" s="7" t="s">
        <v>26</v>
      </c>
      <c r="L785" s="6"/>
      <c r="M785" s="10">
        <v>5.3999999999999999E-2</v>
      </c>
      <c r="N785" s="6" t="s">
        <v>3731</v>
      </c>
      <c r="O785" s="11">
        <v>24000</v>
      </c>
      <c r="P785" s="11"/>
      <c r="Q785" s="18">
        <v>229.05</v>
      </c>
      <c r="R785" s="19"/>
    </row>
    <row r="786" spans="1:18" hidden="1" x14ac:dyDescent="0.3">
      <c r="A786" s="6" t="s">
        <v>3732</v>
      </c>
      <c r="B786" s="7" t="s">
        <v>3733</v>
      </c>
      <c r="C786" s="17" t="s">
        <v>3729</v>
      </c>
      <c r="D786" s="17"/>
      <c r="E786" s="7" t="s">
        <v>3734</v>
      </c>
      <c r="F786" s="9">
        <v>73</v>
      </c>
      <c r="G786" s="6" t="s">
        <v>3735</v>
      </c>
      <c r="H786" s="7" t="s">
        <v>25</v>
      </c>
      <c r="I786" s="6" t="s">
        <v>19</v>
      </c>
      <c r="J786" s="7" t="s">
        <v>20</v>
      </c>
      <c r="K786" s="7" t="s">
        <v>26</v>
      </c>
      <c r="L786" s="6"/>
      <c r="M786" s="10">
        <v>5.5300000000000002E-2</v>
      </c>
      <c r="N786" s="6" t="s">
        <v>3736</v>
      </c>
      <c r="O786" s="6" t="s">
        <v>19</v>
      </c>
      <c r="P786" s="6"/>
      <c r="Q786" s="19" t="s">
        <v>19</v>
      </c>
      <c r="R786" s="19"/>
    </row>
    <row r="787" spans="1:18" ht="43.2" hidden="1" x14ac:dyDescent="0.3">
      <c r="A787" s="6" t="s">
        <v>3737</v>
      </c>
      <c r="B787" s="7" t="s">
        <v>3738</v>
      </c>
      <c r="C787" s="17" t="s">
        <v>3739</v>
      </c>
      <c r="D787" s="17"/>
      <c r="E787" s="8">
        <v>18359</v>
      </c>
      <c r="F787" s="9">
        <v>72</v>
      </c>
      <c r="G787" s="6" t="s">
        <v>3740</v>
      </c>
      <c r="H787" s="7" t="s">
        <v>39</v>
      </c>
      <c r="I787" s="6" t="s">
        <v>182</v>
      </c>
      <c r="J787" s="7" t="s">
        <v>20</v>
      </c>
      <c r="K787" s="7" t="s">
        <v>26</v>
      </c>
      <c r="L787" s="6"/>
      <c r="M787" s="10">
        <v>5.3999999999999999E-2</v>
      </c>
      <c r="N787" s="6" t="s">
        <v>3741</v>
      </c>
      <c r="O787" s="11">
        <v>22500</v>
      </c>
      <c r="P787" s="11"/>
      <c r="Q787" s="18">
        <v>4500</v>
      </c>
      <c r="R787" s="19"/>
    </row>
    <row r="788" spans="1:18" ht="43.2" hidden="1" x14ac:dyDescent="0.3">
      <c r="A788" s="6" t="s">
        <v>3742</v>
      </c>
      <c r="B788" s="7" t="s">
        <v>135</v>
      </c>
      <c r="C788" s="17" t="s">
        <v>3743</v>
      </c>
      <c r="D788" s="17"/>
      <c r="E788" s="7" t="s">
        <v>3744</v>
      </c>
      <c r="F788" s="9">
        <v>80</v>
      </c>
      <c r="G788" s="6" t="s">
        <v>3745</v>
      </c>
      <c r="H788" s="7" t="s">
        <v>39</v>
      </c>
      <c r="I788" s="6" t="s">
        <v>3746</v>
      </c>
      <c r="J788" s="7" t="s">
        <v>20</v>
      </c>
      <c r="K788" s="7" t="s">
        <v>32</v>
      </c>
      <c r="L788" s="6"/>
      <c r="M788" s="10">
        <v>6.8199999999999997E-2</v>
      </c>
      <c r="N788" s="6" t="s">
        <v>3747</v>
      </c>
      <c r="O788" s="6" t="s">
        <v>19</v>
      </c>
      <c r="P788" s="6"/>
      <c r="Q788" s="19" t="s">
        <v>19</v>
      </c>
      <c r="R788" s="19"/>
    </row>
    <row r="789" spans="1:18" hidden="1" x14ac:dyDescent="0.3">
      <c r="A789" s="6" t="s">
        <v>3748</v>
      </c>
      <c r="B789" s="7" t="s">
        <v>793</v>
      </c>
      <c r="C789" s="17" t="s">
        <v>3749</v>
      </c>
      <c r="D789" s="17"/>
      <c r="E789" s="7" t="s">
        <v>3750</v>
      </c>
      <c r="F789" s="9">
        <v>74</v>
      </c>
      <c r="G789" s="6" t="s">
        <v>3751</v>
      </c>
      <c r="H789" s="7" t="s">
        <v>25</v>
      </c>
      <c r="I789" s="6" t="s">
        <v>19</v>
      </c>
      <c r="J789" s="7" t="s">
        <v>20</v>
      </c>
      <c r="K789" s="7" t="s">
        <v>26</v>
      </c>
      <c r="L789" s="6"/>
      <c r="M789" s="10">
        <v>5.67E-2</v>
      </c>
      <c r="N789" s="6" t="s">
        <v>3752</v>
      </c>
      <c r="O789" s="6" t="s">
        <v>19</v>
      </c>
      <c r="P789" s="6"/>
      <c r="Q789" s="19" t="s">
        <v>19</v>
      </c>
      <c r="R789" s="19"/>
    </row>
    <row r="790" spans="1:18" hidden="1" x14ac:dyDescent="0.3">
      <c r="A790" s="6" t="s">
        <v>3753</v>
      </c>
      <c r="B790" s="7" t="s">
        <v>503</v>
      </c>
      <c r="C790" s="17" t="s">
        <v>3754</v>
      </c>
      <c r="D790" s="17"/>
      <c r="E790" s="8">
        <v>17063</v>
      </c>
      <c r="F790" s="9">
        <v>76</v>
      </c>
      <c r="G790" s="6" t="s">
        <v>3755</v>
      </c>
      <c r="H790" s="7" t="s">
        <v>25</v>
      </c>
      <c r="I790" s="6"/>
      <c r="J790" s="7" t="s">
        <v>20</v>
      </c>
      <c r="K790" s="7" t="s">
        <v>26</v>
      </c>
      <c r="L790" s="6"/>
      <c r="M790" s="10">
        <v>5.9799999999999999E-2</v>
      </c>
      <c r="N790" s="6" t="s">
        <v>3756</v>
      </c>
      <c r="O790" s="11">
        <v>5671.12</v>
      </c>
      <c r="P790" s="11"/>
      <c r="Q790" s="18">
        <v>708.89</v>
      </c>
      <c r="R790" s="19"/>
    </row>
    <row r="791" spans="1:18" x14ac:dyDescent="0.3">
      <c r="A791" s="6" t="s">
        <v>3757</v>
      </c>
      <c r="B791" s="7" t="s">
        <v>3758</v>
      </c>
      <c r="C791" s="17" t="s">
        <v>3759</v>
      </c>
      <c r="D791" s="17"/>
      <c r="E791" s="8">
        <v>14030</v>
      </c>
      <c r="F791" s="9">
        <v>84</v>
      </c>
      <c r="G791" s="6" t="s">
        <v>3760</v>
      </c>
      <c r="H791" s="7" t="s">
        <v>25</v>
      </c>
      <c r="I791" s="6"/>
      <c r="J791" s="7" t="s">
        <v>41</v>
      </c>
      <c r="K791" s="7" t="s">
        <v>26</v>
      </c>
      <c r="L791" s="9">
        <v>76</v>
      </c>
      <c r="M791" s="10">
        <v>5.9799999999999999E-2</v>
      </c>
      <c r="N791" s="6" t="s">
        <v>3761</v>
      </c>
      <c r="O791" s="11">
        <v>69219.199999999997</v>
      </c>
      <c r="P791" s="11"/>
      <c r="Q791" s="18">
        <v>8652.4</v>
      </c>
      <c r="R791" s="19"/>
    </row>
    <row r="792" spans="1:18" hidden="1" x14ac:dyDescent="0.3">
      <c r="A792" s="6" t="s">
        <v>3762</v>
      </c>
      <c r="B792" s="7" t="s">
        <v>406</v>
      </c>
      <c r="C792" s="17" t="s">
        <v>3763</v>
      </c>
      <c r="D792" s="17"/>
      <c r="E792" s="7" t="s">
        <v>3604</v>
      </c>
      <c r="F792" s="9">
        <v>72</v>
      </c>
      <c r="G792" s="6" t="s">
        <v>3764</v>
      </c>
      <c r="H792" s="7" t="s">
        <v>25</v>
      </c>
      <c r="I792" s="6" t="s">
        <v>19</v>
      </c>
      <c r="J792" s="7" t="s">
        <v>20</v>
      </c>
      <c r="K792" s="7" t="s">
        <v>32</v>
      </c>
      <c r="L792" s="6"/>
      <c r="M792" s="10">
        <v>5.3999999999999999E-2</v>
      </c>
      <c r="N792" s="6" t="s">
        <v>3765</v>
      </c>
      <c r="O792" s="6" t="s">
        <v>19</v>
      </c>
      <c r="P792" s="6"/>
      <c r="Q792" s="19" t="s">
        <v>19</v>
      </c>
      <c r="R792" s="19"/>
    </row>
    <row r="793" spans="1:18" ht="43.2" hidden="1" x14ac:dyDescent="0.3">
      <c r="A793" s="6" t="s">
        <v>3766</v>
      </c>
      <c r="B793" s="7" t="s">
        <v>2611</v>
      </c>
      <c r="C793" s="17" t="s">
        <v>3767</v>
      </c>
      <c r="D793" s="17"/>
      <c r="E793" s="8">
        <v>18474</v>
      </c>
      <c r="F793" s="9">
        <v>72</v>
      </c>
      <c r="G793" s="6" t="s">
        <v>3768</v>
      </c>
      <c r="H793" s="7" t="s">
        <v>39</v>
      </c>
      <c r="I793" s="6" t="s">
        <v>47</v>
      </c>
      <c r="J793" s="7" t="s">
        <v>20</v>
      </c>
      <c r="K793" s="7" t="s">
        <v>26</v>
      </c>
      <c r="L793" s="6"/>
      <c r="M793" s="10">
        <v>5.3999999999999999E-2</v>
      </c>
      <c r="N793" s="6" t="s">
        <v>3769</v>
      </c>
      <c r="O793" s="11">
        <v>24000</v>
      </c>
      <c r="P793" s="11"/>
      <c r="Q793" s="18">
        <v>3000</v>
      </c>
      <c r="R793" s="19"/>
    </row>
    <row r="794" spans="1:18" x14ac:dyDescent="0.3">
      <c r="A794" s="6" t="s">
        <v>3770</v>
      </c>
      <c r="B794" s="7" t="s">
        <v>1129</v>
      </c>
      <c r="C794" s="17" t="s">
        <v>3771</v>
      </c>
      <c r="D794" s="17"/>
      <c r="E794" s="8">
        <v>15522</v>
      </c>
      <c r="F794" s="9">
        <v>80</v>
      </c>
      <c r="G794" s="6" t="s">
        <v>3772</v>
      </c>
      <c r="H794" s="7" t="s">
        <v>25</v>
      </c>
      <c r="I794" s="6"/>
      <c r="J794" s="7" t="s">
        <v>41</v>
      </c>
      <c r="K794" s="7" t="s">
        <v>26</v>
      </c>
      <c r="L794" s="9">
        <v>74</v>
      </c>
      <c r="M794" s="10">
        <v>5.67E-2</v>
      </c>
      <c r="N794" s="6" t="s">
        <v>3773</v>
      </c>
      <c r="O794" s="11">
        <v>8139.84</v>
      </c>
      <c r="P794" s="11"/>
      <c r="Q794" s="18">
        <v>1017.48</v>
      </c>
      <c r="R794" s="19"/>
    </row>
    <row r="795" spans="1:18" ht="28.8" hidden="1" x14ac:dyDescent="0.3">
      <c r="A795" s="6" t="s">
        <v>3774</v>
      </c>
      <c r="B795" s="7" t="s">
        <v>3775</v>
      </c>
      <c r="C795" s="17" t="s">
        <v>3776</v>
      </c>
      <c r="D795" s="17"/>
      <c r="E795" s="8">
        <v>18376</v>
      </c>
      <c r="F795" s="9">
        <v>72</v>
      </c>
      <c r="G795" s="6" t="s">
        <v>3777</v>
      </c>
      <c r="H795" s="7" t="s">
        <v>39</v>
      </c>
      <c r="I795" s="6" t="s">
        <v>1941</v>
      </c>
      <c r="J795" s="7" t="s">
        <v>20</v>
      </c>
      <c r="K795" s="7" t="s">
        <v>26</v>
      </c>
      <c r="L795" s="6"/>
      <c r="M795" s="10">
        <v>5.3999999999999999E-2</v>
      </c>
      <c r="N795" s="6" t="s">
        <v>3778</v>
      </c>
      <c r="O795" s="11">
        <v>2800</v>
      </c>
      <c r="P795" s="11"/>
      <c r="Q795" s="18">
        <v>350</v>
      </c>
      <c r="R795" s="19"/>
    </row>
    <row r="796" spans="1:18" hidden="1" x14ac:dyDescent="0.3">
      <c r="A796" s="6" t="s">
        <v>3779</v>
      </c>
      <c r="B796" s="7" t="s">
        <v>3780</v>
      </c>
      <c r="C796" s="17" t="s">
        <v>3776</v>
      </c>
      <c r="D796" s="17"/>
      <c r="E796" s="7" t="s">
        <v>3781</v>
      </c>
      <c r="F796" s="9">
        <v>74</v>
      </c>
      <c r="G796" s="6" t="s">
        <v>3782</v>
      </c>
      <c r="H796" s="7" t="s">
        <v>25</v>
      </c>
      <c r="I796" s="6" t="s">
        <v>19</v>
      </c>
      <c r="J796" s="7" t="s">
        <v>20</v>
      </c>
      <c r="K796" s="7" t="s">
        <v>26</v>
      </c>
      <c r="L796" s="6"/>
      <c r="M796" s="10">
        <v>5.67E-2</v>
      </c>
      <c r="N796" s="6" t="s">
        <v>3783</v>
      </c>
      <c r="O796" s="6" t="s">
        <v>19</v>
      </c>
      <c r="P796" s="6"/>
      <c r="Q796" s="19" t="s">
        <v>19</v>
      </c>
      <c r="R796" s="19"/>
    </row>
    <row r="797" spans="1:18" ht="43.2" hidden="1" x14ac:dyDescent="0.3">
      <c r="A797" s="6" t="s">
        <v>3784</v>
      </c>
      <c r="B797" s="7" t="s">
        <v>424</v>
      </c>
      <c r="C797" s="17" t="s">
        <v>3785</v>
      </c>
      <c r="D797" s="17"/>
      <c r="E797" s="8">
        <v>17995</v>
      </c>
      <c r="F797" s="9">
        <v>73</v>
      </c>
      <c r="G797" s="6" t="s">
        <v>3786</v>
      </c>
      <c r="H797" s="7" t="s">
        <v>39</v>
      </c>
      <c r="I797" s="6" t="s">
        <v>3787</v>
      </c>
      <c r="J797" s="7" t="s">
        <v>20</v>
      </c>
      <c r="K797" s="7" t="s">
        <v>32</v>
      </c>
      <c r="L797" s="6"/>
      <c r="M797" s="10">
        <v>5.5300000000000002E-2</v>
      </c>
      <c r="N797" s="6" t="s">
        <v>3788</v>
      </c>
      <c r="O797" s="11">
        <v>22000</v>
      </c>
      <c r="P797" s="11"/>
      <c r="Q797" s="18">
        <v>22000</v>
      </c>
      <c r="R797" s="19"/>
    </row>
    <row r="798" spans="1:18" ht="43.2" hidden="1" x14ac:dyDescent="0.3">
      <c r="A798" s="6" t="s">
        <v>3789</v>
      </c>
      <c r="B798" s="7" t="s">
        <v>3790</v>
      </c>
      <c r="C798" s="17" t="s">
        <v>3791</v>
      </c>
      <c r="D798" s="17"/>
      <c r="E798" s="8">
        <v>18509</v>
      </c>
      <c r="F798" s="9">
        <v>72</v>
      </c>
      <c r="G798" s="6" t="s">
        <v>3792</v>
      </c>
      <c r="H798" s="7" t="s">
        <v>39</v>
      </c>
      <c r="I798" s="6" t="s">
        <v>3793</v>
      </c>
      <c r="J798" s="7" t="s">
        <v>20</v>
      </c>
      <c r="K798" s="7" t="s">
        <v>26</v>
      </c>
      <c r="L798" s="6"/>
      <c r="M798" s="10">
        <v>5.3999999999999999E-2</v>
      </c>
      <c r="N798" s="6" t="s">
        <v>3794</v>
      </c>
      <c r="O798" s="11">
        <v>85408</v>
      </c>
      <c r="P798" s="11"/>
      <c r="Q798" s="18">
        <v>5676</v>
      </c>
      <c r="R798" s="19"/>
    </row>
    <row r="799" spans="1:18" hidden="1" x14ac:dyDescent="0.3">
      <c r="A799" s="6" t="s">
        <v>3795</v>
      </c>
      <c r="B799" s="7" t="s">
        <v>3796</v>
      </c>
      <c r="C799" s="17" t="s">
        <v>3791</v>
      </c>
      <c r="D799" s="17"/>
      <c r="E799" s="8">
        <v>16082</v>
      </c>
      <c r="F799" s="9">
        <v>78</v>
      </c>
      <c r="G799" s="6" t="s">
        <v>3797</v>
      </c>
      <c r="H799" s="7" t="s">
        <v>25</v>
      </c>
      <c r="I799" s="6"/>
      <c r="J799" s="7" t="s">
        <v>20</v>
      </c>
      <c r="K799" s="7" t="s">
        <v>32</v>
      </c>
      <c r="L799" s="6"/>
      <c r="M799" s="10">
        <v>6.3600000000000004E-2</v>
      </c>
      <c r="N799" s="6" t="s">
        <v>3798</v>
      </c>
      <c r="O799" s="11">
        <v>4487.13</v>
      </c>
      <c r="P799" s="11"/>
      <c r="Q799" s="18">
        <v>4487.13</v>
      </c>
      <c r="R799" s="19"/>
    </row>
    <row r="800" spans="1:18" ht="28.8" hidden="1" x14ac:dyDescent="0.3">
      <c r="A800" s="6" t="s">
        <v>3799</v>
      </c>
      <c r="B800" s="7" t="s">
        <v>2182</v>
      </c>
      <c r="C800" s="17" t="s">
        <v>3800</v>
      </c>
      <c r="D800" s="17"/>
      <c r="E800" s="8">
        <v>17265</v>
      </c>
      <c r="F800" s="9">
        <v>75</v>
      </c>
      <c r="G800" s="6" t="s">
        <v>3801</v>
      </c>
      <c r="H800" s="7" t="s">
        <v>39</v>
      </c>
      <c r="I800" s="6" t="s">
        <v>3802</v>
      </c>
      <c r="J800" s="7" t="s">
        <v>20</v>
      </c>
      <c r="K800" s="7" t="s">
        <v>26</v>
      </c>
      <c r="L800" s="6"/>
      <c r="M800" s="10">
        <v>5.8200000000000002E-2</v>
      </c>
      <c r="N800" s="6" t="s">
        <v>3803</v>
      </c>
      <c r="O800" s="11">
        <v>2904</v>
      </c>
      <c r="P800" s="11"/>
      <c r="Q800" s="18">
        <v>363</v>
      </c>
      <c r="R800" s="19"/>
    </row>
    <row r="801" spans="1:18" hidden="1" x14ac:dyDescent="0.3">
      <c r="A801" s="6" t="s">
        <v>3804</v>
      </c>
      <c r="B801" s="7" t="s">
        <v>338</v>
      </c>
      <c r="C801" s="17" t="s">
        <v>3805</v>
      </c>
      <c r="D801" s="17"/>
      <c r="E801" s="8">
        <v>17197</v>
      </c>
      <c r="F801" s="9">
        <v>75</v>
      </c>
      <c r="G801" s="6" t="s">
        <v>3806</v>
      </c>
      <c r="H801" s="7" t="s">
        <v>25</v>
      </c>
      <c r="I801" s="6"/>
      <c r="J801" s="7" t="s">
        <v>20</v>
      </c>
      <c r="K801" s="7" t="s">
        <v>26</v>
      </c>
      <c r="L801" s="6"/>
      <c r="M801" s="10">
        <v>5.8200000000000002E-2</v>
      </c>
      <c r="N801" s="6" t="s">
        <v>3807</v>
      </c>
      <c r="O801" s="11">
        <v>28288.959999999999</v>
      </c>
      <c r="P801" s="11"/>
      <c r="Q801" s="18">
        <v>3536.12</v>
      </c>
      <c r="R801" s="19"/>
    </row>
    <row r="802" spans="1:18" x14ac:dyDescent="0.3">
      <c r="A802" s="6" t="s">
        <v>3808</v>
      </c>
      <c r="B802" s="7" t="s">
        <v>1207</v>
      </c>
      <c r="C802" s="17" t="s">
        <v>3809</v>
      </c>
      <c r="D802" s="17"/>
      <c r="E802" s="8">
        <v>16589</v>
      </c>
      <c r="F802" s="9">
        <v>77</v>
      </c>
      <c r="G802" s="6" t="s">
        <v>3810</v>
      </c>
      <c r="H802" s="7" t="s">
        <v>25</v>
      </c>
      <c r="I802" s="6"/>
      <c r="J802" s="7" t="s">
        <v>41</v>
      </c>
      <c r="K802" s="7" t="s">
        <v>26</v>
      </c>
      <c r="L802" s="9">
        <v>67</v>
      </c>
      <c r="M802" s="10">
        <v>4.3499999999999997E-2</v>
      </c>
      <c r="N802" s="6" t="s">
        <v>3811</v>
      </c>
      <c r="O802" s="11">
        <v>26058.32</v>
      </c>
      <c r="P802" s="11"/>
      <c r="Q802" s="18">
        <v>3257.29</v>
      </c>
      <c r="R802" s="19"/>
    </row>
    <row r="803" spans="1:18" hidden="1" x14ac:dyDescent="0.3">
      <c r="A803" s="6" t="s">
        <v>3812</v>
      </c>
      <c r="B803" s="7" t="s">
        <v>1712</v>
      </c>
      <c r="C803" s="17" t="s">
        <v>3813</v>
      </c>
      <c r="D803" s="17"/>
      <c r="E803" s="8">
        <v>17465</v>
      </c>
      <c r="F803" s="9">
        <v>75</v>
      </c>
      <c r="G803" s="6" t="s">
        <v>3814</v>
      </c>
      <c r="H803" s="7" t="s">
        <v>25</v>
      </c>
      <c r="I803" s="6"/>
      <c r="J803" s="7" t="s">
        <v>20</v>
      </c>
      <c r="K803" s="7" t="s">
        <v>26</v>
      </c>
      <c r="L803" s="6"/>
      <c r="M803" s="10">
        <v>5.8200000000000002E-2</v>
      </c>
      <c r="N803" s="6" t="s">
        <v>3815</v>
      </c>
      <c r="O803" s="11">
        <v>7373.52</v>
      </c>
      <c r="P803" s="11"/>
      <c r="Q803" s="18">
        <v>921.69</v>
      </c>
      <c r="R803" s="19"/>
    </row>
    <row r="804" spans="1:18" hidden="1" x14ac:dyDescent="0.3">
      <c r="A804" s="6" t="s">
        <v>3816</v>
      </c>
      <c r="B804" s="7" t="s">
        <v>977</v>
      </c>
      <c r="C804" s="17" t="s">
        <v>3813</v>
      </c>
      <c r="D804" s="17"/>
      <c r="E804" s="8">
        <v>17862</v>
      </c>
      <c r="F804" s="9">
        <v>74</v>
      </c>
      <c r="G804" s="6" t="s">
        <v>3817</v>
      </c>
      <c r="H804" s="7" t="s">
        <v>25</v>
      </c>
      <c r="I804" s="6"/>
      <c r="J804" s="7" t="s">
        <v>20</v>
      </c>
      <c r="K804" s="7" t="s">
        <v>26</v>
      </c>
      <c r="L804" s="6"/>
      <c r="M804" s="10">
        <v>5.67E-2</v>
      </c>
      <c r="N804" s="6" t="s">
        <v>3818</v>
      </c>
      <c r="O804" s="11">
        <v>11780.48</v>
      </c>
      <c r="P804" s="11"/>
      <c r="Q804" s="18">
        <v>1472.56</v>
      </c>
      <c r="R804" s="19"/>
    </row>
    <row r="805" spans="1:18" ht="43.2" hidden="1" x14ac:dyDescent="0.3">
      <c r="A805" s="6" t="s">
        <v>3819</v>
      </c>
      <c r="B805" s="7" t="s">
        <v>3820</v>
      </c>
      <c r="C805" s="17" t="s">
        <v>3821</v>
      </c>
      <c r="D805" s="17"/>
      <c r="E805" s="8">
        <v>17010</v>
      </c>
      <c r="F805" s="9">
        <v>76</v>
      </c>
      <c r="G805" s="6" t="s">
        <v>3822</v>
      </c>
      <c r="H805" s="7" t="s">
        <v>39</v>
      </c>
      <c r="I805" s="6" t="s">
        <v>1016</v>
      </c>
      <c r="J805" s="7" t="s">
        <v>20</v>
      </c>
      <c r="K805" s="7" t="s">
        <v>26</v>
      </c>
      <c r="L805" s="6"/>
      <c r="M805" s="10">
        <v>5.9799999999999999E-2</v>
      </c>
      <c r="N805" s="6" t="s">
        <v>3823</v>
      </c>
      <c r="O805" s="11">
        <v>9880</v>
      </c>
      <c r="P805" s="11"/>
      <c r="Q805" s="18">
        <v>1235</v>
      </c>
      <c r="R805" s="19"/>
    </row>
    <row r="806" spans="1:18" hidden="1" x14ac:dyDescent="0.3">
      <c r="A806" s="6" t="s">
        <v>3824</v>
      </c>
      <c r="B806" s="7" t="s">
        <v>3825</v>
      </c>
      <c r="C806" s="17" t="s">
        <v>8593</v>
      </c>
      <c r="D806" s="17"/>
      <c r="E806" s="8">
        <v>16302</v>
      </c>
      <c r="F806" s="9">
        <v>78</v>
      </c>
      <c r="G806" s="6" t="s">
        <v>3826</v>
      </c>
      <c r="H806" s="7" t="s">
        <v>25</v>
      </c>
      <c r="I806" s="6"/>
      <c r="J806" s="7" t="s">
        <v>20</v>
      </c>
      <c r="K806" s="7" t="s">
        <v>26</v>
      </c>
      <c r="L806" s="6"/>
      <c r="M806" s="10">
        <v>6.3600000000000004E-2</v>
      </c>
      <c r="N806" s="6" t="s">
        <v>3827</v>
      </c>
      <c r="O806" s="11">
        <v>2293.92</v>
      </c>
      <c r="P806" s="11"/>
      <c r="Q806" s="18">
        <v>286.74</v>
      </c>
      <c r="R806" s="19"/>
    </row>
    <row r="807" spans="1:18" ht="43.2" x14ac:dyDescent="0.3">
      <c r="A807" s="6" t="s">
        <v>3828</v>
      </c>
      <c r="B807" s="7" t="s">
        <v>120</v>
      </c>
      <c r="C807" s="17" t="s">
        <v>3829</v>
      </c>
      <c r="D807" s="17"/>
      <c r="E807" s="8">
        <v>17025</v>
      </c>
      <c r="F807" s="9">
        <v>76</v>
      </c>
      <c r="G807" s="6" t="s">
        <v>3830</v>
      </c>
      <c r="H807" s="7" t="s">
        <v>39</v>
      </c>
      <c r="I807" s="6" t="s">
        <v>106</v>
      </c>
      <c r="J807" s="7" t="s">
        <v>41</v>
      </c>
      <c r="K807" s="7" t="s">
        <v>26</v>
      </c>
      <c r="L807" s="9">
        <v>69</v>
      </c>
      <c r="M807" s="10">
        <v>4.7600000000000003E-2</v>
      </c>
      <c r="N807" s="6" t="s">
        <v>3831</v>
      </c>
      <c r="O807" s="11">
        <v>32000</v>
      </c>
      <c r="P807" s="11"/>
      <c r="Q807" s="18">
        <v>4000</v>
      </c>
      <c r="R807" s="19"/>
    </row>
    <row r="808" spans="1:18" hidden="1" x14ac:dyDescent="0.3">
      <c r="A808" s="6" t="s">
        <v>3832</v>
      </c>
      <c r="B808" s="7" t="s">
        <v>3833</v>
      </c>
      <c r="C808" s="17" t="s">
        <v>3834</v>
      </c>
      <c r="D808" s="17"/>
      <c r="E808" s="8">
        <v>17621</v>
      </c>
      <c r="F808" s="9">
        <v>74</v>
      </c>
      <c r="G808" s="6" t="s">
        <v>3835</v>
      </c>
      <c r="H808" s="7" t="s">
        <v>25</v>
      </c>
      <c r="I808" s="6"/>
      <c r="J808" s="7" t="s">
        <v>20</v>
      </c>
      <c r="K808" s="7" t="s">
        <v>32</v>
      </c>
      <c r="L808" s="6"/>
      <c r="M808" s="10">
        <v>5.67E-2</v>
      </c>
      <c r="N808" s="6" t="s">
        <v>3836</v>
      </c>
      <c r="O808" s="11">
        <v>877.34</v>
      </c>
      <c r="P808" s="11"/>
      <c r="Q808" s="18">
        <v>877.34</v>
      </c>
      <c r="R808" s="19"/>
    </row>
    <row r="809" spans="1:18" hidden="1" x14ac:dyDescent="0.3">
      <c r="A809" s="6" t="s">
        <v>3837</v>
      </c>
      <c r="B809" s="7" t="s">
        <v>498</v>
      </c>
      <c r="C809" s="17" t="s">
        <v>3838</v>
      </c>
      <c r="D809" s="17"/>
      <c r="E809" s="7" t="s">
        <v>3839</v>
      </c>
      <c r="F809" s="9">
        <v>77</v>
      </c>
      <c r="G809" s="6" t="s">
        <v>3840</v>
      </c>
      <c r="H809" s="7" t="s">
        <v>19</v>
      </c>
      <c r="I809" s="6" t="s">
        <v>19</v>
      </c>
      <c r="J809" s="7" t="s">
        <v>20</v>
      </c>
      <c r="K809" s="7"/>
      <c r="L809" s="6"/>
      <c r="M809" s="10">
        <v>6.1699999999999998E-2</v>
      </c>
      <c r="N809" s="6" t="s">
        <v>3841</v>
      </c>
      <c r="O809" s="6" t="s">
        <v>19</v>
      </c>
      <c r="P809" s="6"/>
      <c r="Q809" s="19" t="s">
        <v>19</v>
      </c>
      <c r="R809" s="19"/>
    </row>
    <row r="810" spans="1:18" hidden="1" x14ac:dyDescent="0.3">
      <c r="A810" s="6" t="s">
        <v>3842</v>
      </c>
      <c r="B810" s="7" t="s">
        <v>2751</v>
      </c>
      <c r="C810" s="17" t="s">
        <v>3843</v>
      </c>
      <c r="D810" s="17"/>
      <c r="E810" s="7" t="s">
        <v>3844</v>
      </c>
      <c r="F810" s="9">
        <v>72</v>
      </c>
      <c r="G810" s="6" t="s">
        <v>3845</v>
      </c>
      <c r="H810" s="7" t="s">
        <v>19</v>
      </c>
      <c r="I810" s="6" t="s">
        <v>19</v>
      </c>
      <c r="J810" s="7" t="s">
        <v>20</v>
      </c>
      <c r="K810" s="7"/>
      <c r="L810" s="6"/>
      <c r="M810" s="10">
        <v>5.3999999999999999E-2</v>
      </c>
      <c r="N810" s="6" t="s">
        <v>3846</v>
      </c>
      <c r="O810" s="6" t="s">
        <v>19</v>
      </c>
      <c r="P810" s="6"/>
      <c r="Q810" s="19" t="s">
        <v>19</v>
      </c>
      <c r="R810" s="19"/>
    </row>
    <row r="811" spans="1:18" ht="43.2" hidden="1" x14ac:dyDescent="0.3">
      <c r="A811" s="6" t="s">
        <v>3847</v>
      </c>
      <c r="B811" s="7" t="s">
        <v>1712</v>
      </c>
      <c r="C811" s="17" t="s">
        <v>3848</v>
      </c>
      <c r="D811" s="17"/>
      <c r="E811" s="8">
        <v>17721</v>
      </c>
      <c r="F811" s="9">
        <v>74</v>
      </c>
      <c r="G811" s="6" t="s">
        <v>3849</v>
      </c>
      <c r="H811" s="7" t="s">
        <v>39</v>
      </c>
      <c r="I811" s="6" t="s">
        <v>3850</v>
      </c>
      <c r="J811" s="7" t="s">
        <v>20</v>
      </c>
      <c r="K811" s="7" t="s">
        <v>26</v>
      </c>
      <c r="L811" s="6"/>
      <c r="M811" s="10">
        <v>5.67E-2</v>
      </c>
      <c r="N811" s="6" t="s">
        <v>3851</v>
      </c>
      <c r="O811" s="11">
        <v>41600</v>
      </c>
      <c r="P811" s="11"/>
      <c r="Q811" s="18">
        <v>5200</v>
      </c>
      <c r="R811" s="19"/>
    </row>
    <row r="812" spans="1:18" ht="43.2" hidden="1" x14ac:dyDescent="0.3">
      <c r="A812" s="6" t="s">
        <v>3852</v>
      </c>
      <c r="B812" s="7" t="s">
        <v>3853</v>
      </c>
      <c r="C812" s="17" t="s">
        <v>3854</v>
      </c>
      <c r="D812" s="17"/>
      <c r="E812" s="8">
        <v>17224</v>
      </c>
      <c r="F812" s="9">
        <v>75</v>
      </c>
      <c r="G812" s="6" t="s">
        <v>3855</v>
      </c>
      <c r="H812" s="7" t="s">
        <v>39</v>
      </c>
      <c r="I812" s="6" t="s">
        <v>132</v>
      </c>
      <c r="J812" s="7" t="s">
        <v>20</v>
      </c>
      <c r="K812" s="7" t="s">
        <v>26</v>
      </c>
      <c r="L812" s="6"/>
      <c r="M812" s="10">
        <v>5.8200000000000002E-2</v>
      </c>
      <c r="N812" s="6" t="s">
        <v>3856</v>
      </c>
      <c r="O812" s="11">
        <v>12000</v>
      </c>
      <c r="P812" s="11"/>
      <c r="Q812" s="18">
        <v>1500</v>
      </c>
      <c r="R812" s="19"/>
    </row>
    <row r="813" spans="1:18" ht="43.2" hidden="1" x14ac:dyDescent="0.3">
      <c r="A813" s="6" t="s">
        <v>3857</v>
      </c>
      <c r="B813" s="7" t="s">
        <v>3858</v>
      </c>
      <c r="C813" s="17" t="s">
        <v>3859</v>
      </c>
      <c r="D813" s="17"/>
      <c r="E813" s="8">
        <v>16115</v>
      </c>
      <c r="F813" s="9">
        <v>78</v>
      </c>
      <c r="G813" s="6" t="s">
        <v>3860</v>
      </c>
      <c r="H813" s="7" t="s">
        <v>39</v>
      </c>
      <c r="I813" s="6" t="s">
        <v>47</v>
      </c>
      <c r="J813" s="7" t="s">
        <v>20</v>
      </c>
      <c r="K813" s="7" t="s">
        <v>26</v>
      </c>
      <c r="L813" s="6"/>
      <c r="M813" s="10">
        <v>6.3600000000000004E-2</v>
      </c>
      <c r="N813" s="6" t="s">
        <v>3861</v>
      </c>
      <c r="O813" s="11">
        <v>8000</v>
      </c>
      <c r="P813" s="11"/>
      <c r="Q813" s="18">
        <v>1000</v>
      </c>
      <c r="R813" s="19"/>
    </row>
    <row r="814" spans="1:18" ht="28.8" hidden="1" x14ac:dyDescent="0.3">
      <c r="A814" s="6" t="s">
        <v>3862</v>
      </c>
      <c r="B814" s="7" t="s">
        <v>3863</v>
      </c>
      <c r="C814" s="17" t="s">
        <v>3864</v>
      </c>
      <c r="D814" s="17"/>
      <c r="E814" s="8">
        <v>17300</v>
      </c>
      <c r="F814" s="9">
        <v>75</v>
      </c>
      <c r="G814" s="6" t="s">
        <v>3865</v>
      </c>
      <c r="H814" s="7" t="s">
        <v>39</v>
      </c>
      <c r="I814" s="6" t="s">
        <v>3866</v>
      </c>
      <c r="J814" s="7" t="s">
        <v>20</v>
      </c>
      <c r="K814" s="7" t="s">
        <v>26</v>
      </c>
      <c r="L814" s="6"/>
      <c r="M814" s="10">
        <v>5.8200000000000002E-2</v>
      </c>
      <c r="N814" s="6" t="s">
        <v>3867</v>
      </c>
      <c r="O814" s="11">
        <v>2960</v>
      </c>
      <c r="P814" s="11"/>
      <c r="Q814" s="18">
        <v>370</v>
      </c>
      <c r="R814" s="19"/>
    </row>
    <row r="815" spans="1:18" x14ac:dyDescent="0.3">
      <c r="A815" s="6" t="s">
        <v>3868</v>
      </c>
      <c r="B815" s="7" t="s">
        <v>2890</v>
      </c>
      <c r="C815" s="17" t="s">
        <v>2532</v>
      </c>
      <c r="D815" s="17"/>
      <c r="E815" s="8">
        <v>18177</v>
      </c>
      <c r="F815" s="9">
        <v>73</v>
      </c>
      <c r="G815" s="6" t="s">
        <v>3869</v>
      </c>
      <c r="H815" s="7" t="s">
        <v>25</v>
      </c>
      <c r="I815" s="6"/>
      <c r="J815" s="7" t="s">
        <v>41</v>
      </c>
      <c r="K815" s="7" t="s">
        <v>32</v>
      </c>
      <c r="L815" s="9">
        <v>67</v>
      </c>
      <c r="M815" s="10">
        <v>4.3499999999999997E-2</v>
      </c>
      <c r="N815" s="6" t="s">
        <v>3870</v>
      </c>
      <c r="O815" s="11">
        <v>36027.35</v>
      </c>
      <c r="P815" s="11"/>
      <c r="Q815" s="18">
        <v>36027.35</v>
      </c>
      <c r="R815" s="19"/>
    </row>
    <row r="816" spans="1:18" ht="43.2" hidden="1" x14ac:dyDescent="0.3">
      <c r="A816" s="6" t="s">
        <v>3871</v>
      </c>
      <c r="B816" s="7" t="s">
        <v>3872</v>
      </c>
      <c r="C816" s="17" t="s">
        <v>2532</v>
      </c>
      <c r="D816" s="17"/>
      <c r="E816" s="8">
        <v>17242</v>
      </c>
      <c r="F816" s="9">
        <v>75</v>
      </c>
      <c r="G816" s="6" t="s">
        <v>3873</v>
      </c>
      <c r="H816" s="7" t="s">
        <v>39</v>
      </c>
      <c r="I816" s="6" t="s">
        <v>432</v>
      </c>
      <c r="J816" s="7" t="s">
        <v>20</v>
      </c>
      <c r="K816" s="7" t="s">
        <v>26</v>
      </c>
      <c r="L816" s="6"/>
      <c r="M816" s="10">
        <v>5.8200000000000002E-2</v>
      </c>
      <c r="N816" s="6" t="s">
        <v>3874</v>
      </c>
      <c r="O816" s="11">
        <v>19200</v>
      </c>
      <c r="P816" s="11"/>
      <c r="Q816" s="18">
        <v>2400</v>
      </c>
      <c r="R816" s="19"/>
    </row>
    <row r="817" spans="1:18" ht="28.8" hidden="1" x14ac:dyDescent="0.3">
      <c r="A817" s="6" t="s">
        <v>3875</v>
      </c>
      <c r="B817" s="7" t="s">
        <v>401</v>
      </c>
      <c r="C817" s="17" t="s">
        <v>2532</v>
      </c>
      <c r="D817" s="17"/>
      <c r="E817" s="8">
        <v>18571</v>
      </c>
      <c r="F817" s="9">
        <v>72</v>
      </c>
      <c r="G817" s="6" t="s">
        <v>3876</v>
      </c>
      <c r="H817" s="7" t="s">
        <v>39</v>
      </c>
      <c r="I817" s="6" t="s">
        <v>321</v>
      </c>
      <c r="J817" s="7" t="s">
        <v>20</v>
      </c>
      <c r="K817" s="7" t="s">
        <v>26</v>
      </c>
      <c r="L817" s="6"/>
      <c r="M817" s="10">
        <v>5.3999999999999999E-2</v>
      </c>
      <c r="N817" s="6" t="s">
        <v>3877</v>
      </c>
      <c r="O817" s="11">
        <v>3500</v>
      </c>
      <c r="P817" s="11"/>
      <c r="Q817" s="18">
        <v>500</v>
      </c>
      <c r="R817" s="19"/>
    </row>
    <row r="818" spans="1:18" ht="43.2" hidden="1" x14ac:dyDescent="0.3">
      <c r="A818" s="6" t="s">
        <v>3878</v>
      </c>
      <c r="B818" s="7" t="s">
        <v>550</v>
      </c>
      <c r="C818" s="17" t="s">
        <v>2532</v>
      </c>
      <c r="D818" s="17"/>
      <c r="E818" s="8">
        <v>18414</v>
      </c>
      <c r="F818" s="9">
        <v>72</v>
      </c>
      <c r="G818" s="6" t="s">
        <v>3879</v>
      </c>
      <c r="H818" s="7" t="s">
        <v>39</v>
      </c>
      <c r="I818" s="6" t="s">
        <v>47</v>
      </c>
      <c r="J818" s="7" t="s">
        <v>20</v>
      </c>
      <c r="K818" s="7" t="s">
        <v>26</v>
      </c>
      <c r="L818" s="6"/>
      <c r="M818" s="10">
        <v>5.3999999999999999E-2</v>
      </c>
      <c r="N818" s="6" t="s">
        <v>3880</v>
      </c>
      <c r="O818" s="11">
        <v>8000</v>
      </c>
      <c r="P818" s="11"/>
      <c r="Q818" s="18">
        <v>1000</v>
      </c>
      <c r="R818" s="19"/>
    </row>
    <row r="819" spans="1:18" ht="28.8" hidden="1" x14ac:dyDescent="0.3">
      <c r="A819" s="6" t="s">
        <v>3881</v>
      </c>
      <c r="B819" s="7" t="s">
        <v>793</v>
      </c>
      <c r="C819" s="17" t="s">
        <v>3882</v>
      </c>
      <c r="D819" s="17"/>
      <c r="E819" s="8">
        <v>17886</v>
      </c>
      <c r="F819" s="9">
        <v>74</v>
      </c>
      <c r="G819" s="6" t="s">
        <v>3883</v>
      </c>
      <c r="H819" s="7" t="s">
        <v>39</v>
      </c>
      <c r="I819" s="6" t="s">
        <v>321</v>
      </c>
      <c r="J819" s="7" t="s">
        <v>20</v>
      </c>
      <c r="K819" s="7" t="s">
        <v>26</v>
      </c>
      <c r="L819" s="6"/>
      <c r="M819" s="10">
        <v>5.67E-2</v>
      </c>
      <c r="N819" s="6" t="s">
        <v>3884</v>
      </c>
      <c r="O819" s="11">
        <v>4000</v>
      </c>
      <c r="P819" s="11"/>
      <c r="Q819" s="18">
        <v>500</v>
      </c>
      <c r="R819" s="19"/>
    </row>
    <row r="820" spans="1:18" hidden="1" x14ac:dyDescent="0.3">
      <c r="A820" s="6" t="s">
        <v>3885</v>
      </c>
      <c r="B820" s="7" t="s">
        <v>3886</v>
      </c>
      <c r="C820" s="17" t="s">
        <v>3887</v>
      </c>
      <c r="D820" s="17"/>
      <c r="E820" s="7" t="s">
        <v>3888</v>
      </c>
      <c r="F820" s="9">
        <v>79</v>
      </c>
      <c r="G820" s="6" t="s">
        <v>3889</v>
      </c>
      <c r="H820" s="7" t="s">
        <v>25</v>
      </c>
      <c r="I820" s="6" t="s">
        <v>19</v>
      </c>
      <c r="J820" s="7" t="s">
        <v>20</v>
      </c>
      <c r="K820" s="7" t="s">
        <v>32</v>
      </c>
      <c r="L820" s="6"/>
      <c r="M820" s="10">
        <v>6.5799999999999997E-2</v>
      </c>
      <c r="N820" s="6" t="s">
        <v>3890</v>
      </c>
      <c r="O820" s="6" t="s">
        <v>19</v>
      </c>
      <c r="P820" s="6"/>
      <c r="Q820" s="19" t="s">
        <v>19</v>
      </c>
      <c r="R820" s="19"/>
    </row>
    <row r="821" spans="1:18" ht="43.2" hidden="1" x14ac:dyDescent="0.3">
      <c r="A821" s="6" t="s">
        <v>3891</v>
      </c>
      <c r="B821" s="7" t="s">
        <v>1570</v>
      </c>
      <c r="C821" s="17" t="s">
        <v>3892</v>
      </c>
      <c r="D821" s="17"/>
      <c r="E821" s="8">
        <v>17700</v>
      </c>
      <c r="F821" s="9">
        <v>74</v>
      </c>
      <c r="G821" s="6" t="s">
        <v>3893</v>
      </c>
      <c r="H821" s="7" t="s">
        <v>39</v>
      </c>
      <c r="I821" s="6" t="s">
        <v>2646</v>
      </c>
      <c r="J821" s="7" t="s">
        <v>20</v>
      </c>
      <c r="K821" s="7" t="s">
        <v>26</v>
      </c>
      <c r="L821" s="6"/>
      <c r="M821" s="10">
        <v>5.67E-2</v>
      </c>
      <c r="N821" s="6" t="s">
        <v>3894</v>
      </c>
      <c r="O821" s="11">
        <v>13600</v>
      </c>
      <c r="P821" s="11"/>
      <c r="Q821" s="18">
        <v>1700</v>
      </c>
      <c r="R821" s="19"/>
    </row>
    <row r="822" spans="1:18" hidden="1" x14ac:dyDescent="0.3">
      <c r="A822" s="6" t="s">
        <v>3895</v>
      </c>
      <c r="B822" s="7" t="s">
        <v>3896</v>
      </c>
      <c r="C822" s="17" t="s">
        <v>3897</v>
      </c>
      <c r="D822" s="17"/>
      <c r="E822" s="7" t="s">
        <v>3898</v>
      </c>
      <c r="F822" s="9">
        <v>73</v>
      </c>
      <c r="G822" s="6" t="s">
        <v>3899</v>
      </c>
      <c r="H822" s="7" t="s">
        <v>25</v>
      </c>
      <c r="I822" s="6" t="s">
        <v>19</v>
      </c>
      <c r="J822" s="7" t="s">
        <v>20</v>
      </c>
      <c r="K822" s="7" t="s">
        <v>26</v>
      </c>
      <c r="L822" s="6"/>
      <c r="M822" s="10">
        <v>5.5300000000000002E-2</v>
      </c>
      <c r="N822" s="6" t="s">
        <v>3900</v>
      </c>
      <c r="O822" s="6" t="s">
        <v>19</v>
      </c>
      <c r="P822" s="6"/>
      <c r="Q822" s="19" t="s">
        <v>19</v>
      </c>
      <c r="R822" s="19"/>
    </row>
    <row r="823" spans="1:18" ht="43.2" hidden="1" x14ac:dyDescent="0.3">
      <c r="A823" s="6" t="s">
        <v>3901</v>
      </c>
      <c r="B823" s="7" t="s">
        <v>3902</v>
      </c>
      <c r="C823" s="17" t="s">
        <v>3903</v>
      </c>
      <c r="D823" s="17"/>
      <c r="E823" s="8">
        <v>18564</v>
      </c>
      <c r="F823" s="9">
        <v>72</v>
      </c>
      <c r="G823" s="6" t="s">
        <v>3904</v>
      </c>
      <c r="H823" s="7" t="s">
        <v>39</v>
      </c>
      <c r="I823" s="6" t="s">
        <v>538</v>
      </c>
      <c r="J823" s="7" t="s">
        <v>20</v>
      </c>
      <c r="K823" s="7" t="s">
        <v>26</v>
      </c>
      <c r="L823" s="6"/>
      <c r="M823" s="10">
        <v>5.3999999999999999E-2</v>
      </c>
      <c r="N823" s="6" t="s">
        <v>3905</v>
      </c>
      <c r="O823" s="11">
        <v>12800</v>
      </c>
      <c r="P823" s="11"/>
      <c r="Q823" s="18">
        <v>1600</v>
      </c>
      <c r="R823" s="19"/>
    </row>
    <row r="824" spans="1:18" ht="28.8" hidden="1" x14ac:dyDescent="0.3">
      <c r="A824" s="6" t="s">
        <v>3906</v>
      </c>
      <c r="B824" s="7" t="s">
        <v>1089</v>
      </c>
      <c r="C824" s="17" t="s">
        <v>3907</v>
      </c>
      <c r="D824" s="17"/>
      <c r="E824" s="8">
        <v>16346</v>
      </c>
      <c r="F824" s="9">
        <v>78</v>
      </c>
      <c r="G824" s="6" t="s">
        <v>3908</v>
      </c>
      <c r="H824" s="7" t="s">
        <v>39</v>
      </c>
      <c r="I824" s="6" t="s">
        <v>249</v>
      </c>
      <c r="J824" s="7" t="s">
        <v>20</v>
      </c>
      <c r="K824" s="7" t="s">
        <v>26</v>
      </c>
      <c r="L824" s="6"/>
      <c r="M824" s="10">
        <v>6.3600000000000004E-2</v>
      </c>
      <c r="N824" s="6" t="s">
        <v>3909</v>
      </c>
      <c r="O824" s="11">
        <v>1600</v>
      </c>
      <c r="P824" s="11"/>
      <c r="Q824" s="18">
        <v>200</v>
      </c>
      <c r="R824" s="19"/>
    </row>
    <row r="825" spans="1:18" hidden="1" x14ac:dyDescent="0.3">
      <c r="A825" s="6" t="s">
        <v>3910</v>
      </c>
      <c r="B825" s="7" t="s">
        <v>3911</v>
      </c>
      <c r="C825" s="17" t="s">
        <v>3912</v>
      </c>
      <c r="D825" s="17"/>
      <c r="E825" s="8">
        <v>16150</v>
      </c>
      <c r="F825" s="9">
        <v>78</v>
      </c>
      <c r="G825" s="6" t="s">
        <v>3913</v>
      </c>
      <c r="H825" s="7" t="s">
        <v>25</v>
      </c>
      <c r="I825" s="6"/>
      <c r="J825" s="7" t="s">
        <v>20</v>
      </c>
      <c r="K825" s="7" t="s">
        <v>26</v>
      </c>
      <c r="L825" s="6"/>
      <c r="M825" s="10">
        <v>6.3600000000000004E-2</v>
      </c>
      <c r="N825" s="6" t="s">
        <v>3914</v>
      </c>
      <c r="O825" s="11">
        <v>2138.08</v>
      </c>
      <c r="P825" s="11"/>
      <c r="Q825" s="18">
        <v>42.19</v>
      </c>
      <c r="R825" s="19"/>
    </row>
    <row r="826" spans="1:18" ht="28.8" x14ac:dyDescent="0.3">
      <c r="A826" s="6" t="s">
        <v>3915</v>
      </c>
      <c r="B826" s="7" t="s">
        <v>1303</v>
      </c>
      <c r="C826" s="17" t="s">
        <v>3916</v>
      </c>
      <c r="D826" s="17"/>
      <c r="E826" s="8">
        <v>16925</v>
      </c>
      <c r="F826" s="9">
        <v>76</v>
      </c>
      <c r="G826" s="6" t="s">
        <v>3917</v>
      </c>
      <c r="H826" s="7" t="s">
        <v>39</v>
      </c>
      <c r="I826" s="6" t="s">
        <v>321</v>
      </c>
      <c r="J826" s="7" t="s">
        <v>41</v>
      </c>
      <c r="K826" s="7" t="s">
        <v>26</v>
      </c>
      <c r="L826" s="9">
        <v>67</v>
      </c>
      <c r="M826" s="10">
        <v>4.3499999999999997E-2</v>
      </c>
      <c r="N826" s="6" t="s">
        <v>3918</v>
      </c>
      <c r="O826" s="11">
        <v>4000</v>
      </c>
      <c r="P826" s="11"/>
      <c r="Q826" s="18">
        <v>500</v>
      </c>
      <c r="R826" s="19"/>
    </row>
    <row r="827" spans="1:18" hidden="1" x14ac:dyDescent="0.3">
      <c r="A827" s="6" t="s">
        <v>3919</v>
      </c>
      <c r="B827" s="7" t="s">
        <v>3920</v>
      </c>
      <c r="C827" s="17" t="s">
        <v>3921</v>
      </c>
      <c r="D827" s="17"/>
      <c r="E827" s="8">
        <v>17517</v>
      </c>
      <c r="F827" s="9">
        <v>75</v>
      </c>
      <c r="G827" s="6" t="s">
        <v>3922</v>
      </c>
      <c r="H827" s="7" t="s">
        <v>25</v>
      </c>
      <c r="I827" s="6"/>
      <c r="J827" s="7" t="s">
        <v>20</v>
      </c>
      <c r="K827" s="7" t="s">
        <v>26</v>
      </c>
      <c r="L827" s="6"/>
      <c r="M827" s="10">
        <v>5.8200000000000002E-2</v>
      </c>
      <c r="N827" s="6" t="s">
        <v>3923</v>
      </c>
      <c r="O827" s="11">
        <v>38307.68</v>
      </c>
      <c r="P827" s="11"/>
      <c r="Q827" s="18">
        <v>4788.46</v>
      </c>
      <c r="R827" s="19"/>
    </row>
    <row r="828" spans="1:18" ht="43.2" hidden="1" x14ac:dyDescent="0.3">
      <c r="A828" s="6" t="s">
        <v>3924</v>
      </c>
      <c r="B828" s="7" t="s">
        <v>3925</v>
      </c>
      <c r="C828" s="17" t="s">
        <v>3926</v>
      </c>
      <c r="D828" s="17"/>
      <c r="E828" s="8">
        <v>17785</v>
      </c>
      <c r="F828" s="9">
        <v>74</v>
      </c>
      <c r="G828" s="6" t="s">
        <v>3927</v>
      </c>
      <c r="H828" s="7" t="s">
        <v>39</v>
      </c>
      <c r="I828" s="6" t="s">
        <v>47</v>
      </c>
      <c r="J828" s="7" t="s">
        <v>20</v>
      </c>
      <c r="K828" s="7" t="s">
        <v>32</v>
      </c>
      <c r="L828" s="6"/>
      <c r="M828" s="10">
        <v>5.67E-2</v>
      </c>
      <c r="N828" s="6" t="s">
        <v>3928</v>
      </c>
      <c r="O828" s="11">
        <v>1000</v>
      </c>
      <c r="P828" s="11"/>
      <c r="Q828" s="18">
        <v>1000</v>
      </c>
      <c r="R828" s="19"/>
    </row>
    <row r="829" spans="1:18" hidden="1" x14ac:dyDescent="0.3">
      <c r="A829" s="6" t="s">
        <v>3929</v>
      </c>
      <c r="B829" s="7" t="s">
        <v>324</v>
      </c>
      <c r="C829" s="17" t="s">
        <v>2969</v>
      </c>
      <c r="D829" s="17"/>
      <c r="E829" s="8">
        <v>17796</v>
      </c>
      <c r="F829" s="9">
        <v>74</v>
      </c>
      <c r="G829" s="6" t="s">
        <v>3930</v>
      </c>
      <c r="H829" s="7" t="s">
        <v>25</v>
      </c>
      <c r="I829" s="6"/>
      <c r="J829" s="7" t="s">
        <v>20</v>
      </c>
      <c r="K829" s="7" t="s">
        <v>26</v>
      </c>
      <c r="L829" s="6"/>
      <c r="M829" s="10">
        <v>5.67E-2</v>
      </c>
      <c r="N829" s="6" t="s">
        <v>3931</v>
      </c>
      <c r="O829" s="11">
        <v>5351.84</v>
      </c>
      <c r="P829" s="11"/>
      <c r="Q829" s="18">
        <v>668.98</v>
      </c>
      <c r="R829" s="19"/>
    </row>
    <row r="830" spans="1:18" ht="43.2" hidden="1" x14ac:dyDescent="0.3">
      <c r="A830" s="6" t="s">
        <v>3932</v>
      </c>
      <c r="B830" s="7" t="s">
        <v>3933</v>
      </c>
      <c r="C830" s="17" t="s">
        <v>3934</v>
      </c>
      <c r="D830" s="17"/>
      <c r="E830" s="8">
        <v>16726</v>
      </c>
      <c r="F830" s="9">
        <v>77</v>
      </c>
      <c r="G830" s="6" t="s">
        <v>3935</v>
      </c>
      <c r="H830" s="7" t="s">
        <v>39</v>
      </c>
      <c r="I830" s="6" t="s">
        <v>1374</v>
      </c>
      <c r="J830" s="7" t="s">
        <v>20</v>
      </c>
      <c r="K830" s="7" t="s">
        <v>26</v>
      </c>
      <c r="L830" s="6"/>
      <c r="M830" s="10">
        <v>6.1699999999999998E-2</v>
      </c>
      <c r="N830" s="6" t="s">
        <v>3936</v>
      </c>
      <c r="O830" s="11">
        <v>12400</v>
      </c>
      <c r="P830" s="11"/>
      <c r="Q830" s="18">
        <v>1550</v>
      </c>
      <c r="R830" s="19"/>
    </row>
    <row r="831" spans="1:18" ht="43.2" hidden="1" x14ac:dyDescent="0.3">
      <c r="A831" s="6" t="s">
        <v>3937</v>
      </c>
      <c r="B831" s="7" t="s">
        <v>678</v>
      </c>
      <c r="C831" s="17" t="s">
        <v>3938</v>
      </c>
      <c r="D831" s="17"/>
      <c r="E831" s="8">
        <v>16156</v>
      </c>
      <c r="F831" s="9">
        <v>78</v>
      </c>
      <c r="G831" s="6" t="s">
        <v>3939</v>
      </c>
      <c r="H831" s="7" t="s">
        <v>39</v>
      </c>
      <c r="I831" s="6" t="s">
        <v>151</v>
      </c>
      <c r="J831" s="7" t="s">
        <v>20</v>
      </c>
      <c r="K831" s="7" t="s">
        <v>26</v>
      </c>
      <c r="L831" s="6"/>
      <c r="M831" s="10">
        <v>6.3600000000000004E-2</v>
      </c>
      <c r="N831" s="6" t="s">
        <v>3940</v>
      </c>
      <c r="O831" s="11">
        <v>20000</v>
      </c>
      <c r="P831" s="11"/>
      <c r="Q831" s="18">
        <v>2500</v>
      </c>
      <c r="R831" s="19"/>
    </row>
    <row r="832" spans="1:18" hidden="1" x14ac:dyDescent="0.3">
      <c r="A832" s="6" t="s">
        <v>3941</v>
      </c>
      <c r="B832" s="7" t="s">
        <v>1477</v>
      </c>
      <c r="C832" s="17" t="s">
        <v>3942</v>
      </c>
      <c r="D832" s="17"/>
      <c r="E832" s="7" t="s">
        <v>3943</v>
      </c>
      <c r="F832" s="9">
        <v>77</v>
      </c>
      <c r="G832" s="6" t="s">
        <v>3944</v>
      </c>
      <c r="H832" s="7" t="s">
        <v>25</v>
      </c>
      <c r="I832" s="6" t="s">
        <v>19</v>
      </c>
      <c r="J832" s="7" t="s">
        <v>41</v>
      </c>
      <c r="K832" s="7" t="s">
        <v>26</v>
      </c>
      <c r="L832" s="9">
        <v>72</v>
      </c>
      <c r="M832" s="10">
        <v>5.3999999999999999E-2</v>
      </c>
      <c r="N832" s="6" t="s">
        <v>3945</v>
      </c>
      <c r="O832" s="6" t="s">
        <v>19</v>
      </c>
      <c r="P832" s="6"/>
      <c r="Q832" s="19" t="s">
        <v>19</v>
      </c>
      <c r="R832" s="19"/>
    </row>
    <row r="833" spans="1:18" hidden="1" x14ac:dyDescent="0.3">
      <c r="A833" s="6" t="s">
        <v>3946</v>
      </c>
      <c r="B833" s="7" t="s">
        <v>129</v>
      </c>
      <c r="C833" s="17" t="s">
        <v>3947</v>
      </c>
      <c r="D833" s="17"/>
      <c r="E833" s="7" t="s">
        <v>3948</v>
      </c>
      <c r="F833" s="9">
        <v>72</v>
      </c>
      <c r="G833" s="6" t="s">
        <v>3949</v>
      </c>
      <c r="H833" s="7" t="s">
        <v>25</v>
      </c>
      <c r="I833" s="6" t="s">
        <v>19</v>
      </c>
      <c r="J833" s="7" t="s">
        <v>20</v>
      </c>
      <c r="K833" s="7" t="s">
        <v>26</v>
      </c>
      <c r="L833" s="6"/>
      <c r="M833" s="10">
        <v>5.3999999999999999E-2</v>
      </c>
      <c r="N833" s="6" t="s">
        <v>3950</v>
      </c>
      <c r="O833" s="6" t="s">
        <v>19</v>
      </c>
      <c r="P833" s="6"/>
      <c r="Q833" s="19" t="s">
        <v>19</v>
      </c>
      <c r="R833" s="19"/>
    </row>
    <row r="834" spans="1:18" ht="43.2" hidden="1" x14ac:dyDescent="0.3">
      <c r="A834" s="6" t="s">
        <v>3951</v>
      </c>
      <c r="B834" s="7" t="s">
        <v>129</v>
      </c>
      <c r="C834" s="17" t="s">
        <v>3952</v>
      </c>
      <c r="D834" s="17"/>
      <c r="E834" s="8">
        <v>18487</v>
      </c>
      <c r="F834" s="9">
        <v>72</v>
      </c>
      <c r="G834" s="6" t="s">
        <v>3953</v>
      </c>
      <c r="H834" s="7" t="s">
        <v>39</v>
      </c>
      <c r="I834" s="6" t="s">
        <v>3746</v>
      </c>
      <c r="J834" s="7" t="s">
        <v>20</v>
      </c>
      <c r="K834" s="7" t="s">
        <v>26</v>
      </c>
      <c r="L834" s="6"/>
      <c r="M834" s="10">
        <v>5.3999999999999999E-2</v>
      </c>
      <c r="N834" s="6" t="s">
        <v>3954</v>
      </c>
      <c r="O834" s="11">
        <v>60000</v>
      </c>
      <c r="P834" s="11"/>
      <c r="Q834" s="18">
        <v>44.89</v>
      </c>
      <c r="R834" s="19"/>
    </row>
    <row r="835" spans="1:18" x14ac:dyDescent="0.3">
      <c r="A835" s="6" t="s">
        <v>3955</v>
      </c>
      <c r="B835" s="7" t="s">
        <v>1143</v>
      </c>
      <c r="C835" s="17" t="s">
        <v>3956</v>
      </c>
      <c r="D835" s="17"/>
      <c r="E835" s="8">
        <v>18223</v>
      </c>
      <c r="F835" s="9">
        <v>73</v>
      </c>
      <c r="G835" s="6" t="s">
        <v>3957</v>
      </c>
      <c r="H835" s="7" t="s">
        <v>25</v>
      </c>
      <c r="I835" s="6"/>
      <c r="J835" s="7" t="s">
        <v>41</v>
      </c>
      <c r="K835" s="7" t="s">
        <v>32</v>
      </c>
      <c r="L835" s="9">
        <v>68</v>
      </c>
      <c r="M835" s="10">
        <v>4.5499999999999999E-2</v>
      </c>
      <c r="N835" s="6" t="s">
        <v>3958</v>
      </c>
      <c r="O835" s="11">
        <v>2214.84</v>
      </c>
      <c r="P835" s="11"/>
      <c r="Q835" s="18">
        <v>558.95000000000005</v>
      </c>
      <c r="R835" s="19"/>
    </row>
    <row r="836" spans="1:18" hidden="1" x14ac:dyDescent="0.3">
      <c r="A836" s="6" t="s">
        <v>3959</v>
      </c>
      <c r="B836" s="7" t="s">
        <v>3780</v>
      </c>
      <c r="C836" s="17" t="s">
        <v>3960</v>
      </c>
      <c r="D836" s="17"/>
      <c r="E836" s="8">
        <v>18111</v>
      </c>
      <c r="F836" s="9">
        <v>73</v>
      </c>
      <c r="G836" s="6" t="s">
        <v>3961</v>
      </c>
      <c r="H836" s="7" t="s">
        <v>25</v>
      </c>
      <c r="I836" s="6"/>
      <c r="J836" s="7" t="s">
        <v>20</v>
      </c>
      <c r="K836" s="7" t="s">
        <v>32</v>
      </c>
      <c r="L836" s="6"/>
      <c r="M836" s="10">
        <v>5.5300000000000002E-2</v>
      </c>
      <c r="N836" s="6" t="s">
        <v>3962</v>
      </c>
      <c r="O836" s="11">
        <v>36992.44</v>
      </c>
      <c r="P836" s="11"/>
      <c r="Q836" s="18">
        <v>36992.44</v>
      </c>
      <c r="R836" s="19"/>
    </row>
    <row r="837" spans="1:18" hidden="1" x14ac:dyDescent="0.3">
      <c r="A837" s="6" t="s">
        <v>3963</v>
      </c>
      <c r="B837" s="7" t="s">
        <v>2101</v>
      </c>
      <c r="C837" s="17" t="s">
        <v>3964</v>
      </c>
      <c r="D837" s="17"/>
      <c r="E837" s="8">
        <v>18001</v>
      </c>
      <c r="F837" s="9">
        <v>73</v>
      </c>
      <c r="G837" s="6" t="s">
        <v>3965</v>
      </c>
      <c r="H837" s="7" t="s">
        <v>25</v>
      </c>
      <c r="I837" s="6"/>
      <c r="J837" s="7" t="s">
        <v>20</v>
      </c>
      <c r="K837" s="7" t="s">
        <v>26</v>
      </c>
      <c r="L837" s="6"/>
      <c r="M837" s="10">
        <v>5.5300000000000002E-2</v>
      </c>
      <c r="N837" s="6" t="s">
        <v>3966</v>
      </c>
      <c r="O837" s="11">
        <v>5000</v>
      </c>
      <c r="P837" s="11"/>
      <c r="Q837" s="18">
        <v>5000</v>
      </c>
      <c r="R837" s="19"/>
    </row>
    <row r="838" spans="1:18" hidden="1" x14ac:dyDescent="0.3">
      <c r="A838" s="6" t="s">
        <v>3967</v>
      </c>
      <c r="B838" s="7" t="s">
        <v>3968</v>
      </c>
      <c r="C838" s="17" t="s">
        <v>3969</v>
      </c>
      <c r="D838" s="17"/>
      <c r="E838" s="8">
        <v>17777</v>
      </c>
      <c r="F838" s="9">
        <v>74</v>
      </c>
      <c r="G838" s="6" t="s">
        <v>3970</v>
      </c>
      <c r="H838" s="7" t="s">
        <v>25</v>
      </c>
      <c r="I838" s="6"/>
      <c r="J838" s="7" t="s">
        <v>20</v>
      </c>
      <c r="K838" s="7" t="s">
        <v>26</v>
      </c>
      <c r="L838" s="6"/>
      <c r="M838" s="10">
        <v>5.67E-2</v>
      </c>
      <c r="N838" s="6" t="s">
        <v>3971</v>
      </c>
      <c r="O838" s="11">
        <v>7456.96</v>
      </c>
      <c r="P838" s="11"/>
      <c r="Q838" s="18">
        <v>932.12</v>
      </c>
      <c r="R838" s="19"/>
    </row>
    <row r="839" spans="1:18" ht="43.2" x14ac:dyDescent="0.3">
      <c r="A839" s="6" t="s">
        <v>3972</v>
      </c>
      <c r="B839" s="7" t="s">
        <v>645</v>
      </c>
      <c r="C839" s="17" t="s">
        <v>3973</v>
      </c>
      <c r="D839" s="17"/>
      <c r="E839" s="8">
        <v>17328</v>
      </c>
      <c r="F839" s="9">
        <v>75</v>
      </c>
      <c r="G839" s="6" t="s">
        <v>3974</v>
      </c>
      <c r="H839" s="7" t="s">
        <v>39</v>
      </c>
      <c r="I839" s="6" t="s">
        <v>40</v>
      </c>
      <c r="J839" s="7" t="s">
        <v>41</v>
      </c>
      <c r="K839" s="7" t="s">
        <v>26</v>
      </c>
      <c r="L839" s="9">
        <v>74</v>
      </c>
      <c r="M839" s="10">
        <v>5.67E-2</v>
      </c>
      <c r="N839" s="6" t="s">
        <v>3975</v>
      </c>
      <c r="O839" s="11">
        <v>24000</v>
      </c>
      <c r="P839" s="11"/>
      <c r="Q839" s="18">
        <v>3000</v>
      </c>
      <c r="R839" s="19"/>
    </row>
    <row r="840" spans="1:18" ht="43.2" x14ac:dyDescent="0.3">
      <c r="A840" s="6" t="s">
        <v>3976</v>
      </c>
      <c r="B840" s="7" t="s">
        <v>3977</v>
      </c>
      <c r="C840" s="17" t="s">
        <v>3978</v>
      </c>
      <c r="D840" s="17"/>
      <c r="E840" s="8">
        <v>18050</v>
      </c>
      <c r="F840" s="9">
        <v>73</v>
      </c>
      <c r="G840" s="6" t="s">
        <v>3979</v>
      </c>
      <c r="H840" s="7" t="s">
        <v>39</v>
      </c>
      <c r="I840" s="6" t="s">
        <v>2603</v>
      </c>
      <c r="J840" s="7" t="s">
        <v>41</v>
      </c>
      <c r="K840" s="7" t="s">
        <v>26</v>
      </c>
      <c r="L840" s="9">
        <v>71</v>
      </c>
      <c r="M840" s="10">
        <v>5.28E-2</v>
      </c>
      <c r="N840" s="6" t="s">
        <v>3980</v>
      </c>
      <c r="O840" s="11">
        <v>64000</v>
      </c>
      <c r="P840" s="11"/>
      <c r="Q840" s="18">
        <v>8000</v>
      </c>
      <c r="R840" s="19"/>
    </row>
    <row r="841" spans="1:18" ht="43.2" hidden="1" x14ac:dyDescent="0.3">
      <c r="A841" s="6" t="s">
        <v>3981</v>
      </c>
      <c r="B841" s="7" t="s">
        <v>3015</v>
      </c>
      <c r="C841" s="17" t="s">
        <v>3978</v>
      </c>
      <c r="D841" s="17"/>
      <c r="E841" s="8">
        <v>16412</v>
      </c>
      <c r="F841" s="9">
        <v>78</v>
      </c>
      <c r="G841" s="6" t="s">
        <v>3982</v>
      </c>
      <c r="H841" s="7" t="s">
        <v>39</v>
      </c>
      <c r="I841" s="6" t="s">
        <v>1026</v>
      </c>
      <c r="J841" s="7" t="s">
        <v>20</v>
      </c>
      <c r="K841" s="7" t="s">
        <v>26</v>
      </c>
      <c r="L841" s="6"/>
      <c r="M841" s="10">
        <v>6.3600000000000004E-2</v>
      </c>
      <c r="N841" s="6" t="s">
        <v>3983</v>
      </c>
      <c r="O841" s="11">
        <v>8800</v>
      </c>
      <c r="P841" s="11"/>
      <c r="Q841" s="18">
        <v>1100</v>
      </c>
      <c r="R841" s="19"/>
    </row>
    <row r="842" spans="1:18" hidden="1" x14ac:dyDescent="0.3">
      <c r="A842" s="6" t="s">
        <v>3984</v>
      </c>
      <c r="B842" s="7" t="s">
        <v>224</v>
      </c>
      <c r="C842" s="17" t="s">
        <v>3985</v>
      </c>
      <c r="D842" s="17"/>
      <c r="E842" s="8">
        <v>18601</v>
      </c>
      <c r="F842" s="9">
        <v>72</v>
      </c>
      <c r="G842" s="6" t="s">
        <v>3987</v>
      </c>
      <c r="H842" s="7" t="s">
        <v>25</v>
      </c>
      <c r="I842" s="6"/>
      <c r="J842" s="7" t="s">
        <v>20</v>
      </c>
      <c r="K842" s="7" t="s">
        <v>32</v>
      </c>
      <c r="L842" s="6"/>
      <c r="M842" s="10">
        <v>5.3999999999999999E-2</v>
      </c>
      <c r="N842" s="6" t="s">
        <v>3988</v>
      </c>
      <c r="O842" s="11">
        <v>34528.85</v>
      </c>
      <c r="P842" s="11"/>
      <c r="Q842" s="18">
        <v>20000</v>
      </c>
      <c r="R842" s="19"/>
    </row>
    <row r="843" spans="1:18" hidden="1" x14ac:dyDescent="0.3">
      <c r="A843" s="6" t="s">
        <v>3989</v>
      </c>
      <c r="B843" s="7" t="s">
        <v>3990</v>
      </c>
      <c r="C843" s="17" t="s">
        <v>3991</v>
      </c>
      <c r="D843" s="17"/>
      <c r="E843" s="7" t="s">
        <v>2866</v>
      </c>
      <c r="F843" s="9">
        <v>72</v>
      </c>
      <c r="G843" s="6" t="s">
        <v>3992</v>
      </c>
      <c r="H843" s="7" t="s">
        <v>19</v>
      </c>
      <c r="I843" s="6" t="s">
        <v>19</v>
      </c>
      <c r="J843" s="7" t="s">
        <v>20</v>
      </c>
      <c r="K843" s="7"/>
      <c r="L843" s="6"/>
      <c r="M843" s="10">
        <v>5.3999999999999999E-2</v>
      </c>
      <c r="N843" s="6" t="s">
        <v>3993</v>
      </c>
      <c r="O843" s="6" t="s">
        <v>19</v>
      </c>
      <c r="P843" s="6"/>
      <c r="Q843" s="19" t="s">
        <v>19</v>
      </c>
      <c r="R843" s="19"/>
    </row>
    <row r="844" spans="1:18" ht="43.2" x14ac:dyDescent="0.3">
      <c r="A844" s="6" t="s">
        <v>3994</v>
      </c>
      <c r="B844" s="7" t="s">
        <v>270</v>
      </c>
      <c r="C844" s="17" t="s">
        <v>3995</v>
      </c>
      <c r="D844" s="17"/>
      <c r="E844" s="8">
        <v>16232</v>
      </c>
      <c r="F844" s="9">
        <v>78</v>
      </c>
      <c r="G844" s="6" t="s">
        <v>3996</v>
      </c>
      <c r="H844" s="7" t="s">
        <v>39</v>
      </c>
      <c r="I844" s="6" t="s">
        <v>89</v>
      </c>
      <c r="J844" s="7" t="s">
        <v>41</v>
      </c>
      <c r="K844" s="7" t="s">
        <v>26</v>
      </c>
      <c r="L844" s="9">
        <v>74</v>
      </c>
      <c r="M844" s="10">
        <v>5.67E-2</v>
      </c>
      <c r="N844" s="6" t="s">
        <v>3997</v>
      </c>
      <c r="O844" s="11">
        <v>9600</v>
      </c>
      <c r="P844" s="11"/>
      <c r="Q844" s="18">
        <v>1200</v>
      </c>
      <c r="R844" s="19"/>
    </row>
    <row r="845" spans="1:18" x14ac:dyDescent="0.3">
      <c r="A845" s="6" t="s">
        <v>3998</v>
      </c>
      <c r="B845" s="7" t="s">
        <v>977</v>
      </c>
      <c r="C845" s="17" t="s">
        <v>3999</v>
      </c>
      <c r="D845" s="17"/>
      <c r="E845" s="8">
        <v>18058</v>
      </c>
      <c r="F845" s="9">
        <v>73</v>
      </c>
      <c r="G845" s="6" t="s">
        <v>4000</v>
      </c>
      <c r="H845" s="7" t="s">
        <v>25</v>
      </c>
      <c r="I845" s="6"/>
      <c r="J845" s="7" t="s">
        <v>41</v>
      </c>
      <c r="K845" s="7" t="s">
        <v>26</v>
      </c>
      <c r="L845" s="9">
        <v>71</v>
      </c>
      <c r="M845" s="10">
        <v>5.28E-2</v>
      </c>
      <c r="N845" s="6" t="s">
        <v>4001</v>
      </c>
      <c r="O845" s="11">
        <v>17297.52</v>
      </c>
      <c r="P845" s="11"/>
      <c r="Q845" s="18">
        <v>2162.19</v>
      </c>
      <c r="R845" s="19"/>
    </row>
    <row r="846" spans="1:18" ht="28.8" hidden="1" x14ac:dyDescent="0.3">
      <c r="A846" s="6" t="s">
        <v>4002</v>
      </c>
      <c r="B846" s="7" t="s">
        <v>135</v>
      </c>
      <c r="C846" s="17" t="s">
        <v>4003</v>
      </c>
      <c r="D846" s="17"/>
      <c r="E846" s="7" t="s">
        <v>4004</v>
      </c>
      <c r="F846" s="9">
        <v>74</v>
      </c>
      <c r="G846" s="6" t="s">
        <v>4005</v>
      </c>
      <c r="H846" s="7" t="s">
        <v>39</v>
      </c>
      <c r="I846" s="6" t="s">
        <v>321</v>
      </c>
      <c r="J846" s="7" t="s">
        <v>20</v>
      </c>
      <c r="K846" s="7" t="s">
        <v>26</v>
      </c>
      <c r="L846" s="6"/>
      <c r="M846" s="10">
        <v>5.67E-2</v>
      </c>
      <c r="N846" s="6" t="s">
        <v>4006</v>
      </c>
      <c r="O846" s="6" t="s">
        <v>19</v>
      </c>
      <c r="P846" s="6"/>
      <c r="Q846" s="19" t="s">
        <v>19</v>
      </c>
      <c r="R846" s="19"/>
    </row>
    <row r="847" spans="1:18" ht="43.2" x14ac:dyDescent="0.3">
      <c r="A847" s="6" t="s">
        <v>4007</v>
      </c>
      <c r="B847" s="7" t="s">
        <v>4008</v>
      </c>
      <c r="C847" s="17" t="s">
        <v>4009</v>
      </c>
      <c r="D847" s="17"/>
      <c r="E847" s="8">
        <v>18511</v>
      </c>
      <c r="F847" s="9">
        <v>72</v>
      </c>
      <c r="G847" s="6" t="s">
        <v>4010</v>
      </c>
      <c r="H847" s="7" t="s">
        <v>39</v>
      </c>
      <c r="I847" s="6" t="s">
        <v>4011</v>
      </c>
      <c r="J847" s="7" t="s">
        <v>41</v>
      </c>
      <c r="K847" s="7" t="s">
        <v>26</v>
      </c>
      <c r="L847" s="9">
        <v>70</v>
      </c>
      <c r="M847" s="10">
        <v>0.05</v>
      </c>
      <c r="N847" s="6" t="s">
        <v>4012</v>
      </c>
      <c r="O847" s="11">
        <v>30600</v>
      </c>
      <c r="P847" s="11"/>
      <c r="Q847" s="18">
        <v>3825</v>
      </c>
      <c r="R847" s="19"/>
    </row>
    <row r="848" spans="1:18" x14ac:dyDescent="0.3">
      <c r="A848" s="6" t="s">
        <v>4013</v>
      </c>
      <c r="B848" s="7" t="s">
        <v>4014</v>
      </c>
      <c r="C848" s="17" t="s">
        <v>4015</v>
      </c>
      <c r="D848" s="17"/>
      <c r="E848" s="8">
        <v>15955</v>
      </c>
      <c r="F848" s="9">
        <v>79</v>
      </c>
      <c r="G848" s="6" t="s">
        <v>4016</v>
      </c>
      <c r="H848" s="7" t="s">
        <v>25</v>
      </c>
      <c r="I848" s="6"/>
      <c r="J848" s="7" t="s">
        <v>41</v>
      </c>
      <c r="K848" s="7" t="s">
        <v>26</v>
      </c>
      <c r="L848" s="9">
        <v>73</v>
      </c>
      <c r="M848" s="10">
        <v>5.5300000000000002E-2</v>
      </c>
      <c r="N848" s="6" t="s">
        <v>4017</v>
      </c>
      <c r="O848" s="11">
        <v>38012.639999999999</v>
      </c>
      <c r="P848" s="11"/>
      <c r="Q848" s="18">
        <v>4751.58</v>
      </c>
      <c r="R848" s="19"/>
    </row>
    <row r="849" spans="1:18" hidden="1" x14ac:dyDescent="0.3">
      <c r="A849" s="6" t="s">
        <v>4018</v>
      </c>
      <c r="B849" s="7" t="s">
        <v>135</v>
      </c>
      <c r="C849" s="17" t="s">
        <v>4015</v>
      </c>
      <c r="D849" s="17"/>
      <c r="E849" s="7" t="s">
        <v>564</v>
      </c>
      <c r="F849" s="9">
        <v>73</v>
      </c>
      <c r="G849" s="6" t="s">
        <v>4019</v>
      </c>
      <c r="H849" s="7" t="s">
        <v>25</v>
      </c>
      <c r="I849" s="6" t="s">
        <v>19</v>
      </c>
      <c r="J849" s="7" t="s">
        <v>20</v>
      </c>
      <c r="K849" s="7" t="s">
        <v>32</v>
      </c>
      <c r="L849" s="6"/>
      <c r="M849" s="10">
        <v>5.5300000000000002E-2</v>
      </c>
      <c r="N849" s="6" t="s">
        <v>4020</v>
      </c>
      <c r="O849" s="6" t="s">
        <v>19</v>
      </c>
      <c r="P849" s="6"/>
      <c r="Q849" s="19" t="s">
        <v>19</v>
      </c>
      <c r="R849" s="19"/>
    </row>
    <row r="850" spans="1:18" hidden="1" x14ac:dyDescent="0.3">
      <c r="A850" s="6" t="s">
        <v>4021</v>
      </c>
      <c r="B850" s="7" t="s">
        <v>793</v>
      </c>
      <c r="C850" s="17" t="s">
        <v>3813</v>
      </c>
      <c r="D850" s="17"/>
      <c r="E850" s="8">
        <v>16705</v>
      </c>
      <c r="F850" s="9">
        <v>77</v>
      </c>
      <c r="G850" s="6" t="s">
        <v>4023</v>
      </c>
      <c r="H850" s="7" t="s">
        <v>25</v>
      </c>
      <c r="I850" s="6"/>
      <c r="J850" s="7" t="s">
        <v>20</v>
      </c>
      <c r="K850" s="7" t="s">
        <v>26</v>
      </c>
      <c r="L850" s="6"/>
      <c r="M850" s="10">
        <v>6.1699999999999998E-2</v>
      </c>
      <c r="N850" s="6" t="s">
        <v>4024</v>
      </c>
      <c r="O850" s="11">
        <v>8463.1200000000008</v>
      </c>
      <c r="P850" s="11"/>
      <c r="Q850" s="18">
        <v>1057.8900000000001</v>
      </c>
      <c r="R850" s="19"/>
    </row>
    <row r="851" spans="1:18" ht="28.8" hidden="1" x14ac:dyDescent="0.3">
      <c r="A851" s="6" t="s">
        <v>4025</v>
      </c>
      <c r="B851" s="7" t="s">
        <v>81</v>
      </c>
      <c r="C851" s="17" t="s">
        <v>4026</v>
      </c>
      <c r="D851" s="17"/>
      <c r="E851" s="8">
        <v>18265</v>
      </c>
      <c r="F851" s="9">
        <v>72</v>
      </c>
      <c r="G851" s="6" t="s">
        <v>4027</v>
      </c>
      <c r="H851" s="7" t="s">
        <v>39</v>
      </c>
      <c r="I851" s="6" t="s">
        <v>3481</v>
      </c>
      <c r="J851" s="7" t="s">
        <v>20</v>
      </c>
      <c r="K851" s="7" t="s">
        <v>26</v>
      </c>
      <c r="L851" s="6"/>
      <c r="M851" s="10">
        <v>5.3999999999999999E-2</v>
      </c>
      <c r="N851" s="6" t="s">
        <v>4028</v>
      </c>
      <c r="O851" s="11">
        <v>9180</v>
      </c>
      <c r="P851" s="11"/>
      <c r="Q851" s="18">
        <v>260</v>
      </c>
      <c r="R851" s="19"/>
    </row>
    <row r="852" spans="1:18" hidden="1" x14ac:dyDescent="0.3">
      <c r="A852" s="6" t="s">
        <v>4029</v>
      </c>
      <c r="B852" s="7" t="s">
        <v>1964</v>
      </c>
      <c r="C852" s="17" t="s">
        <v>4030</v>
      </c>
      <c r="D852" s="17"/>
      <c r="E852" s="8">
        <v>18247</v>
      </c>
      <c r="F852" s="9">
        <v>73</v>
      </c>
      <c r="G852" s="6" t="s">
        <v>4031</v>
      </c>
      <c r="H852" s="7" t="s">
        <v>25</v>
      </c>
      <c r="I852" s="6"/>
      <c r="J852" s="7" t="s">
        <v>20</v>
      </c>
      <c r="K852" s="7" t="s">
        <v>26</v>
      </c>
      <c r="L852" s="6"/>
      <c r="M852" s="10">
        <v>5.5300000000000002E-2</v>
      </c>
      <c r="N852" s="6" t="s">
        <v>4032</v>
      </c>
      <c r="O852" s="11">
        <v>15062.96</v>
      </c>
      <c r="P852" s="11"/>
      <c r="Q852" s="18">
        <v>1882.87</v>
      </c>
      <c r="R852" s="19"/>
    </row>
    <row r="853" spans="1:18" ht="28.8" hidden="1" x14ac:dyDescent="0.3">
      <c r="A853" s="6" t="s">
        <v>4033</v>
      </c>
      <c r="B853" s="7" t="s">
        <v>140</v>
      </c>
      <c r="C853" s="17" t="s">
        <v>4034</v>
      </c>
      <c r="D853" s="17"/>
      <c r="E853" s="8">
        <v>15979</v>
      </c>
      <c r="F853" s="9">
        <v>79</v>
      </c>
      <c r="G853" s="6" t="s">
        <v>4035</v>
      </c>
      <c r="H853" s="7" t="s">
        <v>39</v>
      </c>
      <c r="I853" s="6" t="s">
        <v>1160</v>
      </c>
      <c r="J853" s="7" t="s">
        <v>20</v>
      </c>
      <c r="K853" s="7" t="s">
        <v>26</v>
      </c>
      <c r="L853" s="6"/>
      <c r="M853" s="10">
        <v>6.5799999999999997E-2</v>
      </c>
      <c r="N853" s="6" t="s">
        <v>4036</v>
      </c>
      <c r="O853" s="11">
        <v>3200</v>
      </c>
      <c r="P853" s="11"/>
      <c r="Q853" s="18">
        <v>400</v>
      </c>
      <c r="R853" s="19"/>
    </row>
    <row r="854" spans="1:18" ht="43.2" hidden="1" x14ac:dyDescent="0.3">
      <c r="A854" s="6" t="s">
        <v>4037</v>
      </c>
      <c r="B854" s="7" t="s">
        <v>2492</v>
      </c>
      <c r="C854" s="17" t="s">
        <v>4038</v>
      </c>
      <c r="D854" s="17"/>
      <c r="E854" s="8">
        <v>18059</v>
      </c>
      <c r="F854" s="9">
        <v>73</v>
      </c>
      <c r="G854" s="6" t="s">
        <v>4039</v>
      </c>
      <c r="H854" s="7" t="s">
        <v>39</v>
      </c>
      <c r="I854" s="6" t="s">
        <v>4040</v>
      </c>
      <c r="J854" s="7" t="s">
        <v>20</v>
      </c>
      <c r="K854" s="7" t="s">
        <v>32</v>
      </c>
      <c r="L854" s="6"/>
      <c r="M854" s="10">
        <v>5.5300000000000002E-2</v>
      </c>
      <c r="N854" s="6" t="s">
        <v>4041</v>
      </c>
      <c r="O854" s="11">
        <v>8909.52</v>
      </c>
      <c r="P854" s="11"/>
      <c r="Q854" s="18">
        <v>8909.52</v>
      </c>
      <c r="R854" s="19"/>
    </row>
    <row r="855" spans="1:18" ht="43.2" hidden="1" x14ac:dyDescent="0.3">
      <c r="A855" s="6" t="s">
        <v>4042</v>
      </c>
      <c r="B855" s="7" t="s">
        <v>556</v>
      </c>
      <c r="C855" s="17" t="s">
        <v>4043</v>
      </c>
      <c r="D855" s="17"/>
      <c r="E855" s="8">
        <v>16982</v>
      </c>
      <c r="F855" s="9">
        <v>76</v>
      </c>
      <c r="G855" s="6" t="s">
        <v>4044</v>
      </c>
      <c r="H855" s="7" t="s">
        <v>39</v>
      </c>
      <c r="I855" s="6" t="s">
        <v>151</v>
      </c>
      <c r="J855" s="7" t="s">
        <v>20</v>
      </c>
      <c r="K855" s="7" t="s">
        <v>26</v>
      </c>
      <c r="L855" s="6"/>
      <c r="M855" s="10">
        <v>5.9799999999999999E-2</v>
      </c>
      <c r="N855" s="6" t="s">
        <v>4045</v>
      </c>
      <c r="O855" s="11">
        <v>20000</v>
      </c>
      <c r="P855" s="11"/>
      <c r="Q855" s="18">
        <v>2500</v>
      </c>
      <c r="R855" s="19"/>
    </row>
    <row r="856" spans="1:18" ht="43.2" hidden="1" x14ac:dyDescent="0.3">
      <c r="A856" s="6" t="s">
        <v>4046</v>
      </c>
      <c r="B856" s="7" t="s">
        <v>129</v>
      </c>
      <c r="C856" s="17" t="s">
        <v>4043</v>
      </c>
      <c r="D856" s="17"/>
      <c r="E856" s="8">
        <v>17511</v>
      </c>
      <c r="F856" s="9">
        <v>75</v>
      </c>
      <c r="G856" s="6" t="s">
        <v>4047</v>
      </c>
      <c r="H856" s="7" t="s">
        <v>39</v>
      </c>
      <c r="I856" s="6" t="s">
        <v>704</v>
      </c>
      <c r="J856" s="7" t="s">
        <v>20</v>
      </c>
      <c r="K856" s="7" t="s">
        <v>26</v>
      </c>
      <c r="L856" s="6"/>
      <c r="M856" s="10">
        <v>5.8200000000000002E-2</v>
      </c>
      <c r="N856" s="6" t="s">
        <v>4048</v>
      </c>
      <c r="O856" s="11">
        <v>10000</v>
      </c>
      <c r="P856" s="11"/>
      <c r="Q856" s="18">
        <v>1250</v>
      </c>
      <c r="R856" s="19"/>
    </row>
    <row r="857" spans="1:18" ht="28.8" hidden="1" x14ac:dyDescent="0.3">
      <c r="A857" s="6" t="s">
        <v>4049</v>
      </c>
      <c r="B857" s="7" t="s">
        <v>4050</v>
      </c>
      <c r="C857" s="17" t="s">
        <v>4051</v>
      </c>
      <c r="D857" s="17"/>
      <c r="E857" s="8">
        <v>15796</v>
      </c>
      <c r="F857" s="9">
        <v>79</v>
      </c>
      <c r="G857" s="6" t="s">
        <v>4052</v>
      </c>
      <c r="H857" s="7" t="s">
        <v>39</v>
      </c>
      <c r="I857" s="6" t="s">
        <v>681</v>
      </c>
      <c r="J857" s="7" t="s">
        <v>20</v>
      </c>
      <c r="K857" s="7" t="s">
        <v>26</v>
      </c>
      <c r="L857" s="6"/>
      <c r="M857" s="10">
        <v>6.5799999999999997E-2</v>
      </c>
      <c r="N857" s="6" t="s">
        <v>4053</v>
      </c>
      <c r="O857" s="11">
        <v>5600</v>
      </c>
      <c r="P857" s="11"/>
      <c r="Q857" s="18">
        <v>700</v>
      </c>
      <c r="R857" s="19"/>
    </row>
    <row r="858" spans="1:18" hidden="1" x14ac:dyDescent="0.3">
      <c r="A858" s="6" t="s">
        <v>4054</v>
      </c>
      <c r="B858" s="7" t="s">
        <v>1273</v>
      </c>
      <c r="C858" s="17" t="s">
        <v>4055</v>
      </c>
      <c r="D858" s="17"/>
      <c r="E858" s="7" t="s">
        <v>4056</v>
      </c>
      <c r="F858" s="9">
        <v>75</v>
      </c>
      <c r="G858" s="6" t="s">
        <v>4057</v>
      </c>
      <c r="H858" s="7" t="s">
        <v>25</v>
      </c>
      <c r="I858" s="6" t="s">
        <v>19</v>
      </c>
      <c r="J858" s="7" t="s">
        <v>41</v>
      </c>
      <c r="K858" s="7" t="s">
        <v>32</v>
      </c>
      <c r="L858" s="9">
        <v>72</v>
      </c>
      <c r="M858" s="10">
        <v>5.3999999999999999E-2</v>
      </c>
      <c r="N858" s="6" t="s">
        <v>4058</v>
      </c>
      <c r="O858" s="6" t="s">
        <v>19</v>
      </c>
      <c r="P858" s="6"/>
      <c r="Q858" s="19" t="s">
        <v>19</v>
      </c>
      <c r="R858" s="19"/>
    </row>
    <row r="859" spans="1:18" ht="43.2" x14ac:dyDescent="0.3">
      <c r="A859" s="6" t="s">
        <v>4059</v>
      </c>
      <c r="B859" s="7" t="s">
        <v>29</v>
      </c>
      <c r="C859" s="17" t="s">
        <v>4060</v>
      </c>
      <c r="D859" s="17"/>
      <c r="E859" s="8">
        <v>16556</v>
      </c>
      <c r="F859" s="9">
        <v>77</v>
      </c>
      <c r="G859" s="6" t="s">
        <v>4061</v>
      </c>
      <c r="H859" s="7" t="s">
        <v>39</v>
      </c>
      <c r="I859" s="6" t="s">
        <v>89</v>
      </c>
      <c r="J859" s="7" t="s">
        <v>41</v>
      </c>
      <c r="K859" s="7" t="s">
        <v>26</v>
      </c>
      <c r="L859" s="9">
        <v>65</v>
      </c>
      <c r="M859" s="10">
        <v>0.04</v>
      </c>
      <c r="N859" s="6" t="s">
        <v>4062</v>
      </c>
      <c r="O859" s="11">
        <v>9600</v>
      </c>
      <c r="P859" s="11"/>
      <c r="Q859" s="18">
        <v>1200</v>
      </c>
      <c r="R859" s="19"/>
    </row>
    <row r="860" spans="1:18" ht="43.2" hidden="1" x14ac:dyDescent="0.3">
      <c r="A860" s="6" t="s">
        <v>4063</v>
      </c>
      <c r="B860" s="7" t="s">
        <v>349</v>
      </c>
      <c r="C860" s="17" t="s">
        <v>4064</v>
      </c>
      <c r="D860" s="17"/>
      <c r="E860" s="8">
        <v>18267</v>
      </c>
      <c r="F860" s="9">
        <v>72</v>
      </c>
      <c r="G860" s="6" t="s">
        <v>4065</v>
      </c>
      <c r="H860" s="7" t="s">
        <v>39</v>
      </c>
      <c r="I860" s="6" t="s">
        <v>728</v>
      </c>
      <c r="J860" s="7" t="s">
        <v>20</v>
      </c>
      <c r="K860" s="7" t="s">
        <v>26</v>
      </c>
      <c r="L860" s="6"/>
      <c r="M860" s="10">
        <v>5.3999999999999999E-2</v>
      </c>
      <c r="N860" s="6" t="s">
        <v>4066</v>
      </c>
      <c r="O860" s="11">
        <v>28000</v>
      </c>
      <c r="P860" s="11"/>
      <c r="Q860" s="18">
        <v>3500</v>
      </c>
      <c r="R860" s="19"/>
    </row>
    <row r="861" spans="1:18" ht="43.2" hidden="1" x14ac:dyDescent="0.3">
      <c r="A861" s="6" t="s">
        <v>4067</v>
      </c>
      <c r="B861" s="7" t="s">
        <v>627</v>
      </c>
      <c r="C861" s="17" t="s">
        <v>4068</v>
      </c>
      <c r="D861" s="17"/>
      <c r="E861" s="8">
        <v>16509</v>
      </c>
      <c r="F861" s="9">
        <v>77</v>
      </c>
      <c r="G861" s="6" t="s">
        <v>4069</v>
      </c>
      <c r="H861" s="7" t="s">
        <v>39</v>
      </c>
      <c r="I861" s="6" t="s">
        <v>89</v>
      </c>
      <c r="J861" s="7" t="s">
        <v>20</v>
      </c>
      <c r="K861" s="7" t="s">
        <v>26</v>
      </c>
      <c r="L861" s="6"/>
      <c r="M861" s="10">
        <v>6.1699999999999998E-2</v>
      </c>
      <c r="N861" s="6" t="s">
        <v>4070</v>
      </c>
      <c r="O861" s="11">
        <v>9600</v>
      </c>
      <c r="P861" s="11"/>
      <c r="Q861" s="18">
        <v>1200</v>
      </c>
      <c r="R861" s="19"/>
    </row>
    <row r="862" spans="1:18" ht="43.2" x14ac:dyDescent="0.3">
      <c r="A862" s="6" t="s">
        <v>4071</v>
      </c>
      <c r="B862" s="7" t="s">
        <v>129</v>
      </c>
      <c r="C862" s="17" t="s">
        <v>4072</v>
      </c>
      <c r="D862" s="17"/>
      <c r="E862" s="8">
        <v>17780</v>
      </c>
      <c r="F862" s="9">
        <v>74</v>
      </c>
      <c r="G862" s="6" t="s">
        <v>4073</v>
      </c>
      <c r="H862" s="7" t="s">
        <v>39</v>
      </c>
      <c r="I862" s="6" t="s">
        <v>151</v>
      </c>
      <c r="J862" s="7" t="s">
        <v>41</v>
      </c>
      <c r="K862" s="7" t="s">
        <v>26</v>
      </c>
      <c r="L862" s="9">
        <v>69</v>
      </c>
      <c r="M862" s="10">
        <v>4.7600000000000003E-2</v>
      </c>
      <c r="N862" s="6" t="s">
        <v>4074</v>
      </c>
      <c r="O862" s="11">
        <v>20000</v>
      </c>
      <c r="P862" s="11"/>
      <c r="Q862" s="18">
        <v>2500</v>
      </c>
      <c r="R862" s="19"/>
    </row>
    <row r="863" spans="1:18" hidden="1" x14ac:dyDescent="0.3">
      <c r="A863" s="6" t="s">
        <v>4075</v>
      </c>
      <c r="B863" s="7" t="s">
        <v>1602</v>
      </c>
      <c r="C863" s="17" t="s">
        <v>4076</v>
      </c>
      <c r="D863" s="17"/>
      <c r="E863" s="7" t="s">
        <v>4077</v>
      </c>
      <c r="F863" s="9">
        <v>75</v>
      </c>
      <c r="G863" s="6" t="s">
        <v>4078</v>
      </c>
      <c r="H863" s="7" t="s">
        <v>25</v>
      </c>
      <c r="I863" s="6" t="s">
        <v>19</v>
      </c>
      <c r="J863" s="7" t="s">
        <v>41</v>
      </c>
      <c r="K863" s="7" t="s">
        <v>32</v>
      </c>
      <c r="L863" s="9">
        <v>70</v>
      </c>
      <c r="M863" s="10">
        <v>0.05</v>
      </c>
      <c r="N863" s="6" t="s">
        <v>4079</v>
      </c>
      <c r="O863" s="6" t="s">
        <v>19</v>
      </c>
      <c r="P863" s="6"/>
      <c r="Q863" s="19" t="s">
        <v>19</v>
      </c>
      <c r="R863" s="19"/>
    </row>
    <row r="864" spans="1:18" ht="28.8" hidden="1" x14ac:dyDescent="0.3">
      <c r="A864" s="6" t="s">
        <v>4080</v>
      </c>
      <c r="B864" s="7" t="s">
        <v>4081</v>
      </c>
      <c r="C864" s="17" t="s">
        <v>4082</v>
      </c>
      <c r="D864" s="17"/>
      <c r="E864" s="8">
        <v>16543</v>
      </c>
      <c r="F864" s="9">
        <v>77</v>
      </c>
      <c r="G864" s="6" t="s">
        <v>4083</v>
      </c>
      <c r="H864" s="7" t="s">
        <v>39</v>
      </c>
      <c r="I864" s="6" t="s">
        <v>1941</v>
      </c>
      <c r="J864" s="7" t="s">
        <v>20</v>
      </c>
      <c r="K864" s="7" t="s">
        <v>26</v>
      </c>
      <c r="L864" s="6"/>
      <c r="M864" s="10">
        <v>6.1699999999999998E-2</v>
      </c>
      <c r="N864" s="6" t="s">
        <v>4084</v>
      </c>
      <c r="O864" s="11">
        <v>2800</v>
      </c>
      <c r="P864" s="11"/>
      <c r="Q864" s="18">
        <v>350</v>
      </c>
      <c r="R864" s="19"/>
    </row>
    <row r="865" spans="1:18" hidden="1" x14ac:dyDescent="0.3">
      <c r="A865" s="6" t="s">
        <v>4085</v>
      </c>
      <c r="B865" s="7" t="s">
        <v>140</v>
      </c>
      <c r="C865" s="17" t="s">
        <v>4086</v>
      </c>
      <c r="D865" s="17"/>
      <c r="E865" s="7" t="s">
        <v>4087</v>
      </c>
      <c r="F865" s="9">
        <v>81</v>
      </c>
      <c r="G865" s="6" t="s">
        <v>4088</v>
      </c>
      <c r="H865" s="7" t="s">
        <v>25</v>
      </c>
      <c r="I865" s="6" t="s">
        <v>19</v>
      </c>
      <c r="J865" s="7" t="s">
        <v>20</v>
      </c>
      <c r="K865" s="7" t="s">
        <v>32</v>
      </c>
      <c r="L865" s="6"/>
      <c r="M865" s="10">
        <v>7.0800000000000002E-2</v>
      </c>
      <c r="N865" s="6" t="s">
        <v>4089</v>
      </c>
      <c r="O865" s="6" t="s">
        <v>19</v>
      </c>
      <c r="P865" s="6"/>
      <c r="Q865" s="19" t="s">
        <v>19</v>
      </c>
      <c r="R865" s="19"/>
    </row>
    <row r="866" spans="1:18" ht="43.2" hidden="1" x14ac:dyDescent="0.3">
      <c r="A866" s="6" t="s">
        <v>4090</v>
      </c>
      <c r="B866" s="7" t="s">
        <v>1013</v>
      </c>
      <c r="C866" s="17" t="s">
        <v>4091</v>
      </c>
      <c r="D866" s="17"/>
      <c r="E866" s="8">
        <v>15505</v>
      </c>
      <c r="F866" s="9">
        <v>80</v>
      </c>
      <c r="G866" s="6" t="s">
        <v>4092</v>
      </c>
      <c r="H866" s="7" t="s">
        <v>39</v>
      </c>
      <c r="I866" s="6" t="s">
        <v>151</v>
      </c>
      <c r="J866" s="7" t="s">
        <v>20</v>
      </c>
      <c r="K866" s="7" t="s">
        <v>26</v>
      </c>
      <c r="L866" s="6"/>
      <c r="M866" s="10">
        <v>6.8199999999999997E-2</v>
      </c>
      <c r="N866" s="6" t="s">
        <v>4093</v>
      </c>
      <c r="O866" s="11">
        <v>20000</v>
      </c>
      <c r="P866" s="11"/>
      <c r="Q866" s="18">
        <v>2500</v>
      </c>
      <c r="R866" s="19"/>
    </row>
    <row r="867" spans="1:18" hidden="1" x14ac:dyDescent="0.3">
      <c r="A867" s="6" t="s">
        <v>4094</v>
      </c>
      <c r="B867" s="7" t="s">
        <v>3538</v>
      </c>
      <c r="C867" s="17" t="s">
        <v>4095</v>
      </c>
      <c r="D867" s="17"/>
      <c r="E867" s="8">
        <v>17769</v>
      </c>
      <c r="F867" s="9">
        <v>74</v>
      </c>
      <c r="G867" s="6" t="s">
        <v>4096</v>
      </c>
      <c r="H867" s="7" t="s">
        <v>25</v>
      </c>
      <c r="I867" s="6"/>
      <c r="J867" s="7" t="s">
        <v>20</v>
      </c>
      <c r="K867" s="7" t="s">
        <v>26</v>
      </c>
      <c r="L867" s="6"/>
      <c r="M867" s="10">
        <v>5.67E-2</v>
      </c>
      <c r="N867" s="6" t="s">
        <v>4097</v>
      </c>
      <c r="O867" s="11">
        <v>9801.76</v>
      </c>
      <c r="P867" s="11"/>
      <c r="Q867" s="18">
        <v>1225.22</v>
      </c>
      <c r="R867" s="19"/>
    </row>
    <row r="868" spans="1:18" hidden="1" x14ac:dyDescent="0.3">
      <c r="A868" s="6" t="s">
        <v>4098</v>
      </c>
      <c r="B868" s="7" t="s">
        <v>3015</v>
      </c>
      <c r="C868" s="17" t="s">
        <v>4099</v>
      </c>
      <c r="D868" s="17"/>
      <c r="E868" s="7" t="s">
        <v>4100</v>
      </c>
      <c r="F868" s="9">
        <v>77</v>
      </c>
      <c r="G868" s="6" t="s">
        <v>4101</v>
      </c>
      <c r="H868" s="7" t="s">
        <v>25</v>
      </c>
      <c r="I868" s="6" t="s">
        <v>19</v>
      </c>
      <c r="J868" s="7" t="s">
        <v>20</v>
      </c>
      <c r="K868" s="7" t="s">
        <v>32</v>
      </c>
      <c r="L868" s="6"/>
      <c r="M868" s="10">
        <v>6.1699999999999998E-2</v>
      </c>
      <c r="N868" s="6" t="s">
        <v>4102</v>
      </c>
      <c r="O868" s="6" t="s">
        <v>19</v>
      </c>
      <c r="P868" s="6"/>
      <c r="Q868" s="19" t="s">
        <v>19</v>
      </c>
      <c r="R868" s="19"/>
    </row>
    <row r="869" spans="1:18" ht="28.8" hidden="1" x14ac:dyDescent="0.3">
      <c r="A869" s="6" t="s">
        <v>4103</v>
      </c>
      <c r="B869" s="7" t="s">
        <v>451</v>
      </c>
      <c r="C869" s="17" t="s">
        <v>4104</v>
      </c>
      <c r="D869" s="17"/>
      <c r="E869" s="8">
        <v>16001</v>
      </c>
      <c r="F869" s="9">
        <v>79</v>
      </c>
      <c r="G869" s="6" t="s">
        <v>4105</v>
      </c>
      <c r="H869" s="7" t="s">
        <v>39</v>
      </c>
      <c r="I869" s="6" t="s">
        <v>4106</v>
      </c>
      <c r="J869" s="7" t="s">
        <v>20</v>
      </c>
      <c r="K869" s="7" t="s">
        <v>26</v>
      </c>
      <c r="L869" s="6"/>
      <c r="M869" s="10">
        <v>6.5799999999999997E-2</v>
      </c>
      <c r="N869" s="6" t="s">
        <v>4107</v>
      </c>
      <c r="O869" s="11">
        <v>2576</v>
      </c>
      <c r="P869" s="11"/>
      <c r="Q869" s="18">
        <v>322</v>
      </c>
      <c r="R869" s="19"/>
    </row>
    <row r="870" spans="1:18" hidden="1" x14ac:dyDescent="0.3">
      <c r="A870" s="6" t="s">
        <v>4108</v>
      </c>
      <c r="B870" s="7" t="s">
        <v>830</v>
      </c>
      <c r="C870" s="17" t="s">
        <v>4109</v>
      </c>
      <c r="D870" s="17"/>
      <c r="E870" s="8">
        <v>17538</v>
      </c>
      <c r="F870" s="9">
        <v>74</v>
      </c>
      <c r="G870" s="6" t="s">
        <v>4110</v>
      </c>
      <c r="H870" s="7" t="s">
        <v>25</v>
      </c>
      <c r="I870" s="6"/>
      <c r="J870" s="7" t="s">
        <v>20</v>
      </c>
      <c r="K870" s="7" t="s">
        <v>26</v>
      </c>
      <c r="L870" s="6"/>
      <c r="M870" s="10">
        <v>5.67E-2</v>
      </c>
      <c r="N870" s="6" t="s">
        <v>4111</v>
      </c>
      <c r="O870" s="11">
        <v>37500</v>
      </c>
      <c r="P870" s="11"/>
      <c r="Q870" s="18">
        <v>12500</v>
      </c>
      <c r="R870" s="19"/>
    </row>
    <row r="871" spans="1:18" ht="43.2" hidden="1" x14ac:dyDescent="0.3">
      <c r="A871" s="6" t="s">
        <v>4112</v>
      </c>
      <c r="B871" s="7" t="s">
        <v>4113</v>
      </c>
      <c r="C871" s="17" t="s">
        <v>4114</v>
      </c>
      <c r="D871" s="17"/>
      <c r="E871" s="8">
        <v>18095</v>
      </c>
      <c r="F871" s="9">
        <v>73</v>
      </c>
      <c r="G871" s="6" t="s">
        <v>4115</v>
      </c>
      <c r="H871" s="7" t="s">
        <v>39</v>
      </c>
      <c r="I871" s="6" t="s">
        <v>4116</v>
      </c>
      <c r="J871" s="7" t="s">
        <v>20</v>
      </c>
      <c r="K871" s="7" t="s">
        <v>26</v>
      </c>
      <c r="L871" s="6"/>
      <c r="M871" s="10">
        <v>5.5300000000000002E-2</v>
      </c>
      <c r="N871" s="6" t="s">
        <v>4117</v>
      </c>
      <c r="O871" s="11">
        <v>25800</v>
      </c>
      <c r="P871" s="11"/>
      <c r="Q871" s="18">
        <v>3225</v>
      </c>
      <c r="R871" s="19"/>
    </row>
    <row r="872" spans="1:18" ht="43.2" hidden="1" x14ac:dyDescent="0.3">
      <c r="A872" s="6" t="s">
        <v>4118</v>
      </c>
      <c r="B872" s="7" t="s">
        <v>246</v>
      </c>
      <c r="C872" s="17" t="s">
        <v>4114</v>
      </c>
      <c r="D872" s="17"/>
      <c r="E872" s="8">
        <v>16514</v>
      </c>
      <c r="F872" s="9">
        <v>77</v>
      </c>
      <c r="G872" s="6" t="s">
        <v>4119</v>
      </c>
      <c r="H872" s="7" t="s">
        <v>39</v>
      </c>
      <c r="I872" s="6" t="s">
        <v>4120</v>
      </c>
      <c r="J872" s="7" t="s">
        <v>20</v>
      </c>
      <c r="K872" s="7" t="s">
        <v>26</v>
      </c>
      <c r="L872" s="6"/>
      <c r="M872" s="10">
        <v>6.1699999999999998E-2</v>
      </c>
      <c r="N872" s="6" t="s">
        <v>4121</v>
      </c>
      <c r="O872" s="11">
        <v>24440</v>
      </c>
      <c r="P872" s="11"/>
      <c r="Q872" s="18">
        <v>3055</v>
      </c>
      <c r="R872" s="19"/>
    </row>
    <row r="873" spans="1:18" ht="28.8" x14ac:dyDescent="0.3">
      <c r="A873" s="6" t="s">
        <v>4122</v>
      </c>
      <c r="B873" s="7" t="s">
        <v>195</v>
      </c>
      <c r="C873" s="17" t="s">
        <v>4123</v>
      </c>
      <c r="D873" s="17"/>
      <c r="E873" s="8">
        <v>17498</v>
      </c>
      <c r="F873" s="9">
        <v>75</v>
      </c>
      <c r="G873" s="6" t="s">
        <v>4124</v>
      </c>
      <c r="H873" s="7" t="s">
        <v>39</v>
      </c>
      <c r="I873" s="6" t="s">
        <v>4125</v>
      </c>
      <c r="J873" s="7" t="s">
        <v>41</v>
      </c>
      <c r="K873" s="7" t="s">
        <v>26</v>
      </c>
      <c r="L873" s="9">
        <v>47</v>
      </c>
      <c r="M873" s="10">
        <v>2.3300000000000001E-2</v>
      </c>
      <c r="N873" s="6" t="s">
        <v>4126</v>
      </c>
      <c r="O873" s="11">
        <v>5400</v>
      </c>
      <c r="P873" s="11"/>
      <c r="Q873" s="18">
        <v>675</v>
      </c>
      <c r="R873" s="19"/>
    </row>
    <row r="874" spans="1:18" hidden="1" x14ac:dyDescent="0.3">
      <c r="A874" s="6" t="s">
        <v>4127</v>
      </c>
      <c r="B874" s="7" t="s">
        <v>412</v>
      </c>
      <c r="C874" s="17" t="s">
        <v>4123</v>
      </c>
      <c r="D874" s="17"/>
      <c r="E874" s="7" t="s">
        <v>4128</v>
      </c>
      <c r="F874" s="9">
        <v>77</v>
      </c>
      <c r="G874" s="6" t="s">
        <v>4129</v>
      </c>
      <c r="H874" s="7" t="s">
        <v>25</v>
      </c>
      <c r="I874" s="6" t="s">
        <v>19</v>
      </c>
      <c r="J874" s="7" t="s">
        <v>41</v>
      </c>
      <c r="K874" s="7" t="s">
        <v>32</v>
      </c>
      <c r="L874" s="9">
        <v>74</v>
      </c>
      <c r="M874" s="10">
        <v>5.67E-2</v>
      </c>
      <c r="N874" s="6" t="s">
        <v>4130</v>
      </c>
      <c r="O874" s="6" t="s">
        <v>19</v>
      </c>
      <c r="P874" s="6"/>
      <c r="Q874" s="19" t="s">
        <v>19</v>
      </c>
      <c r="R874" s="19"/>
    </row>
    <row r="875" spans="1:18" ht="43.2" hidden="1" x14ac:dyDescent="0.3">
      <c r="A875" s="6" t="s">
        <v>4131</v>
      </c>
      <c r="B875" s="7" t="s">
        <v>4132</v>
      </c>
      <c r="C875" s="17" t="s">
        <v>4123</v>
      </c>
      <c r="D875" s="17"/>
      <c r="E875" s="8">
        <v>18607</v>
      </c>
      <c r="F875" s="9">
        <v>72</v>
      </c>
      <c r="G875" s="6" t="s">
        <v>4133</v>
      </c>
      <c r="H875" s="7" t="s">
        <v>39</v>
      </c>
      <c r="I875" s="6" t="s">
        <v>1026</v>
      </c>
      <c r="J875" s="7" t="s">
        <v>20</v>
      </c>
      <c r="K875" s="7" t="s">
        <v>26</v>
      </c>
      <c r="L875" s="6"/>
      <c r="M875" s="10">
        <v>5.3999999999999999E-2</v>
      </c>
      <c r="N875" s="6" t="s">
        <v>4134</v>
      </c>
      <c r="O875" s="11">
        <v>17500</v>
      </c>
      <c r="P875" s="11"/>
      <c r="Q875" s="18">
        <v>600</v>
      </c>
      <c r="R875" s="19"/>
    </row>
    <row r="876" spans="1:18" ht="43.2" hidden="1" x14ac:dyDescent="0.3">
      <c r="A876" s="6" t="s">
        <v>4135</v>
      </c>
      <c r="B876" s="7" t="s">
        <v>4136</v>
      </c>
      <c r="C876" s="17" t="s">
        <v>4123</v>
      </c>
      <c r="D876" s="17"/>
      <c r="E876" s="8">
        <v>18511</v>
      </c>
      <c r="F876" s="9">
        <v>72</v>
      </c>
      <c r="G876" s="6" t="s">
        <v>4137</v>
      </c>
      <c r="H876" s="7" t="s">
        <v>39</v>
      </c>
      <c r="I876" s="6" t="s">
        <v>151</v>
      </c>
      <c r="J876" s="7" t="s">
        <v>20</v>
      </c>
      <c r="K876" s="7" t="s">
        <v>26</v>
      </c>
      <c r="L876" s="6"/>
      <c r="M876" s="10">
        <v>5.3999999999999999E-2</v>
      </c>
      <c r="N876" s="6" t="s">
        <v>4138</v>
      </c>
      <c r="O876" s="11">
        <v>30000</v>
      </c>
      <c r="P876" s="11"/>
      <c r="Q876" s="18">
        <v>2500</v>
      </c>
      <c r="R876" s="19"/>
    </row>
    <row r="877" spans="1:18" x14ac:dyDescent="0.3">
      <c r="A877" s="6" t="s">
        <v>4139</v>
      </c>
      <c r="B877" s="7" t="s">
        <v>429</v>
      </c>
      <c r="C877" s="17" t="s">
        <v>4140</v>
      </c>
      <c r="D877" s="17"/>
      <c r="E877" s="8">
        <v>18408</v>
      </c>
      <c r="F877" s="9">
        <v>72</v>
      </c>
      <c r="G877" s="6" t="s">
        <v>4141</v>
      </c>
      <c r="H877" s="7" t="s">
        <v>25</v>
      </c>
      <c r="I877" s="6"/>
      <c r="J877" s="7" t="s">
        <v>41</v>
      </c>
      <c r="K877" s="7" t="s">
        <v>26</v>
      </c>
      <c r="L877" s="9">
        <v>70</v>
      </c>
      <c r="M877" s="10">
        <v>0.05</v>
      </c>
      <c r="N877" s="6" t="s">
        <v>4142</v>
      </c>
      <c r="O877" s="11">
        <v>13380</v>
      </c>
      <c r="P877" s="11"/>
      <c r="Q877" s="18">
        <v>440</v>
      </c>
      <c r="R877" s="19"/>
    </row>
    <row r="878" spans="1:18" hidden="1" x14ac:dyDescent="0.3">
      <c r="A878" s="6" t="s">
        <v>4143</v>
      </c>
      <c r="B878" s="7" t="s">
        <v>977</v>
      </c>
      <c r="C878" s="17" t="s">
        <v>4144</v>
      </c>
      <c r="D878" s="17"/>
      <c r="E878" s="7" t="s">
        <v>1939</v>
      </c>
      <c r="F878" s="9">
        <v>72</v>
      </c>
      <c r="G878" s="6" t="s">
        <v>4145</v>
      </c>
      <c r="H878" s="7" t="s">
        <v>19</v>
      </c>
      <c r="I878" s="6" t="s">
        <v>19</v>
      </c>
      <c r="J878" s="7" t="s">
        <v>20</v>
      </c>
      <c r="K878" s="7"/>
      <c r="L878" s="6"/>
      <c r="M878" s="10">
        <v>5.3999999999999999E-2</v>
      </c>
      <c r="N878" s="6" t="s">
        <v>4146</v>
      </c>
      <c r="O878" s="6" t="s">
        <v>19</v>
      </c>
      <c r="P878" s="6"/>
      <c r="Q878" s="19" t="s">
        <v>19</v>
      </c>
      <c r="R878" s="19"/>
    </row>
    <row r="879" spans="1:18" ht="43.2" x14ac:dyDescent="0.3">
      <c r="A879" s="6" t="s">
        <v>4147</v>
      </c>
      <c r="B879" s="7" t="s">
        <v>247</v>
      </c>
      <c r="C879" s="17" t="s">
        <v>4148</v>
      </c>
      <c r="D879" s="17"/>
      <c r="E879" s="8">
        <v>16002</v>
      </c>
      <c r="F879" s="9">
        <v>79</v>
      </c>
      <c r="G879" s="6" t="s">
        <v>4149</v>
      </c>
      <c r="H879" s="7" t="s">
        <v>39</v>
      </c>
      <c r="I879" s="6" t="s">
        <v>607</v>
      </c>
      <c r="J879" s="7" t="s">
        <v>41</v>
      </c>
      <c r="K879" s="7" t="s">
        <v>26</v>
      </c>
      <c r="L879" s="9">
        <v>73</v>
      </c>
      <c r="M879" s="10">
        <v>5.5300000000000002E-2</v>
      </c>
      <c r="N879" s="6" t="s">
        <v>4150</v>
      </c>
      <c r="O879" s="11">
        <v>20800</v>
      </c>
      <c r="P879" s="11"/>
      <c r="Q879" s="18">
        <v>2600</v>
      </c>
      <c r="R879" s="19"/>
    </row>
    <row r="880" spans="1:18" hidden="1" x14ac:dyDescent="0.3">
      <c r="A880" s="6" t="s">
        <v>4151</v>
      </c>
      <c r="B880" s="7" t="s">
        <v>793</v>
      </c>
      <c r="C880" s="17" t="s">
        <v>4152</v>
      </c>
      <c r="D880" s="17"/>
      <c r="E880" s="8">
        <v>16318</v>
      </c>
      <c r="F880" s="9">
        <v>78</v>
      </c>
      <c r="G880" s="6" t="s">
        <v>4153</v>
      </c>
      <c r="H880" s="7" t="s">
        <v>25</v>
      </c>
      <c r="I880" s="6"/>
      <c r="J880" s="7" t="s">
        <v>20</v>
      </c>
      <c r="K880" s="7" t="s">
        <v>26</v>
      </c>
      <c r="L880" s="6"/>
      <c r="M880" s="10">
        <v>6.3600000000000004E-2</v>
      </c>
      <c r="N880" s="6" t="s">
        <v>4154</v>
      </c>
      <c r="O880" s="11">
        <v>3271.6</v>
      </c>
      <c r="P880" s="11"/>
      <c r="Q880" s="18">
        <v>202.55</v>
      </c>
      <c r="R880" s="19"/>
    </row>
    <row r="881" spans="1:18" hidden="1" x14ac:dyDescent="0.3">
      <c r="A881" s="6" t="s">
        <v>4155</v>
      </c>
      <c r="B881" s="7" t="s">
        <v>1822</v>
      </c>
      <c r="C881" s="17" t="s">
        <v>4156</v>
      </c>
      <c r="D881" s="17"/>
      <c r="E881" s="7" t="s">
        <v>4157</v>
      </c>
      <c r="F881" s="9">
        <v>75</v>
      </c>
      <c r="G881" s="6" t="s">
        <v>4158</v>
      </c>
      <c r="H881" s="7" t="s">
        <v>25</v>
      </c>
      <c r="I881" s="6" t="s">
        <v>19</v>
      </c>
      <c r="J881" s="7" t="s">
        <v>41</v>
      </c>
      <c r="K881" s="7" t="s">
        <v>26</v>
      </c>
      <c r="L881" s="9">
        <v>74</v>
      </c>
      <c r="M881" s="10">
        <v>5.67E-2</v>
      </c>
      <c r="N881" s="6" t="s">
        <v>4159</v>
      </c>
      <c r="O881" s="6" t="s">
        <v>19</v>
      </c>
      <c r="P881" s="6"/>
      <c r="Q881" s="19" t="s">
        <v>19</v>
      </c>
      <c r="R881" s="19"/>
    </row>
    <row r="882" spans="1:18" hidden="1" x14ac:dyDescent="0.3">
      <c r="A882" s="6" t="s">
        <v>4160</v>
      </c>
      <c r="B882" s="7" t="s">
        <v>640</v>
      </c>
      <c r="C882" s="17" t="s">
        <v>4161</v>
      </c>
      <c r="D882" s="17"/>
      <c r="E882" s="7" t="s">
        <v>1050</v>
      </c>
      <c r="F882" s="9">
        <v>72</v>
      </c>
      <c r="G882" s="6" t="s">
        <v>4162</v>
      </c>
      <c r="H882" s="7" t="s">
        <v>25</v>
      </c>
      <c r="I882" s="6" t="s">
        <v>19</v>
      </c>
      <c r="J882" s="7" t="s">
        <v>41</v>
      </c>
      <c r="K882" s="7" t="s">
        <v>26</v>
      </c>
      <c r="L882" s="9">
        <v>68</v>
      </c>
      <c r="M882" s="10">
        <v>4.5499999999999999E-2</v>
      </c>
      <c r="N882" s="6" t="s">
        <v>4163</v>
      </c>
      <c r="O882" s="6" t="s">
        <v>19</v>
      </c>
      <c r="P882" s="6"/>
      <c r="Q882" s="19" t="s">
        <v>19</v>
      </c>
      <c r="R882" s="19"/>
    </row>
    <row r="883" spans="1:18" ht="28.8" hidden="1" x14ac:dyDescent="0.3">
      <c r="A883" s="6" t="s">
        <v>4164</v>
      </c>
      <c r="B883" s="7" t="s">
        <v>1782</v>
      </c>
      <c r="C883" s="17" t="s">
        <v>4165</v>
      </c>
      <c r="D883" s="17"/>
      <c r="E883" s="8">
        <v>15868</v>
      </c>
      <c r="F883" s="9">
        <v>79</v>
      </c>
      <c r="G883" s="6" t="s">
        <v>4166</v>
      </c>
      <c r="H883" s="7" t="s">
        <v>39</v>
      </c>
      <c r="I883" s="6" t="s">
        <v>4167</v>
      </c>
      <c r="J883" s="7" t="s">
        <v>20</v>
      </c>
      <c r="K883" s="7" t="s">
        <v>26</v>
      </c>
      <c r="L883" s="6"/>
      <c r="M883" s="10">
        <v>6.5799999999999997E-2</v>
      </c>
      <c r="N883" s="6" t="s">
        <v>4168</v>
      </c>
      <c r="O883" s="11">
        <v>7400</v>
      </c>
      <c r="P883" s="11"/>
      <c r="Q883" s="18">
        <v>850</v>
      </c>
      <c r="R883" s="19"/>
    </row>
    <row r="884" spans="1:18" x14ac:dyDescent="0.3">
      <c r="A884" s="6" t="s">
        <v>4169</v>
      </c>
      <c r="B884" s="7" t="s">
        <v>125</v>
      </c>
      <c r="C884" s="17" t="s">
        <v>4170</v>
      </c>
      <c r="D884" s="17"/>
      <c r="E884" s="8">
        <v>18029</v>
      </c>
      <c r="F884" s="9">
        <v>73</v>
      </c>
      <c r="G884" s="6" t="s">
        <v>4171</v>
      </c>
      <c r="H884" s="7" t="s">
        <v>25</v>
      </c>
      <c r="I884" s="6"/>
      <c r="J884" s="7" t="s">
        <v>41</v>
      </c>
      <c r="K884" s="7" t="s">
        <v>26</v>
      </c>
      <c r="L884" s="9">
        <v>72</v>
      </c>
      <c r="M884" s="10">
        <v>5.3999999999999999E-2</v>
      </c>
      <c r="N884" s="6" t="s">
        <v>4172</v>
      </c>
      <c r="O884" s="11">
        <v>59709.52</v>
      </c>
      <c r="P884" s="11"/>
      <c r="Q884" s="18">
        <v>7463.69</v>
      </c>
      <c r="R884" s="19"/>
    </row>
    <row r="885" spans="1:18" ht="28.8" hidden="1" x14ac:dyDescent="0.3">
      <c r="A885" s="6" t="s">
        <v>4173</v>
      </c>
      <c r="B885" s="7" t="s">
        <v>4174</v>
      </c>
      <c r="C885" s="17" t="s">
        <v>4175</v>
      </c>
      <c r="D885" s="17"/>
      <c r="E885" s="8">
        <v>17866</v>
      </c>
      <c r="F885" s="9">
        <v>74</v>
      </c>
      <c r="G885" s="6" t="s">
        <v>4176</v>
      </c>
      <c r="H885" s="7" t="s">
        <v>39</v>
      </c>
      <c r="I885" s="6" t="s">
        <v>941</v>
      </c>
      <c r="J885" s="7" t="s">
        <v>20</v>
      </c>
      <c r="K885" s="7" t="s">
        <v>26</v>
      </c>
      <c r="L885" s="6"/>
      <c r="M885" s="10">
        <v>5.67E-2</v>
      </c>
      <c r="N885" s="6" t="s">
        <v>4177</v>
      </c>
      <c r="O885" s="11">
        <v>2400</v>
      </c>
      <c r="P885" s="11"/>
      <c r="Q885" s="18">
        <v>300</v>
      </c>
      <c r="R885" s="19"/>
    </row>
    <row r="886" spans="1:18" ht="43.2" hidden="1" x14ac:dyDescent="0.3">
      <c r="A886" s="6" t="s">
        <v>4178</v>
      </c>
      <c r="B886" s="7" t="s">
        <v>1570</v>
      </c>
      <c r="C886" s="17" t="s">
        <v>4179</v>
      </c>
      <c r="D886" s="17"/>
      <c r="E886" s="8">
        <v>18548</v>
      </c>
      <c r="F886" s="9">
        <v>72</v>
      </c>
      <c r="G886" s="6" t="s">
        <v>4180</v>
      </c>
      <c r="H886" s="7" t="s">
        <v>39</v>
      </c>
      <c r="I886" s="6" t="s">
        <v>122</v>
      </c>
      <c r="J886" s="7" t="s">
        <v>20</v>
      </c>
      <c r="K886" s="7" t="s">
        <v>26</v>
      </c>
      <c r="L886" s="6"/>
      <c r="M886" s="10">
        <v>5.3999999999999999E-2</v>
      </c>
      <c r="N886" s="6" t="s">
        <v>4181</v>
      </c>
      <c r="O886" s="11">
        <v>71000</v>
      </c>
      <c r="P886" s="11"/>
      <c r="Q886" s="18">
        <v>2000</v>
      </c>
      <c r="R886" s="19"/>
    </row>
    <row r="887" spans="1:18" ht="43.2" hidden="1" x14ac:dyDescent="0.3">
      <c r="A887" s="6" t="s">
        <v>4182</v>
      </c>
      <c r="B887" s="7" t="s">
        <v>4183</v>
      </c>
      <c r="C887" s="17" t="s">
        <v>4184</v>
      </c>
      <c r="D887" s="17"/>
      <c r="E887" s="8">
        <v>17502</v>
      </c>
      <c r="F887" s="9">
        <v>75</v>
      </c>
      <c r="G887" s="6" t="s">
        <v>4185</v>
      </c>
      <c r="H887" s="7" t="s">
        <v>39</v>
      </c>
      <c r="I887" s="6" t="s">
        <v>2453</v>
      </c>
      <c r="J887" s="7" t="s">
        <v>20</v>
      </c>
      <c r="K887" s="7" t="s">
        <v>26</v>
      </c>
      <c r="L887" s="6"/>
      <c r="M887" s="10">
        <v>5.8200000000000002E-2</v>
      </c>
      <c r="N887" s="6" t="s">
        <v>4186</v>
      </c>
      <c r="O887" s="11">
        <v>23200</v>
      </c>
      <c r="P887" s="11"/>
      <c r="Q887" s="18">
        <v>2900</v>
      </c>
      <c r="R887" s="19"/>
    </row>
    <row r="888" spans="1:18" x14ac:dyDescent="0.3">
      <c r="A888" s="6" t="s">
        <v>4187</v>
      </c>
      <c r="B888" s="7" t="s">
        <v>830</v>
      </c>
      <c r="C888" s="17" t="s">
        <v>4188</v>
      </c>
      <c r="D888" s="17"/>
      <c r="E888" s="8">
        <v>16138</v>
      </c>
      <c r="F888" s="9">
        <v>78</v>
      </c>
      <c r="G888" s="6" t="s">
        <v>4189</v>
      </c>
      <c r="H888" s="7" t="s">
        <v>25</v>
      </c>
      <c r="I888" s="6"/>
      <c r="J888" s="7" t="s">
        <v>41</v>
      </c>
      <c r="K888" s="7" t="s">
        <v>26</v>
      </c>
      <c r="L888" s="9">
        <v>75</v>
      </c>
      <c r="M888" s="10">
        <v>5.8200000000000002E-2</v>
      </c>
      <c r="N888" s="6" t="s">
        <v>4190</v>
      </c>
      <c r="O888" s="11">
        <v>11689.12</v>
      </c>
      <c r="P888" s="11"/>
      <c r="Q888" s="18">
        <v>1461.14</v>
      </c>
      <c r="R888" s="19"/>
    </row>
    <row r="889" spans="1:18" hidden="1" x14ac:dyDescent="0.3">
      <c r="A889" s="6" t="s">
        <v>4191</v>
      </c>
      <c r="B889" s="7" t="s">
        <v>81</v>
      </c>
      <c r="C889" s="17" t="s">
        <v>4188</v>
      </c>
      <c r="D889" s="17"/>
      <c r="E889" s="8">
        <v>18002</v>
      </c>
      <c r="F889" s="9">
        <v>73</v>
      </c>
      <c r="G889" s="6" t="s">
        <v>4192</v>
      </c>
      <c r="H889" s="7" t="s">
        <v>25</v>
      </c>
      <c r="I889" s="6"/>
      <c r="J889" s="7" t="s">
        <v>20</v>
      </c>
      <c r="K889" s="7" t="s">
        <v>26</v>
      </c>
      <c r="L889" s="6"/>
      <c r="M889" s="10">
        <v>5.5300000000000002E-2</v>
      </c>
      <c r="N889" s="6" t="s">
        <v>4193</v>
      </c>
      <c r="O889" s="11">
        <v>16711.12</v>
      </c>
      <c r="P889" s="11"/>
      <c r="Q889" s="18">
        <v>2088.89</v>
      </c>
      <c r="R889" s="19"/>
    </row>
    <row r="890" spans="1:18" ht="43.2" hidden="1" x14ac:dyDescent="0.3">
      <c r="A890" s="6" t="s">
        <v>4194</v>
      </c>
      <c r="B890" s="7" t="s">
        <v>2930</v>
      </c>
      <c r="C890" s="17" t="s">
        <v>4195</v>
      </c>
      <c r="D890" s="17"/>
      <c r="E890" s="8">
        <v>16637</v>
      </c>
      <c r="F890" s="9">
        <v>77</v>
      </c>
      <c r="G890" s="6" t="s">
        <v>4196</v>
      </c>
      <c r="H890" s="7" t="s">
        <v>39</v>
      </c>
      <c r="I890" s="6" t="s">
        <v>106</v>
      </c>
      <c r="J890" s="7" t="s">
        <v>20</v>
      </c>
      <c r="K890" s="7" t="s">
        <v>26</v>
      </c>
      <c r="L890" s="6"/>
      <c r="M890" s="10">
        <v>6.1699999999999998E-2</v>
      </c>
      <c r="N890" s="6" t="s">
        <v>4197</v>
      </c>
      <c r="O890" s="11">
        <v>32000</v>
      </c>
      <c r="P890" s="11"/>
      <c r="Q890" s="18">
        <v>4000</v>
      </c>
      <c r="R890" s="19"/>
    </row>
    <row r="891" spans="1:18" ht="43.2" hidden="1" x14ac:dyDescent="0.3">
      <c r="A891" s="6" t="s">
        <v>4198</v>
      </c>
      <c r="B891" s="7" t="s">
        <v>4199</v>
      </c>
      <c r="C891" s="17" t="s">
        <v>4200</v>
      </c>
      <c r="D891" s="17"/>
      <c r="E891" s="8">
        <v>17308</v>
      </c>
      <c r="F891" s="9">
        <v>75</v>
      </c>
      <c r="G891" s="6" t="s">
        <v>4201</v>
      </c>
      <c r="H891" s="7" t="s">
        <v>39</v>
      </c>
      <c r="I891" s="6" t="s">
        <v>4202</v>
      </c>
      <c r="J891" s="7" t="s">
        <v>20</v>
      </c>
      <c r="K891" s="7" t="s">
        <v>26</v>
      </c>
      <c r="L891" s="6"/>
      <c r="M891" s="10">
        <v>5.8200000000000002E-2</v>
      </c>
      <c r="N891" s="6" t="s">
        <v>4203</v>
      </c>
      <c r="O891" s="11">
        <v>22362.5</v>
      </c>
      <c r="P891" s="11"/>
      <c r="Q891" s="18">
        <v>2893.75</v>
      </c>
      <c r="R891" s="19"/>
    </row>
    <row r="892" spans="1:18" hidden="1" x14ac:dyDescent="0.3">
      <c r="A892" s="6" t="s">
        <v>4204</v>
      </c>
      <c r="B892" s="7" t="s">
        <v>190</v>
      </c>
      <c r="C892" s="17" t="s">
        <v>4200</v>
      </c>
      <c r="D892" s="17"/>
      <c r="E892" s="8">
        <v>18183</v>
      </c>
      <c r="F892" s="9">
        <v>73</v>
      </c>
      <c r="G892" s="6" t="s">
        <v>4205</v>
      </c>
      <c r="H892" s="7" t="s">
        <v>25</v>
      </c>
      <c r="I892" s="6"/>
      <c r="J892" s="7" t="s">
        <v>20</v>
      </c>
      <c r="K892" s="7" t="s">
        <v>26</v>
      </c>
      <c r="L892" s="6"/>
      <c r="M892" s="10">
        <v>5.5300000000000002E-2</v>
      </c>
      <c r="N892" s="6" t="s">
        <v>4206</v>
      </c>
      <c r="O892" s="11">
        <v>3181.04</v>
      </c>
      <c r="P892" s="11"/>
      <c r="Q892" s="18">
        <v>397.63</v>
      </c>
      <c r="R892" s="19"/>
    </row>
    <row r="893" spans="1:18" ht="43.2" hidden="1" x14ac:dyDescent="0.3">
      <c r="A893" s="6" t="s">
        <v>4207</v>
      </c>
      <c r="B893" s="7" t="s">
        <v>270</v>
      </c>
      <c r="C893" s="17" t="s">
        <v>4200</v>
      </c>
      <c r="D893" s="17"/>
      <c r="E893" s="8">
        <v>17713</v>
      </c>
      <c r="F893" s="9">
        <v>74</v>
      </c>
      <c r="G893" s="6" t="s">
        <v>4208</v>
      </c>
      <c r="H893" s="7" t="s">
        <v>39</v>
      </c>
      <c r="I893" s="6" t="s">
        <v>243</v>
      </c>
      <c r="J893" s="7" t="s">
        <v>20</v>
      </c>
      <c r="K893" s="7" t="s">
        <v>26</v>
      </c>
      <c r="L893" s="6"/>
      <c r="M893" s="10">
        <v>5.67E-2</v>
      </c>
      <c r="N893" s="6" t="s">
        <v>4209</v>
      </c>
      <c r="O893" s="11">
        <v>14400</v>
      </c>
      <c r="P893" s="11"/>
      <c r="Q893" s="18">
        <v>1800</v>
      </c>
      <c r="R893" s="19"/>
    </row>
    <row r="894" spans="1:18" x14ac:dyDescent="0.3">
      <c r="A894" s="6" t="s">
        <v>4210</v>
      </c>
      <c r="B894" s="7" t="s">
        <v>129</v>
      </c>
      <c r="C894" s="17" t="s">
        <v>4211</v>
      </c>
      <c r="D894" s="17"/>
      <c r="E894" s="8">
        <v>15476</v>
      </c>
      <c r="F894" s="9">
        <v>80</v>
      </c>
      <c r="G894" s="6" t="s">
        <v>4212</v>
      </c>
      <c r="H894" s="7" t="s">
        <v>25</v>
      </c>
      <c r="I894" s="6"/>
      <c r="J894" s="7" t="s">
        <v>41</v>
      </c>
      <c r="K894" s="7" t="s">
        <v>32</v>
      </c>
      <c r="L894" s="9">
        <v>74</v>
      </c>
      <c r="M894" s="10">
        <v>5.67E-2</v>
      </c>
      <c r="N894" s="6" t="s">
        <v>4213</v>
      </c>
      <c r="O894" s="11">
        <v>19887.25</v>
      </c>
      <c r="P894" s="11"/>
      <c r="Q894" s="18">
        <v>19887.25</v>
      </c>
      <c r="R894" s="19"/>
    </row>
    <row r="895" spans="1:18" ht="43.2" hidden="1" x14ac:dyDescent="0.3">
      <c r="A895" s="6" t="s">
        <v>4214</v>
      </c>
      <c r="B895" s="7" t="s">
        <v>1143</v>
      </c>
      <c r="C895" s="17" t="s">
        <v>4215</v>
      </c>
      <c r="D895" s="17"/>
      <c r="E895" s="8">
        <v>18593</v>
      </c>
      <c r="F895" s="9">
        <v>72</v>
      </c>
      <c r="G895" s="6" t="s">
        <v>4216</v>
      </c>
      <c r="H895" s="7" t="s">
        <v>39</v>
      </c>
      <c r="I895" s="6" t="s">
        <v>151</v>
      </c>
      <c r="J895" s="7" t="s">
        <v>20</v>
      </c>
      <c r="K895" s="7" t="s">
        <v>26</v>
      </c>
      <c r="L895" s="6"/>
      <c r="M895" s="10">
        <v>5.3999999999999999E-2</v>
      </c>
      <c r="N895" s="6" t="s">
        <v>4217</v>
      </c>
      <c r="O895" s="11">
        <v>20000</v>
      </c>
      <c r="P895" s="11"/>
      <c r="Q895" s="18">
        <v>2500</v>
      </c>
      <c r="R895" s="19"/>
    </row>
    <row r="896" spans="1:18" ht="43.2" hidden="1" x14ac:dyDescent="0.3">
      <c r="A896" s="6" t="s">
        <v>4218</v>
      </c>
      <c r="B896" s="7" t="s">
        <v>924</v>
      </c>
      <c r="C896" s="17" t="s">
        <v>4219</v>
      </c>
      <c r="D896" s="17"/>
      <c r="E896" s="8">
        <v>18545</v>
      </c>
      <c r="F896" s="9">
        <v>72</v>
      </c>
      <c r="G896" s="6" t="s">
        <v>4220</v>
      </c>
      <c r="H896" s="7" t="s">
        <v>39</v>
      </c>
      <c r="I896" s="6" t="s">
        <v>47</v>
      </c>
      <c r="J896" s="7" t="s">
        <v>20</v>
      </c>
      <c r="K896" s="7" t="s">
        <v>26</v>
      </c>
      <c r="L896" s="6"/>
      <c r="M896" s="10">
        <v>5.3999999999999999E-2</v>
      </c>
      <c r="N896" s="6" t="s">
        <v>4221</v>
      </c>
      <c r="O896" s="11">
        <v>8000</v>
      </c>
      <c r="P896" s="11"/>
      <c r="Q896" s="18">
        <v>1000</v>
      </c>
      <c r="R896" s="19"/>
    </row>
    <row r="897" spans="1:18" ht="28.8" hidden="1" x14ac:dyDescent="0.3">
      <c r="A897" s="6" t="s">
        <v>4222</v>
      </c>
      <c r="B897" s="7" t="s">
        <v>330</v>
      </c>
      <c r="C897" s="17" t="s">
        <v>4223</v>
      </c>
      <c r="D897" s="17"/>
      <c r="E897" s="8">
        <v>17591</v>
      </c>
      <c r="F897" s="9">
        <v>74</v>
      </c>
      <c r="G897" s="6" t="s">
        <v>4224</v>
      </c>
      <c r="H897" s="7" t="s">
        <v>39</v>
      </c>
      <c r="I897" s="6" t="s">
        <v>2738</v>
      </c>
      <c r="J897" s="7" t="s">
        <v>20</v>
      </c>
      <c r="K897" s="7" t="s">
        <v>26</v>
      </c>
      <c r="L897" s="6"/>
      <c r="M897" s="10">
        <v>5.67E-2</v>
      </c>
      <c r="N897" s="6" t="s">
        <v>4225</v>
      </c>
      <c r="O897" s="11">
        <v>800</v>
      </c>
      <c r="P897" s="11"/>
      <c r="Q897" s="18">
        <v>100</v>
      </c>
      <c r="R897" s="19"/>
    </row>
    <row r="898" spans="1:18" hidden="1" x14ac:dyDescent="0.3">
      <c r="A898" s="6" t="s">
        <v>4226</v>
      </c>
      <c r="B898" s="7" t="s">
        <v>270</v>
      </c>
      <c r="C898" s="17" t="s">
        <v>4227</v>
      </c>
      <c r="D898" s="17"/>
      <c r="E898" s="7" t="s">
        <v>4228</v>
      </c>
      <c r="F898" s="9">
        <v>72</v>
      </c>
      <c r="G898" s="6" t="s">
        <v>4229</v>
      </c>
      <c r="H898" s="7" t="s">
        <v>25</v>
      </c>
      <c r="I898" s="6" t="s">
        <v>19</v>
      </c>
      <c r="J898" s="7" t="s">
        <v>41</v>
      </c>
      <c r="K898" s="7" t="s">
        <v>32</v>
      </c>
      <c r="L898" s="9">
        <v>59</v>
      </c>
      <c r="M898" s="10">
        <v>3.2300000000000002E-2</v>
      </c>
      <c r="N898" s="6" t="s">
        <v>4230</v>
      </c>
      <c r="O898" s="6" t="s">
        <v>19</v>
      </c>
      <c r="P898" s="6"/>
      <c r="Q898" s="19" t="s">
        <v>19</v>
      </c>
      <c r="R898" s="19"/>
    </row>
    <row r="899" spans="1:18" ht="43.2" x14ac:dyDescent="0.3">
      <c r="A899" s="6" t="s">
        <v>4231</v>
      </c>
      <c r="B899" s="7" t="s">
        <v>240</v>
      </c>
      <c r="C899" s="17" t="s">
        <v>4227</v>
      </c>
      <c r="D899" s="17"/>
      <c r="E899" s="8">
        <v>17298</v>
      </c>
      <c r="F899" s="9">
        <v>75</v>
      </c>
      <c r="G899" s="6" t="s">
        <v>4232</v>
      </c>
      <c r="H899" s="7" t="s">
        <v>39</v>
      </c>
      <c r="I899" s="6" t="s">
        <v>243</v>
      </c>
      <c r="J899" s="7" t="s">
        <v>41</v>
      </c>
      <c r="K899" s="7" t="s">
        <v>26</v>
      </c>
      <c r="L899" s="9">
        <v>71</v>
      </c>
      <c r="M899" s="10">
        <v>5.28E-2</v>
      </c>
      <c r="N899" s="6" t="s">
        <v>4233</v>
      </c>
      <c r="O899" s="11">
        <v>14400</v>
      </c>
      <c r="P899" s="11"/>
      <c r="Q899" s="18">
        <v>1800</v>
      </c>
      <c r="R899" s="19"/>
    </row>
    <row r="900" spans="1:18" ht="43.2" hidden="1" x14ac:dyDescent="0.3">
      <c r="A900" s="6" t="s">
        <v>4234</v>
      </c>
      <c r="B900" s="7" t="s">
        <v>793</v>
      </c>
      <c r="C900" s="17" t="s">
        <v>4227</v>
      </c>
      <c r="D900" s="17"/>
      <c r="E900" s="8">
        <v>18341</v>
      </c>
      <c r="F900" s="9">
        <v>72</v>
      </c>
      <c r="G900" s="6" t="s">
        <v>4235</v>
      </c>
      <c r="H900" s="7" t="s">
        <v>39</v>
      </c>
      <c r="I900" s="6" t="s">
        <v>144</v>
      </c>
      <c r="J900" s="7" t="s">
        <v>20</v>
      </c>
      <c r="K900" s="7" t="s">
        <v>32</v>
      </c>
      <c r="L900" s="6"/>
      <c r="M900" s="10">
        <v>5.3999999999999999E-2</v>
      </c>
      <c r="N900" s="6" t="s">
        <v>4236</v>
      </c>
      <c r="O900" s="11">
        <v>5000</v>
      </c>
      <c r="P900" s="11"/>
      <c r="Q900" s="18">
        <v>5000</v>
      </c>
      <c r="R900" s="19"/>
    </row>
    <row r="901" spans="1:18" ht="28.8" hidden="1" x14ac:dyDescent="0.3">
      <c r="A901" s="6" t="s">
        <v>4237</v>
      </c>
      <c r="B901" s="7" t="s">
        <v>4238</v>
      </c>
      <c r="C901" s="17" t="s">
        <v>4239</v>
      </c>
      <c r="D901" s="17"/>
      <c r="E901" s="7" t="s">
        <v>4240</v>
      </c>
      <c r="F901" s="9">
        <v>74</v>
      </c>
      <c r="G901" s="6" t="s">
        <v>4241</v>
      </c>
      <c r="H901" s="7" t="s">
        <v>25</v>
      </c>
      <c r="I901" s="6" t="s">
        <v>19</v>
      </c>
      <c r="J901" s="7" t="s">
        <v>20</v>
      </c>
      <c r="K901" s="7" t="s">
        <v>26</v>
      </c>
      <c r="L901" s="6"/>
      <c r="M901" s="10">
        <v>5.67E-2</v>
      </c>
      <c r="N901" s="6" t="s">
        <v>4242</v>
      </c>
      <c r="O901" s="6" t="s">
        <v>19</v>
      </c>
      <c r="P901" s="6"/>
      <c r="Q901" s="19" t="s">
        <v>19</v>
      </c>
      <c r="R901" s="19"/>
    </row>
    <row r="902" spans="1:18" hidden="1" x14ac:dyDescent="0.3">
      <c r="A902" s="6" t="s">
        <v>4243</v>
      </c>
      <c r="B902" s="7" t="s">
        <v>2532</v>
      </c>
      <c r="C902" s="17" t="s">
        <v>4239</v>
      </c>
      <c r="D902" s="17"/>
      <c r="E902" s="7" t="s">
        <v>4244</v>
      </c>
      <c r="F902" s="9">
        <v>82</v>
      </c>
      <c r="G902" s="6" t="s">
        <v>4245</v>
      </c>
      <c r="H902" s="7" t="s">
        <v>25</v>
      </c>
      <c r="I902" s="6" t="s">
        <v>19</v>
      </c>
      <c r="J902" s="7" t="s">
        <v>20</v>
      </c>
      <c r="K902" s="7" t="s">
        <v>26</v>
      </c>
      <c r="L902" s="6"/>
      <c r="M902" s="10">
        <v>7.3800000000000004E-2</v>
      </c>
      <c r="N902" s="6" t="s">
        <v>4246</v>
      </c>
      <c r="O902" s="6" t="s">
        <v>19</v>
      </c>
      <c r="P902" s="6"/>
      <c r="Q902" s="19" t="s">
        <v>19</v>
      </c>
      <c r="R902" s="19"/>
    </row>
    <row r="903" spans="1:18" ht="43.2" hidden="1" x14ac:dyDescent="0.3">
      <c r="A903" s="6" t="s">
        <v>4247</v>
      </c>
      <c r="B903" s="7" t="s">
        <v>135</v>
      </c>
      <c r="C903" s="17" t="s">
        <v>3790</v>
      </c>
      <c r="D903" s="17"/>
      <c r="E903" s="8">
        <v>18522</v>
      </c>
      <c r="F903" s="9">
        <v>72</v>
      </c>
      <c r="G903" s="6" t="s">
        <v>4248</v>
      </c>
      <c r="H903" s="7" t="s">
        <v>39</v>
      </c>
      <c r="I903" s="6" t="s">
        <v>122</v>
      </c>
      <c r="J903" s="7" t="s">
        <v>20</v>
      </c>
      <c r="K903" s="7" t="s">
        <v>26</v>
      </c>
      <c r="L903" s="6"/>
      <c r="M903" s="10">
        <v>5.3999999999999999E-2</v>
      </c>
      <c r="N903" s="6" t="s">
        <v>4249</v>
      </c>
      <c r="O903" s="11">
        <v>16000</v>
      </c>
      <c r="P903" s="11"/>
      <c r="Q903" s="18">
        <v>2000</v>
      </c>
      <c r="R903" s="19"/>
    </row>
    <row r="904" spans="1:18" ht="28.8" hidden="1" x14ac:dyDescent="0.3">
      <c r="A904" s="6" t="s">
        <v>4250</v>
      </c>
      <c r="B904" s="7" t="s">
        <v>466</v>
      </c>
      <c r="C904" s="17" t="s">
        <v>4251</v>
      </c>
      <c r="D904" s="17"/>
      <c r="E904" s="8">
        <v>17496</v>
      </c>
      <c r="F904" s="9">
        <v>75</v>
      </c>
      <c r="G904" s="6" t="s">
        <v>4252</v>
      </c>
      <c r="H904" s="7" t="s">
        <v>39</v>
      </c>
      <c r="I904" s="6" t="s">
        <v>4253</v>
      </c>
      <c r="J904" s="7" t="s">
        <v>20</v>
      </c>
      <c r="K904" s="7" t="s">
        <v>26</v>
      </c>
      <c r="L904" s="6"/>
      <c r="M904" s="10">
        <v>5.8200000000000002E-2</v>
      </c>
      <c r="N904" s="6" t="s">
        <v>4254</v>
      </c>
      <c r="O904" s="11">
        <v>4480</v>
      </c>
      <c r="P904" s="11"/>
      <c r="Q904" s="18">
        <v>560</v>
      </c>
      <c r="R904" s="19"/>
    </row>
    <row r="905" spans="1:18" ht="28.8" hidden="1" x14ac:dyDescent="0.3">
      <c r="A905" s="6" t="s">
        <v>4255</v>
      </c>
      <c r="B905" s="7" t="s">
        <v>3554</v>
      </c>
      <c r="C905" s="17" t="s">
        <v>4256</v>
      </c>
      <c r="D905" s="17"/>
      <c r="E905" s="8">
        <v>17987</v>
      </c>
      <c r="F905" s="9">
        <v>73</v>
      </c>
      <c r="G905" s="6" t="s">
        <v>4257</v>
      </c>
      <c r="H905" s="7" t="s">
        <v>39</v>
      </c>
      <c r="I905" s="6" t="s">
        <v>941</v>
      </c>
      <c r="J905" s="7" t="s">
        <v>20</v>
      </c>
      <c r="K905" s="7" t="s">
        <v>26</v>
      </c>
      <c r="L905" s="6"/>
      <c r="M905" s="10">
        <v>5.5300000000000002E-2</v>
      </c>
      <c r="N905" s="6" t="s">
        <v>4258</v>
      </c>
      <c r="O905" s="11">
        <v>2400</v>
      </c>
      <c r="P905" s="11"/>
      <c r="Q905" s="18">
        <v>300</v>
      </c>
      <c r="R905" s="19"/>
    </row>
    <row r="906" spans="1:18" hidden="1" x14ac:dyDescent="0.3">
      <c r="A906" s="6" t="s">
        <v>4259</v>
      </c>
      <c r="B906" s="7" t="s">
        <v>4260</v>
      </c>
      <c r="C906" s="17" t="s">
        <v>4261</v>
      </c>
      <c r="D906" s="17"/>
      <c r="E906" s="8">
        <v>15670</v>
      </c>
      <c r="F906" s="9">
        <v>80</v>
      </c>
      <c r="G906" s="6" t="s">
        <v>4262</v>
      </c>
      <c r="H906" s="7" t="s">
        <v>25</v>
      </c>
      <c r="I906" s="6"/>
      <c r="J906" s="7" t="s">
        <v>20</v>
      </c>
      <c r="K906" s="7" t="s">
        <v>26</v>
      </c>
      <c r="L906" s="6"/>
      <c r="M906" s="10">
        <v>6.8199999999999997E-2</v>
      </c>
      <c r="N906" s="6" t="s">
        <v>4263</v>
      </c>
      <c r="O906" s="11">
        <v>13612.88</v>
      </c>
      <c r="P906" s="11"/>
      <c r="Q906" s="18">
        <v>906.66</v>
      </c>
      <c r="R906" s="19"/>
    </row>
    <row r="907" spans="1:18" ht="43.2" x14ac:dyDescent="0.3">
      <c r="A907" s="6" t="s">
        <v>4264</v>
      </c>
      <c r="B907" s="7" t="s">
        <v>140</v>
      </c>
      <c r="C907" s="17" t="s">
        <v>4265</v>
      </c>
      <c r="D907" s="17"/>
      <c r="E907" s="8">
        <v>18480</v>
      </c>
      <c r="F907" s="9">
        <v>72</v>
      </c>
      <c r="G907" s="6" t="s">
        <v>4266</v>
      </c>
      <c r="H907" s="7" t="s">
        <v>39</v>
      </c>
      <c r="I907" s="6" t="s">
        <v>267</v>
      </c>
      <c r="J907" s="7" t="s">
        <v>41</v>
      </c>
      <c r="K907" s="7" t="s">
        <v>26</v>
      </c>
      <c r="L907" s="9">
        <v>67</v>
      </c>
      <c r="M907" s="10">
        <v>4.3499999999999997E-2</v>
      </c>
      <c r="N907" s="6" t="s">
        <v>4267</v>
      </c>
      <c r="O907" s="11">
        <v>26000</v>
      </c>
      <c r="P907" s="11"/>
      <c r="Q907" s="18">
        <v>2200</v>
      </c>
      <c r="R907" s="19"/>
    </row>
    <row r="908" spans="1:18" ht="43.2" x14ac:dyDescent="0.3">
      <c r="A908" s="6" t="s">
        <v>4268</v>
      </c>
      <c r="B908" s="7" t="s">
        <v>4269</v>
      </c>
      <c r="C908" s="17" t="s">
        <v>4270</v>
      </c>
      <c r="D908" s="17"/>
      <c r="E908" s="8">
        <v>15541</v>
      </c>
      <c r="F908" s="9">
        <v>80</v>
      </c>
      <c r="G908" s="6" t="s">
        <v>4271</v>
      </c>
      <c r="H908" s="7" t="s">
        <v>39</v>
      </c>
      <c r="I908" s="6" t="s">
        <v>122</v>
      </c>
      <c r="J908" s="7" t="s">
        <v>41</v>
      </c>
      <c r="K908" s="7" t="s">
        <v>26</v>
      </c>
      <c r="L908" s="9">
        <v>72</v>
      </c>
      <c r="M908" s="10">
        <v>5.3999999999999999E-2</v>
      </c>
      <c r="N908" s="6" t="s">
        <v>4272</v>
      </c>
      <c r="O908" s="11">
        <v>16000</v>
      </c>
      <c r="P908" s="11"/>
      <c r="Q908" s="18">
        <v>2000</v>
      </c>
      <c r="R908" s="19"/>
    </row>
    <row r="909" spans="1:18" ht="43.2" hidden="1" x14ac:dyDescent="0.3">
      <c r="A909" s="6" t="s">
        <v>4273</v>
      </c>
      <c r="B909" s="7" t="s">
        <v>330</v>
      </c>
      <c r="C909" s="17" t="s">
        <v>4274</v>
      </c>
      <c r="D909" s="17"/>
      <c r="E909" s="8">
        <v>18208</v>
      </c>
      <c r="F909" s="9">
        <v>73</v>
      </c>
      <c r="G909" s="6" t="s">
        <v>4275</v>
      </c>
      <c r="H909" s="7" t="s">
        <v>39</v>
      </c>
      <c r="I909" s="6" t="s">
        <v>4276</v>
      </c>
      <c r="J909" s="7" t="s">
        <v>20</v>
      </c>
      <c r="K909" s="7" t="s">
        <v>26</v>
      </c>
      <c r="L909" s="6"/>
      <c r="M909" s="10">
        <v>5.5300000000000002E-2</v>
      </c>
      <c r="N909" s="6" t="s">
        <v>4277</v>
      </c>
      <c r="O909" s="11">
        <v>20400</v>
      </c>
      <c r="P909" s="11"/>
      <c r="Q909" s="18">
        <v>2550</v>
      </c>
      <c r="R909" s="19"/>
    </row>
    <row r="910" spans="1:18" hidden="1" x14ac:dyDescent="0.3">
      <c r="A910" s="6" t="s">
        <v>4278</v>
      </c>
      <c r="B910" s="7" t="s">
        <v>924</v>
      </c>
      <c r="C910" s="17" t="s">
        <v>4279</v>
      </c>
      <c r="D910" s="17"/>
      <c r="E910" s="8">
        <v>18430</v>
      </c>
      <c r="F910" s="9">
        <v>72</v>
      </c>
      <c r="G910" s="6" t="s">
        <v>4280</v>
      </c>
      <c r="H910" s="7" t="s">
        <v>25</v>
      </c>
      <c r="I910" s="6"/>
      <c r="J910" s="7" t="s">
        <v>20</v>
      </c>
      <c r="K910" s="7" t="s">
        <v>26</v>
      </c>
      <c r="L910" s="6"/>
      <c r="M910" s="10">
        <v>5.3999999999999999E-2</v>
      </c>
      <c r="N910" s="6" t="s">
        <v>4281</v>
      </c>
      <c r="O910" s="11">
        <v>27633.68</v>
      </c>
      <c r="P910" s="11"/>
      <c r="Q910" s="18">
        <v>177.97</v>
      </c>
      <c r="R910" s="19"/>
    </row>
    <row r="911" spans="1:18" x14ac:dyDescent="0.3">
      <c r="A911" s="6" t="s">
        <v>4282</v>
      </c>
      <c r="B911" s="7" t="s">
        <v>2311</v>
      </c>
      <c r="C911" s="17" t="s">
        <v>4283</v>
      </c>
      <c r="D911" s="17"/>
      <c r="E911" s="8">
        <v>16259</v>
      </c>
      <c r="F911" s="9">
        <v>78</v>
      </c>
      <c r="G911" s="6" t="s">
        <v>4284</v>
      </c>
      <c r="H911" s="7" t="s">
        <v>25</v>
      </c>
      <c r="I911" s="6"/>
      <c r="J911" s="7" t="s">
        <v>41</v>
      </c>
      <c r="K911" s="7" t="s">
        <v>26</v>
      </c>
      <c r="L911" s="9">
        <v>53</v>
      </c>
      <c r="M911" s="10">
        <v>2.7E-2</v>
      </c>
      <c r="N911" s="6" t="s">
        <v>4285</v>
      </c>
      <c r="O911" s="11">
        <v>12500</v>
      </c>
      <c r="P911" s="11"/>
      <c r="Q911" s="18">
        <v>8000</v>
      </c>
      <c r="R911" s="19"/>
    </row>
    <row r="912" spans="1:18" x14ac:dyDescent="0.3">
      <c r="A912" s="6" t="s">
        <v>4286</v>
      </c>
      <c r="B912" s="7" t="s">
        <v>3738</v>
      </c>
      <c r="C912" s="17" t="s">
        <v>4287</v>
      </c>
      <c r="D912" s="17"/>
      <c r="E912" s="8">
        <v>17735</v>
      </c>
      <c r="F912" s="9">
        <v>74</v>
      </c>
      <c r="G912" s="6" t="s">
        <v>4288</v>
      </c>
      <c r="H912" s="7" t="s">
        <v>25</v>
      </c>
      <c r="I912" s="6"/>
      <c r="J912" s="7" t="s">
        <v>41</v>
      </c>
      <c r="K912" s="7" t="s">
        <v>26</v>
      </c>
      <c r="L912" s="9">
        <v>68</v>
      </c>
      <c r="M912" s="10">
        <v>4.5499999999999999E-2</v>
      </c>
      <c r="N912" s="6" t="s">
        <v>4289</v>
      </c>
      <c r="O912" s="11">
        <v>5154.8</v>
      </c>
      <c r="P912" s="11"/>
      <c r="Q912" s="18">
        <v>577.64</v>
      </c>
      <c r="R912" s="19"/>
    </row>
    <row r="913" spans="1:18" ht="43.2" hidden="1" x14ac:dyDescent="0.3">
      <c r="A913" s="6" t="s">
        <v>4290</v>
      </c>
      <c r="B913" s="7" t="s">
        <v>4291</v>
      </c>
      <c r="C913" s="17" t="s">
        <v>4292</v>
      </c>
      <c r="D913" s="17"/>
      <c r="E913" s="8">
        <v>18061</v>
      </c>
      <c r="F913" s="9">
        <v>73</v>
      </c>
      <c r="G913" s="6" t="s">
        <v>4293</v>
      </c>
      <c r="H913" s="7" t="s">
        <v>39</v>
      </c>
      <c r="I913" s="6" t="s">
        <v>40</v>
      </c>
      <c r="J913" s="7" t="s">
        <v>20</v>
      </c>
      <c r="K913" s="7" t="s">
        <v>26</v>
      </c>
      <c r="L913" s="6"/>
      <c r="M913" s="10">
        <v>5.5300000000000002E-2</v>
      </c>
      <c r="N913" s="6" t="s">
        <v>4294</v>
      </c>
      <c r="O913" s="11">
        <v>28000</v>
      </c>
      <c r="P913" s="11"/>
      <c r="Q913" s="18">
        <v>3500</v>
      </c>
      <c r="R913" s="19"/>
    </row>
    <row r="914" spans="1:18" hidden="1" x14ac:dyDescent="0.3">
      <c r="A914" s="6" t="s">
        <v>4295</v>
      </c>
      <c r="B914" s="7" t="s">
        <v>2857</v>
      </c>
      <c r="C914" s="17" t="s">
        <v>4296</v>
      </c>
      <c r="D914" s="17"/>
      <c r="E914" s="7" t="s">
        <v>1145</v>
      </c>
      <c r="F914" s="9">
        <v>74</v>
      </c>
      <c r="G914" s="6" t="s">
        <v>4297</v>
      </c>
      <c r="H914" s="7" t="s">
        <v>25</v>
      </c>
      <c r="I914" s="6" t="s">
        <v>19</v>
      </c>
      <c r="J914" s="7" t="s">
        <v>41</v>
      </c>
      <c r="K914" s="7" t="s">
        <v>26</v>
      </c>
      <c r="L914" s="9">
        <v>72</v>
      </c>
      <c r="M914" s="10">
        <v>5.3999999999999999E-2</v>
      </c>
      <c r="N914" s="6" t="s">
        <v>4298</v>
      </c>
      <c r="O914" s="6" t="s">
        <v>19</v>
      </c>
      <c r="P914" s="6"/>
      <c r="Q914" s="19" t="s">
        <v>19</v>
      </c>
      <c r="R914" s="19"/>
    </row>
    <row r="915" spans="1:18" ht="43.2" hidden="1" x14ac:dyDescent="0.3">
      <c r="A915" s="6" t="s">
        <v>4299</v>
      </c>
      <c r="B915" s="7" t="s">
        <v>4300</v>
      </c>
      <c r="C915" s="17" t="s">
        <v>4301</v>
      </c>
      <c r="D915" s="17"/>
      <c r="E915" s="7" t="s">
        <v>4302</v>
      </c>
      <c r="F915" s="9">
        <v>76</v>
      </c>
      <c r="G915" s="6" t="s">
        <v>4303</v>
      </c>
      <c r="H915" s="7" t="s">
        <v>39</v>
      </c>
      <c r="I915" s="6" t="s">
        <v>4304</v>
      </c>
      <c r="J915" s="7" t="s">
        <v>20</v>
      </c>
      <c r="K915" s="7" t="s">
        <v>32</v>
      </c>
      <c r="L915" s="6"/>
      <c r="M915" s="10">
        <v>5.9799999999999999E-2</v>
      </c>
      <c r="N915" s="6" t="s">
        <v>4305</v>
      </c>
      <c r="O915" s="6" t="s">
        <v>19</v>
      </c>
      <c r="P915" s="6"/>
      <c r="Q915" s="19" t="s">
        <v>19</v>
      </c>
      <c r="R915" s="19"/>
    </row>
    <row r="916" spans="1:18" hidden="1" x14ac:dyDescent="0.3">
      <c r="A916" s="6" t="s">
        <v>4306</v>
      </c>
      <c r="B916" s="7" t="s">
        <v>1531</v>
      </c>
      <c r="C916" s="17" t="s">
        <v>4307</v>
      </c>
      <c r="D916" s="17"/>
      <c r="E916" s="7" t="s">
        <v>2401</v>
      </c>
      <c r="F916" s="9">
        <v>73</v>
      </c>
      <c r="G916" s="6" t="s">
        <v>4308</v>
      </c>
      <c r="H916" s="7" t="s">
        <v>25</v>
      </c>
      <c r="I916" s="6" t="s">
        <v>19</v>
      </c>
      <c r="J916" s="7" t="s">
        <v>41</v>
      </c>
      <c r="K916" s="7" t="s">
        <v>26</v>
      </c>
      <c r="L916" s="9">
        <v>67</v>
      </c>
      <c r="M916" s="10">
        <v>4.3499999999999997E-2</v>
      </c>
      <c r="N916" s="6" t="s">
        <v>4309</v>
      </c>
      <c r="O916" s="6" t="s">
        <v>19</v>
      </c>
      <c r="P916" s="6"/>
      <c r="Q916" s="19" t="s">
        <v>19</v>
      </c>
      <c r="R916" s="19"/>
    </row>
    <row r="917" spans="1:18" ht="43.2" x14ac:dyDescent="0.3">
      <c r="A917" s="6" t="s">
        <v>4310</v>
      </c>
      <c r="B917" s="7" t="s">
        <v>621</v>
      </c>
      <c r="C917" s="17" t="s">
        <v>4311</v>
      </c>
      <c r="D917" s="17"/>
      <c r="E917" s="8">
        <v>17206</v>
      </c>
      <c r="F917" s="9">
        <v>75</v>
      </c>
      <c r="G917" s="6" t="s">
        <v>4312</v>
      </c>
      <c r="H917" s="7" t="s">
        <v>39</v>
      </c>
      <c r="I917" s="6" t="s">
        <v>4313</v>
      </c>
      <c r="J917" s="7" t="s">
        <v>41</v>
      </c>
      <c r="K917" s="7" t="s">
        <v>26</v>
      </c>
      <c r="L917" s="9">
        <v>69</v>
      </c>
      <c r="M917" s="10">
        <v>4.7600000000000003E-2</v>
      </c>
      <c r="N917" s="6" t="s">
        <v>4314</v>
      </c>
      <c r="O917" s="11">
        <v>10672.68</v>
      </c>
      <c r="P917" s="11"/>
      <c r="Q917" s="18">
        <v>1557.56</v>
      </c>
      <c r="R917" s="19"/>
    </row>
    <row r="918" spans="1:18" hidden="1" x14ac:dyDescent="0.3">
      <c r="A918" s="6" t="s">
        <v>4315</v>
      </c>
      <c r="B918" s="7" t="s">
        <v>2229</v>
      </c>
      <c r="C918" s="17" t="s">
        <v>4316</v>
      </c>
      <c r="D918" s="17"/>
      <c r="E918" s="8">
        <v>17847</v>
      </c>
      <c r="F918" s="9">
        <v>74</v>
      </c>
      <c r="G918" s="6" t="s">
        <v>4317</v>
      </c>
      <c r="H918" s="7" t="s">
        <v>25</v>
      </c>
      <c r="I918" s="6"/>
      <c r="J918" s="7" t="s">
        <v>20</v>
      </c>
      <c r="K918" s="7" t="s">
        <v>26</v>
      </c>
      <c r="L918" s="6"/>
      <c r="M918" s="10">
        <v>5.67E-2</v>
      </c>
      <c r="N918" s="6" t="s">
        <v>4318</v>
      </c>
      <c r="O918" s="11">
        <v>30156.400000000001</v>
      </c>
      <c r="P918" s="11"/>
      <c r="Q918" s="18">
        <v>3769.55</v>
      </c>
      <c r="R918" s="19"/>
    </row>
    <row r="919" spans="1:18" hidden="1" x14ac:dyDescent="0.3">
      <c r="A919" s="6" t="s">
        <v>4319</v>
      </c>
      <c r="B919" s="7" t="s">
        <v>4320</v>
      </c>
      <c r="C919" s="17" t="s">
        <v>4321</v>
      </c>
      <c r="D919" s="17"/>
      <c r="E919" s="7" t="s">
        <v>4322</v>
      </c>
      <c r="F919" s="9">
        <v>73</v>
      </c>
      <c r="G919" s="6" t="s">
        <v>4323</v>
      </c>
      <c r="H919" s="7" t="s">
        <v>25</v>
      </c>
      <c r="I919" s="6" t="s">
        <v>19</v>
      </c>
      <c r="J919" s="7" t="s">
        <v>20</v>
      </c>
      <c r="K919" s="7" t="s">
        <v>26</v>
      </c>
      <c r="L919" s="6"/>
      <c r="M919" s="10">
        <v>5.5300000000000002E-2</v>
      </c>
      <c r="N919" s="6" t="s">
        <v>4324</v>
      </c>
      <c r="O919" s="6" t="s">
        <v>19</v>
      </c>
      <c r="P919" s="6"/>
      <c r="Q919" s="19" t="s">
        <v>19</v>
      </c>
      <c r="R919" s="19"/>
    </row>
    <row r="920" spans="1:18" ht="43.2" hidden="1" x14ac:dyDescent="0.3">
      <c r="A920" s="6" t="s">
        <v>4325</v>
      </c>
      <c r="B920" s="7" t="s">
        <v>4326</v>
      </c>
      <c r="C920" s="17" t="s">
        <v>4327</v>
      </c>
      <c r="D920" s="17"/>
      <c r="E920" s="8">
        <v>17418</v>
      </c>
      <c r="F920" s="9">
        <v>75</v>
      </c>
      <c r="G920" s="6" t="s">
        <v>4328</v>
      </c>
      <c r="H920" s="7" t="s">
        <v>39</v>
      </c>
      <c r="I920" s="6" t="s">
        <v>267</v>
      </c>
      <c r="J920" s="7" t="s">
        <v>20</v>
      </c>
      <c r="K920" s="7" t="s">
        <v>26</v>
      </c>
      <c r="L920" s="6"/>
      <c r="M920" s="10">
        <v>5.8200000000000002E-2</v>
      </c>
      <c r="N920" s="6" t="s">
        <v>4329</v>
      </c>
      <c r="O920" s="11">
        <v>17600</v>
      </c>
      <c r="P920" s="11"/>
      <c r="Q920" s="18">
        <v>2200</v>
      </c>
      <c r="R920" s="19"/>
    </row>
    <row r="921" spans="1:18" ht="43.2" x14ac:dyDescent="0.3">
      <c r="A921" s="6" t="s">
        <v>4330</v>
      </c>
      <c r="B921" s="7" t="s">
        <v>4331</v>
      </c>
      <c r="C921" s="17" t="s">
        <v>4332</v>
      </c>
      <c r="D921" s="17"/>
      <c r="E921" s="8">
        <v>14363</v>
      </c>
      <c r="F921" s="9">
        <v>83</v>
      </c>
      <c r="G921" s="6" t="s">
        <v>4333</v>
      </c>
      <c r="H921" s="7" t="s">
        <v>39</v>
      </c>
      <c r="I921" s="6" t="s">
        <v>122</v>
      </c>
      <c r="J921" s="7" t="s">
        <v>41</v>
      </c>
      <c r="K921" s="7" t="s">
        <v>26</v>
      </c>
      <c r="L921" s="9">
        <v>77</v>
      </c>
      <c r="M921" s="10">
        <v>6.1699999999999998E-2</v>
      </c>
      <c r="N921" s="6" t="s">
        <v>4334</v>
      </c>
      <c r="O921" s="11">
        <v>16000</v>
      </c>
      <c r="P921" s="11"/>
      <c r="Q921" s="18">
        <v>2000</v>
      </c>
      <c r="R921" s="19"/>
    </row>
    <row r="922" spans="1:18" ht="43.2" hidden="1" x14ac:dyDescent="0.3">
      <c r="A922" s="6" t="s">
        <v>4335</v>
      </c>
      <c r="B922" s="7" t="s">
        <v>4336</v>
      </c>
      <c r="C922" s="17" t="s">
        <v>4337</v>
      </c>
      <c r="D922" s="17"/>
      <c r="E922" s="8">
        <v>16457</v>
      </c>
      <c r="F922" s="9">
        <v>77</v>
      </c>
      <c r="G922" s="6" t="s">
        <v>4338</v>
      </c>
      <c r="H922" s="7" t="s">
        <v>39</v>
      </c>
      <c r="I922" s="6" t="s">
        <v>4339</v>
      </c>
      <c r="J922" s="7" t="s">
        <v>20</v>
      </c>
      <c r="K922" s="7" t="s">
        <v>26</v>
      </c>
      <c r="L922" s="6"/>
      <c r="M922" s="10">
        <v>6.1699999999999998E-2</v>
      </c>
      <c r="N922" s="6" t="s">
        <v>4340</v>
      </c>
      <c r="O922" s="11">
        <v>35896</v>
      </c>
      <c r="P922" s="11"/>
      <c r="Q922" s="18">
        <v>4487</v>
      </c>
      <c r="R922" s="19"/>
    </row>
    <row r="923" spans="1:18" hidden="1" x14ac:dyDescent="0.3">
      <c r="A923" s="6" t="s">
        <v>4341</v>
      </c>
      <c r="B923" s="7" t="s">
        <v>977</v>
      </c>
      <c r="C923" s="17" t="s">
        <v>4337</v>
      </c>
      <c r="D923" s="17"/>
      <c r="E923" s="7" t="s">
        <v>4342</v>
      </c>
      <c r="F923" s="9">
        <v>73</v>
      </c>
      <c r="G923" s="6" t="s">
        <v>4343</v>
      </c>
      <c r="H923" s="7" t="s">
        <v>25</v>
      </c>
      <c r="I923" s="6" t="s">
        <v>19</v>
      </c>
      <c r="J923" s="7" t="s">
        <v>20</v>
      </c>
      <c r="K923" s="7" t="s">
        <v>32</v>
      </c>
      <c r="L923" s="6"/>
      <c r="M923" s="10">
        <v>5.5300000000000002E-2</v>
      </c>
      <c r="N923" s="6" t="s">
        <v>4344</v>
      </c>
      <c r="O923" s="6" t="s">
        <v>19</v>
      </c>
      <c r="P923" s="6"/>
      <c r="Q923" s="19" t="s">
        <v>19</v>
      </c>
      <c r="R923" s="19"/>
    </row>
    <row r="924" spans="1:18" hidden="1" x14ac:dyDescent="0.3">
      <c r="A924" s="6" t="s">
        <v>4345</v>
      </c>
      <c r="B924" s="7" t="s">
        <v>4346</v>
      </c>
      <c r="C924" s="17" t="s">
        <v>4347</v>
      </c>
      <c r="D924" s="17"/>
      <c r="E924" s="7" t="s">
        <v>4348</v>
      </c>
      <c r="F924" s="9">
        <v>74</v>
      </c>
      <c r="G924" s="6" t="s">
        <v>4349</v>
      </c>
      <c r="H924" s="7" t="s">
        <v>25</v>
      </c>
      <c r="I924" s="6" t="s">
        <v>19</v>
      </c>
      <c r="J924" s="7" t="s">
        <v>41</v>
      </c>
      <c r="K924" s="7" t="s">
        <v>32</v>
      </c>
      <c r="L924" s="9">
        <v>67</v>
      </c>
      <c r="M924" s="10">
        <v>4.3499999999999997E-2</v>
      </c>
      <c r="N924" s="6" t="s">
        <v>4350</v>
      </c>
      <c r="O924" s="6" t="s">
        <v>19</v>
      </c>
      <c r="P924" s="6"/>
      <c r="Q924" s="19" t="s">
        <v>19</v>
      </c>
      <c r="R924" s="19"/>
    </row>
    <row r="925" spans="1:18" hidden="1" x14ac:dyDescent="0.3">
      <c r="A925" s="6" t="s">
        <v>4351</v>
      </c>
      <c r="B925" s="7" t="s">
        <v>35</v>
      </c>
      <c r="C925" s="17" t="s">
        <v>4352</v>
      </c>
      <c r="D925" s="17"/>
      <c r="E925" s="7" t="s">
        <v>3206</v>
      </c>
      <c r="F925" s="9">
        <v>76</v>
      </c>
      <c r="G925" s="6" t="s">
        <v>4353</v>
      </c>
      <c r="H925" s="7" t="s">
        <v>25</v>
      </c>
      <c r="I925" s="6" t="s">
        <v>19</v>
      </c>
      <c r="J925" s="7" t="s">
        <v>20</v>
      </c>
      <c r="K925" s="7" t="s">
        <v>26</v>
      </c>
      <c r="L925" s="6"/>
      <c r="M925" s="10">
        <v>5.9799999999999999E-2</v>
      </c>
      <c r="N925" s="6" t="s">
        <v>4354</v>
      </c>
      <c r="O925" s="6" t="s">
        <v>19</v>
      </c>
      <c r="P925" s="6"/>
      <c r="Q925" s="19" t="s">
        <v>19</v>
      </c>
      <c r="R925" s="19"/>
    </row>
    <row r="926" spans="1:18" hidden="1" x14ac:dyDescent="0.3">
      <c r="A926" s="6" t="s">
        <v>4355</v>
      </c>
      <c r="B926" s="7" t="s">
        <v>4356</v>
      </c>
      <c r="C926" s="17" t="s">
        <v>4357</v>
      </c>
      <c r="D926" s="17"/>
      <c r="E926" s="7" t="s">
        <v>3063</v>
      </c>
      <c r="F926" s="9">
        <v>75</v>
      </c>
      <c r="G926" s="6" t="s">
        <v>4358</v>
      </c>
      <c r="H926" s="7" t="s">
        <v>25</v>
      </c>
      <c r="I926" s="6" t="s">
        <v>19</v>
      </c>
      <c r="J926" s="7" t="s">
        <v>20</v>
      </c>
      <c r="K926" s="7" t="s">
        <v>26</v>
      </c>
      <c r="L926" s="6"/>
      <c r="M926" s="10">
        <v>5.8200000000000002E-2</v>
      </c>
      <c r="N926" s="6" t="s">
        <v>4359</v>
      </c>
      <c r="O926" s="6" t="s">
        <v>19</v>
      </c>
      <c r="P926" s="6"/>
      <c r="Q926" s="19" t="s">
        <v>19</v>
      </c>
      <c r="R926" s="19"/>
    </row>
    <row r="927" spans="1:18" ht="28.8" hidden="1" x14ac:dyDescent="0.3">
      <c r="A927" s="6" t="s">
        <v>4360</v>
      </c>
      <c r="B927" s="7" t="s">
        <v>4361</v>
      </c>
      <c r="C927" s="17" t="s">
        <v>4362</v>
      </c>
      <c r="D927" s="17"/>
      <c r="E927" s="8">
        <v>15681</v>
      </c>
      <c r="F927" s="9">
        <v>80</v>
      </c>
      <c r="G927" s="6" t="s">
        <v>4363</v>
      </c>
      <c r="H927" s="7" t="s">
        <v>39</v>
      </c>
      <c r="I927" s="6" t="s">
        <v>941</v>
      </c>
      <c r="J927" s="7" t="s">
        <v>20</v>
      </c>
      <c r="K927" s="7" t="s">
        <v>26</v>
      </c>
      <c r="L927" s="6"/>
      <c r="M927" s="10">
        <v>6.8199999999999997E-2</v>
      </c>
      <c r="N927" s="6" t="s">
        <v>4364</v>
      </c>
      <c r="O927" s="11">
        <v>2400</v>
      </c>
      <c r="P927" s="11"/>
      <c r="Q927" s="18">
        <v>300</v>
      </c>
      <c r="R927" s="19"/>
    </row>
    <row r="928" spans="1:18" hidden="1" x14ac:dyDescent="0.3">
      <c r="A928" s="6" t="s">
        <v>4365</v>
      </c>
      <c r="B928" s="7" t="s">
        <v>115</v>
      </c>
      <c r="C928" s="17" t="s">
        <v>4366</v>
      </c>
      <c r="D928" s="17"/>
      <c r="E928" s="7" t="s">
        <v>4367</v>
      </c>
      <c r="F928" s="9">
        <v>83</v>
      </c>
      <c r="G928" s="6" t="s">
        <v>4368</v>
      </c>
      <c r="H928" s="7" t="s">
        <v>25</v>
      </c>
      <c r="I928" s="6" t="s">
        <v>19</v>
      </c>
      <c r="J928" s="7" t="s">
        <v>41</v>
      </c>
      <c r="K928" s="7" t="s">
        <v>32</v>
      </c>
      <c r="L928" s="9">
        <v>82</v>
      </c>
      <c r="M928" s="10">
        <v>7.3800000000000004E-2</v>
      </c>
      <c r="N928" s="6" t="s">
        <v>4369</v>
      </c>
      <c r="O928" s="6" t="s">
        <v>19</v>
      </c>
      <c r="P928" s="6"/>
      <c r="Q928" s="19" t="s">
        <v>19</v>
      </c>
      <c r="R928" s="19"/>
    </row>
    <row r="929" spans="1:18" ht="28.8" hidden="1" x14ac:dyDescent="0.3">
      <c r="A929" s="6" t="s">
        <v>4370</v>
      </c>
      <c r="B929" s="7" t="s">
        <v>793</v>
      </c>
      <c r="C929" s="17" t="s">
        <v>1252</v>
      </c>
      <c r="D929" s="17"/>
      <c r="E929" s="8">
        <v>17520</v>
      </c>
      <c r="F929" s="9">
        <v>75</v>
      </c>
      <c r="G929" s="6" t="s">
        <v>4371</v>
      </c>
      <c r="H929" s="7" t="s">
        <v>39</v>
      </c>
      <c r="I929" s="6" t="s">
        <v>249</v>
      </c>
      <c r="J929" s="7" t="s">
        <v>20</v>
      </c>
      <c r="K929" s="7" t="s">
        <v>26</v>
      </c>
      <c r="L929" s="6"/>
      <c r="M929" s="10">
        <v>5.8200000000000002E-2</v>
      </c>
      <c r="N929" s="6" t="s">
        <v>4372</v>
      </c>
      <c r="O929" s="11">
        <v>1600</v>
      </c>
      <c r="P929" s="11"/>
      <c r="Q929" s="18">
        <v>200</v>
      </c>
      <c r="R929" s="19"/>
    </row>
    <row r="930" spans="1:18" hidden="1" x14ac:dyDescent="0.3">
      <c r="A930" s="6" t="s">
        <v>4373</v>
      </c>
      <c r="B930" s="7" t="s">
        <v>4374</v>
      </c>
      <c r="C930" s="17" t="s">
        <v>4375</v>
      </c>
      <c r="D930" s="17"/>
      <c r="E930" s="8">
        <v>17145</v>
      </c>
      <c r="F930" s="9">
        <v>76</v>
      </c>
      <c r="G930" s="6" t="s">
        <v>4376</v>
      </c>
      <c r="H930" s="7" t="s">
        <v>25</v>
      </c>
      <c r="I930" s="6"/>
      <c r="J930" s="7" t="s">
        <v>20</v>
      </c>
      <c r="K930" s="7" t="s">
        <v>32</v>
      </c>
      <c r="L930" s="6"/>
      <c r="M930" s="10">
        <v>5.9799999999999999E-2</v>
      </c>
      <c r="N930" s="6" t="s">
        <v>4377</v>
      </c>
      <c r="O930" s="11">
        <v>1995.48</v>
      </c>
      <c r="P930" s="11"/>
      <c r="Q930" s="18">
        <v>1995.48</v>
      </c>
      <c r="R930" s="19"/>
    </row>
    <row r="931" spans="1:18" ht="43.2" x14ac:dyDescent="0.3">
      <c r="A931" s="6" t="s">
        <v>4378</v>
      </c>
      <c r="B931" s="7" t="s">
        <v>4379</v>
      </c>
      <c r="C931" s="17" t="s">
        <v>4380</v>
      </c>
      <c r="D931" s="17"/>
      <c r="E931" s="8">
        <v>17982</v>
      </c>
      <c r="F931" s="9">
        <v>73</v>
      </c>
      <c r="G931" s="6" t="s">
        <v>4382</v>
      </c>
      <c r="H931" s="7" t="s">
        <v>39</v>
      </c>
      <c r="I931" s="6" t="s">
        <v>144</v>
      </c>
      <c r="J931" s="7" t="s">
        <v>41</v>
      </c>
      <c r="K931" s="7" t="s">
        <v>26</v>
      </c>
      <c r="L931" s="9">
        <v>65</v>
      </c>
      <c r="M931" s="10">
        <v>0.04</v>
      </c>
      <c r="N931" s="6" t="s">
        <v>4383</v>
      </c>
      <c r="O931" s="11">
        <v>40000</v>
      </c>
      <c r="P931" s="11"/>
      <c r="Q931" s="18">
        <v>6.79</v>
      </c>
      <c r="R931" s="19"/>
    </row>
    <row r="932" spans="1:18" hidden="1" x14ac:dyDescent="0.3">
      <c r="A932" s="6" t="s">
        <v>4384</v>
      </c>
      <c r="B932" s="7" t="s">
        <v>830</v>
      </c>
      <c r="C932" s="17" t="s">
        <v>4385</v>
      </c>
      <c r="D932" s="17"/>
      <c r="E932" s="8">
        <v>17604</v>
      </c>
      <c r="F932" s="9">
        <v>74</v>
      </c>
      <c r="G932" s="6" t="s">
        <v>4386</v>
      </c>
      <c r="H932" s="7" t="s">
        <v>25</v>
      </c>
      <c r="I932" s="6"/>
      <c r="J932" s="7" t="s">
        <v>20</v>
      </c>
      <c r="K932" s="7" t="s">
        <v>26</v>
      </c>
      <c r="L932" s="6"/>
      <c r="M932" s="10">
        <v>5.67E-2</v>
      </c>
      <c r="N932" s="6" t="s">
        <v>4387</v>
      </c>
      <c r="O932" s="11">
        <v>93828.96</v>
      </c>
      <c r="P932" s="11"/>
      <c r="Q932" s="18">
        <v>11728.62</v>
      </c>
      <c r="R932" s="19"/>
    </row>
    <row r="933" spans="1:18" ht="43.2" hidden="1" x14ac:dyDescent="0.3">
      <c r="A933" s="6" t="s">
        <v>4388</v>
      </c>
      <c r="B933" s="7" t="s">
        <v>4389</v>
      </c>
      <c r="C933" s="17" t="s">
        <v>4390</v>
      </c>
      <c r="D933" s="17"/>
      <c r="E933" s="7" t="s">
        <v>4391</v>
      </c>
      <c r="F933" s="9">
        <v>74</v>
      </c>
      <c r="G933" s="6" t="s">
        <v>4392</v>
      </c>
      <c r="H933" s="7" t="s">
        <v>39</v>
      </c>
      <c r="I933" s="6" t="s">
        <v>132</v>
      </c>
      <c r="J933" s="7" t="s">
        <v>41</v>
      </c>
      <c r="K933" s="7" t="s">
        <v>26</v>
      </c>
      <c r="L933" s="9">
        <v>53</v>
      </c>
      <c r="M933" s="10">
        <v>2.7E-2</v>
      </c>
      <c r="N933" s="6" t="s">
        <v>1249</v>
      </c>
      <c r="O933" s="6" t="s">
        <v>19</v>
      </c>
      <c r="P933" s="6"/>
      <c r="Q933" s="19" t="s">
        <v>19</v>
      </c>
      <c r="R933" s="19"/>
    </row>
    <row r="934" spans="1:18" hidden="1" x14ac:dyDescent="0.3">
      <c r="A934" s="6" t="s">
        <v>4393</v>
      </c>
      <c r="B934" s="7" t="s">
        <v>2565</v>
      </c>
      <c r="C934" s="17" t="s">
        <v>4394</v>
      </c>
      <c r="D934" s="17"/>
      <c r="E934" s="7" t="s">
        <v>2184</v>
      </c>
      <c r="F934" s="9">
        <v>72</v>
      </c>
      <c r="G934" s="6" t="s">
        <v>4395</v>
      </c>
      <c r="H934" s="7" t="s">
        <v>25</v>
      </c>
      <c r="I934" s="6" t="s">
        <v>19</v>
      </c>
      <c r="J934" s="7" t="s">
        <v>41</v>
      </c>
      <c r="K934" s="7" t="s">
        <v>32</v>
      </c>
      <c r="L934" s="9">
        <v>71</v>
      </c>
      <c r="M934" s="10">
        <v>5.28E-2</v>
      </c>
      <c r="N934" s="6" t="s">
        <v>4396</v>
      </c>
      <c r="O934" s="6" t="s">
        <v>19</v>
      </c>
      <c r="P934" s="6"/>
      <c r="Q934" s="19" t="s">
        <v>19</v>
      </c>
      <c r="R934" s="19"/>
    </row>
    <row r="935" spans="1:18" ht="28.8" hidden="1" x14ac:dyDescent="0.3">
      <c r="A935" s="6" t="s">
        <v>4397</v>
      </c>
      <c r="B935" s="7" t="s">
        <v>4398</v>
      </c>
      <c r="C935" s="17" t="s">
        <v>4394</v>
      </c>
      <c r="D935" s="17"/>
      <c r="E935" s="8">
        <v>18140</v>
      </c>
      <c r="F935" s="9">
        <v>73</v>
      </c>
      <c r="G935" s="6" t="s">
        <v>4399</v>
      </c>
      <c r="H935" s="7" t="s">
        <v>39</v>
      </c>
      <c r="I935" s="6" t="s">
        <v>321</v>
      </c>
      <c r="J935" s="7" t="s">
        <v>20</v>
      </c>
      <c r="K935" s="7" t="s">
        <v>26</v>
      </c>
      <c r="L935" s="6"/>
      <c r="M935" s="10">
        <v>5.5300000000000002E-2</v>
      </c>
      <c r="N935" s="6" t="s">
        <v>4400</v>
      </c>
      <c r="O935" s="11">
        <v>4000</v>
      </c>
      <c r="P935" s="11"/>
      <c r="Q935" s="18">
        <v>500</v>
      </c>
      <c r="R935" s="19"/>
    </row>
    <row r="936" spans="1:18" ht="43.2" hidden="1" x14ac:dyDescent="0.3">
      <c r="A936" s="6" t="s">
        <v>4401</v>
      </c>
      <c r="B936" s="7" t="s">
        <v>349</v>
      </c>
      <c r="C936" s="17" t="s">
        <v>4402</v>
      </c>
      <c r="D936" s="17"/>
      <c r="E936" s="8">
        <v>15420</v>
      </c>
      <c r="F936" s="9">
        <v>80</v>
      </c>
      <c r="G936" s="6" t="s">
        <v>4403</v>
      </c>
      <c r="H936" s="7" t="s">
        <v>39</v>
      </c>
      <c r="I936" s="6" t="s">
        <v>122</v>
      </c>
      <c r="J936" s="7" t="s">
        <v>20</v>
      </c>
      <c r="K936" s="7" t="s">
        <v>26</v>
      </c>
      <c r="L936" s="6"/>
      <c r="M936" s="10">
        <v>6.8199999999999997E-2</v>
      </c>
      <c r="N936" s="6" t="s">
        <v>4404</v>
      </c>
      <c r="O936" s="11">
        <v>16000</v>
      </c>
      <c r="P936" s="11"/>
      <c r="Q936" s="18">
        <v>2000</v>
      </c>
      <c r="R936" s="19"/>
    </row>
    <row r="937" spans="1:18" ht="43.2" hidden="1" x14ac:dyDescent="0.3">
      <c r="A937" s="6" t="s">
        <v>4405</v>
      </c>
      <c r="B937" s="7" t="s">
        <v>4406</v>
      </c>
      <c r="C937" s="17" t="s">
        <v>4407</v>
      </c>
      <c r="D937" s="17"/>
      <c r="E937" s="8">
        <v>17123</v>
      </c>
      <c r="F937" s="9">
        <v>76</v>
      </c>
      <c r="G937" s="6" t="s">
        <v>4408</v>
      </c>
      <c r="H937" s="7" t="s">
        <v>39</v>
      </c>
      <c r="I937" s="6" t="s">
        <v>151</v>
      </c>
      <c r="J937" s="7" t="s">
        <v>20</v>
      </c>
      <c r="K937" s="7" t="s">
        <v>26</v>
      </c>
      <c r="L937" s="6"/>
      <c r="M937" s="10">
        <v>5.9799999999999999E-2</v>
      </c>
      <c r="N937" s="6" t="s">
        <v>4409</v>
      </c>
      <c r="O937" s="11">
        <v>20000</v>
      </c>
      <c r="P937" s="11"/>
      <c r="Q937" s="18">
        <v>2500</v>
      </c>
      <c r="R937" s="19"/>
    </row>
    <row r="938" spans="1:18" hidden="1" x14ac:dyDescent="0.3">
      <c r="A938" s="6" t="s">
        <v>4410</v>
      </c>
      <c r="B938" s="7" t="s">
        <v>406</v>
      </c>
      <c r="C938" s="17" t="s">
        <v>4407</v>
      </c>
      <c r="D938" s="17"/>
      <c r="E938" s="8">
        <v>15792</v>
      </c>
      <c r="F938" s="9">
        <v>79</v>
      </c>
      <c r="G938" s="6" t="s">
        <v>4411</v>
      </c>
      <c r="H938" s="7" t="s">
        <v>25</v>
      </c>
      <c r="I938" s="6"/>
      <c r="J938" s="7" t="s">
        <v>20</v>
      </c>
      <c r="K938" s="7" t="s">
        <v>26</v>
      </c>
      <c r="L938" s="6"/>
      <c r="M938" s="10">
        <v>6.5799999999999997E-2</v>
      </c>
      <c r="N938" s="6" t="s">
        <v>4412</v>
      </c>
      <c r="O938" s="11">
        <v>30970.400000000001</v>
      </c>
      <c r="P938" s="11"/>
      <c r="Q938" s="18">
        <v>3871.3</v>
      </c>
      <c r="R938" s="19"/>
    </row>
    <row r="939" spans="1:18" hidden="1" x14ac:dyDescent="0.3">
      <c r="A939" s="6" t="s">
        <v>4413</v>
      </c>
      <c r="B939" s="7" t="s">
        <v>977</v>
      </c>
      <c r="C939" s="17" t="s">
        <v>4414</v>
      </c>
      <c r="D939" s="17"/>
      <c r="E939" s="8">
        <v>15093</v>
      </c>
      <c r="F939" s="9">
        <v>81</v>
      </c>
      <c r="G939" s="6" t="s">
        <v>4415</v>
      </c>
      <c r="H939" s="7" t="s">
        <v>25</v>
      </c>
      <c r="I939" s="6"/>
      <c r="J939" s="7" t="s">
        <v>20</v>
      </c>
      <c r="K939" s="7" t="s">
        <v>32</v>
      </c>
      <c r="L939" s="6"/>
      <c r="M939" s="10">
        <v>7.0800000000000002E-2</v>
      </c>
      <c r="N939" s="6" t="s">
        <v>4416</v>
      </c>
      <c r="O939" s="11">
        <v>3808.77</v>
      </c>
      <c r="P939" s="11"/>
      <c r="Q939" s="18">
        <v>3808.77</v>
      </c>
      <c r="R939" s="19"/>
    </row>
    <row r="940" spans="1:18" ht="43.2" hidden="1" x14ac:dyDescent="0.3">
      <c r="A940" s="6" t="s">
        <v>4417</v>
      </c>
      <c r="B940" s="7" t="s">
        <v>2101</v>
      </c>
      <c r="C940" s="17" t="s">
        <v>4418</v>
      </c>
      <c r="D940" s="17"/>
      <c r="E940" s="8">
        <v>17216</v>
      </c>
      <c r="F940" s="9">
        <v>75</v>
      </c>
      <c r="G940" s="6" t="s">
        <v>4419</v>
      </c>
      <c r="H940" s="7" t="s">
        <v>39</v>
      </c>
      <c r="I940" s="6" t="s">
        <v>4420</v>
      </c>
      <c r="J940" s="7" t="s">
        <v>20</v>
      </c>
      <c r="K940" s="7" t="s">
        <v>26</v>
      </c>
      <c r="L940" s="6"/>
      <c r="M940" s="10">
        <v>5.8200000000000002E-2</v>
      </c>
      <c r="N940" s="6" t="s">
        <v>4421</v>
      </c>
      <c r="O940" s="11">
        <v>26800</v>
      </c>
      <c r="P940" s="11"/>
      <c r="Q940" s="18">
        <v>3350</v>
      </c>
      <c r="R940" s="19"/>
    </row>
    <row r="941" spans="1:18" ht="43.2" hidden="1" x14ac:dyDescent="0.3">
      <c r="A941" s="6" t="s">
        <v>4422</v>
      </c>
      <c r="B941" s="7" t="s">
        <v>4423</v>
      </c>
      <c r="C941" s="17" t="s">
        <v>4424</v>
      </c>
      <c r="D941" s="17"/>
      <c r="E941" s="8">
        <v>17842</v>
      </c>
      <c r="F941" s="9">
        <v>74</v>
      </c>
      <c r="G941" s="6" t="s">
        <v>4425</v>
      </c>
      <c r="H941" s="7" t="s">
        <v>39</v>
      </c>
      <c r="I941" s="6" t="s">
        <v>415</v>
      </c>
      <c r="J941" s="7" t="s">
        <v>20</v>
      </c>
      <c r="K941" s="7" t="s">
        <v>26</v>
      </c>
      <c r="L941" s="6"/>
      <c r="M941" s="10">
        <v>5.67E-2</v>
      </c>
      <c r="N941" s="6" t="s">
        <v>4426</v>
      </c>
      <c r="O941" s="11">
        <v>16800</v>
      </c>
      <c r="P941" s="11"/>
      <c r="Q941" s="18">
        <v>2100</v>
      </c>
      <c r="R941" s="19"/>
    </row>
    <row r="942" spans="1:18" hidden="1" x14ac:dyDescent="0.3">
      <c r="A942" s="6" t="s">
        <v>4427</v>
      </c>
      <c r="B942" s="7" t="s">
        <v>4428</v>
      </c>
      <c r="C942" s="17" t="s">
        <v>4429</v>
      </c>
      <c r="D942" s="17"/>
      <c r="E942" s="7" t="s">
        <v>1696</v>
      </c>
      <c r="F942" s="9">
        <v>73</v>
      </c>
      <c r="G942" s="6" t="s">
        <v>4430</v>
      </c>
      <c r="H942" s="7" t="s">
        <v>25</v>
      </c>
      <c r="I942" s="6" t="s">
        <v>19</v>
      </c>
      <c r="J942" s="7" t="s">
        <v>20</v>
      </c>
      <c r="K942" s="7" t="s">
        <v>26</v>
      </c>
      <c r="L942" s="6"/>
      <c r="M942" s="10">
        <v>5.5300000000000002E-2</v>
      </c>
      <c r="N942" s="6" t="s">
        <v>4431</v>
      </c>
      <c r="O942" s="6" t="s">
        <v>19</v>
      </c>
      <c r="P942" s="6"/>
      <c r="Q942" s="19" t="s">
        <v>19</v>
      </c>
      <c r="R942" s="19"/>
    </row>
    <row r="943" spans="1:18" ht="43.2" hidden="1" x14ac:dyDescent="0.3">
      <c r="A943" s="6" t="s">
        <v>4432</v>
      </c>
      <c r="B943" s="7" t="s">
        <v>224</v>
      </c>
      <c r="C943" s="17" t="s">
        <v>4433</v>
      </c>
      <c r="D943" s="17"/>
      <c r="E943" s="8">
        <v>18470</v>
      </c>
      <c r="F943" s="9">
        <v>72</v>
      </c>
      <c r="G943" s="6" t="s">
        <v>4434</v>
      </c>
      <c r="H943" s="7" t="s">
        <v>39</v>
      </c>
      <c r="I943" s="6" t="s">
        <v>122</v>
      </c>
      <c r="J943" s="7" t="s">
        <v>20</v>
      </c>
      <c r="K943" s="7" t="s">
        <v>26</v>
      </c>
      <c r="L943" s="6"/>
      <c r="M943" s="10">
        <v>5.3999999999999999E-2</v>
      </c>
      <c r="N943" s="6" t="s">
        <v>4435</v>
      </c>
      <c r="O943" s="11">
        <v>16000</v>
      </c>
      <c r="P943" s="11"/>
      <c r="Q943" s="18">
        <v>25.54</v>
      </c>
      <c r="R943" s="19"/>
    </row>
    <row r="944" spans="1:18" ht="43.2" hidden="1" x14ac:dyDescent="0.3">
      <c r="A944" s="6" t="s">
        <v>4436</v>
      </c>
      <c r="B944" s="7" t="s">
        <v>4050</v>
      </c>
      <c r="C944" s="17" t="s">
        <v>4437</v>
      </c>
      <c r="D944" s="17"/>
      <c r="E944" s="8">
        <v>17728</v>
      </c>
      <c r="F944" s="9">
        <v>74</v>
      </c>
      <c r="G944" s="6" t="s">
        <v>4438</v>
      </c>
      <c r="H944" s="7" t="s">
        <v>39</v>
      </c>
      <c r="I944" s="6" t="s">
        <v>144</v>
      </c>
      <c r="J944" s="7" t="s">
        <v>20</v>
      </c>
      <c r="K944" s="7" t="s">
        <v>26</v>
      </c>
      <c r="L944" s="6"/>
      <c r="M944" s="10">
        <v>5.67E-2</v>
      </c>
      <c r="N944" s="6" t="s">
        <v>4439</v>
      </c>
      <c r="O944" s="11">
        <v>40000</v>
      </c>
      <c r="P944" s="11"/>
      <c r="Q944" s="18">
        <v>5000</v>
      </c>
      <c r="R944" s="19"/>
    </row>
    <row r="945" spans="1:18" hidden="1" x14ac:dyDescent="0.3">
      <c r="A945" s="6" t="s">
        <v>4440</v>
      </c>
      <c r="B945" s="7" t="s">
        <v>4441</v>
      </c>
      <c r="C945" s="17" t="s">
        <v>4442</v>
      </c>
      <c r="D945" s="17"/>
      <c r="E945" s="7" t="s">
        <v>4443</v>
      </c>
      <c r="F945" s="9">
        <v>77</v>
      </c>
      <c r="G945" s="6" t="s">
        <v>4444</v>
      </c>
      <c r="H945" s="7" t="s">
        <v>25</v>
      </c>
      <c r="I945" s="6" t="s">
        <v>19</v>
      </c>
      <c r="J945" s="7" t="s">
        <v>41</v>
      </c>
      <c r="K945" s="7" t="s">
        <v>26</v>
      </c>
      <c r="L945" s="9">
        <v>65</v>
      </c>
      <c r="M945" s="10">
        <v>0.04</v>
      </c>
      <c r="N945" s="6" t="s">
        <v>4445</v>
      </c>
      <c r="O945" s="6" t="s">
        <v>19</v>
      </c>
      <c r="P945" s="6"/>
      <c r="Q945" s="19" t="s">
        <v>19</v>
      </c>
      <c r="R945" s="19"/>
    </row>
    <row r="946" spans="1:18" ht="43.2" hidden="1" x14ac:dyDescent="0.3">
      <c r="A946" s="6" t="s">
        <v>4446</v>
      </c>
      <c r="B946" s="7" t="s">
        <v>4447</v>
      </c>
      <c r="C946" s="17" t="s">
        <v>4448</v>
      </c>
      <c r="D946" s="17"/>
      <c r="E946" s="7" t="s">
        <v>4449</v>
      </c>
      <c r="F946" s="9">
        <v>78</v>
      </c>
      <c r="G946" s="6" t="s">
        <v>4450</v>
      </c>
      <c r="H946" s="7" t="s">
        <v>39</v>
      </c>
      <c r="I946" s="6" t="s">
        <v>122</v>
      </c>
      <c r="J946" s="7" t="s">
        <v>20</v>
      </c>
      <c r="K946" s="7" t="s">
        <v>26</v>
      </c>
      <c r="L946" s="6"/>
      <c r="M946" s="10">
        <v>6.3600000000000004E-2</v>
      </c>
      <c r="N946" s="6" t="s">
        <v>4451</v>
      </c>
      <c r="O946" s="6" t="s">
        <v>19</v>
      </c>
      <c r="P946" s="6"/>
      <c r="Q946" s="19" t="s">
        <v>19</v>
      </c>
      <c r="R946" s="19"/>
    </row>
    <row r="947" spans="1:18" x14ac:dyDescent="0.3">
      <c r="A947" s="6" t="s">
        <v>4452</v>
      </c>
      <c r="B947" s="7" t="s">
        <v>4453</v>
      </c>
      <c r="C947" s="17" t="s">
        <v>4454</v>
      </c>
      <c r="D947" s="17"/>
      <c r="E947" s="8">
        <v>17971</v>
      </c>
      <c r="F947" s="9">
        <v>73</v>
      </c>
      <c r="G947" s="6" t="s">
        <v>4456</v>
      </c>
      <c r="H947" s="7" t="s">
        <v>25</v>
      </c>
      <c r="I947" s="6"/>
      <c r="J947" s="7" t="s">
        <v>41</v>
      </c>
      <c r="K947" s="7" t="s">
        <v>26</v>
      </c>
      <c r="L947" s="9">
        <v>70</v>
      </c>
      <c r="M947" s="10">
        <v>0.05</v>
      </c>
      <c r="N947" s="6" t="s">
        <v>4457</v>
      </c>
      <c r="O947" s="11">
        <v>32918.720000000001</v>
      </c>
      <c r="P947" s="11"/>
      <c r="Q947" s="18">
        <v>4114.84</v>
      </c>
      <c r="R947" s="19"/>
    </row>
    <row r="948" spans="1:18" ht="43.2" hidden="1" x14ac:dyDescent="0.3">
      <c r="A948" s="6" t="s">
        <v>4458</v>
      </c>
      <c r="B948" s="7" t="s">
        <v>22</v>
      </c>
      <c r="C948" s="17" t="s">
        <v>4459</v>
      </c>
      <c r="D948" s="17"/>
      <c r="E948" s="8">
        <v>17054</v>
      </c>
      <c r="F948" s="9">
        <v>76</v>
      </c>
      <c r="G948" s="6" t="s">
        <v>4460</v>
      </c>
      <c r="H948" s="7" t="s">
        <v>39</v>
      </c>
      <c r="I948" s="6" t="s">
        <v>132</v>
      </c>
      <c r="J948" s="7" t="s">
        <v>20</v>
      </c>
      <c r="K948" s="7" t="s">
        <v>26</v>
      </c>
      <c r="L948" s="6"/>
      <c r="M948" s="10">
        <v>5.9799999999999999E-2</v>
      </c>
      <c r="N948" s="6" t="s">
        <v>4461</v>
      </c>
      <c r="O948" s="11">
        <v>12000</v>
      </c>
      <c r="P948" s="11"/>
      <c r="Q948" s="18">
        <v>1500</v>
      </c>
      <c r="R948" s="19"/>
    </row>
    <row r="949" spans="1:18" ht="43.2" hidden="1" x14ac:dyDescent="0.3">
      <c r="A949" s="6" t="s">
        <v>4462</v>
      </c>
      <c r="B949" s="7" t="s">
        <v>4463</v>
      </c>
      <c r="C949" s="17" t="s">
        <v>60</v>
      </c>
      <c r="D949" s="17"/>
      <c r="E949" s="7" t="s">
        <v>4464</v>
      </c>
      <c r="F949" s="9">
        <v>72</v>
      </c>
      <c r="G949" s="6" t="s">
        <v>4465</v>
      </c>
      <c r="H949" s="7" t="s">
        <v>39</v>
      </c>
      <c r="I949" s="6" t="s">
        <v>47</v>
      </c>
      <c r="J949" s="7" t="s">
        <v>20</v>
      </c>
      <c r="K949" s="7" t="s">
        <v>26</v>
      </c>
      <c r="L949" s="6"/>
      <c r="M949" s="10">
        <v>5.3999999999999999E-2</v>
      </c>
      <c r="N949" s="6" t="s">
        <v>4466</v>
      </c>
      <c r="O949" s="6" t="s">
        <v>19</v>
      </c>
      <c r="P949" s="6"/>
      <c r="Q949" s="19" t="s">
        <v>19</v>
      </c>
      <c r="R949" s="19"/>
    </row>
    <row r="950" spans="1:18" ht="43.2" x14ac:dyDescent="0.3">
      <c r="A950" s="6" t="s">
        <v>4467</v>
      </c>
      <c r="B950" s="7" t="s">
        <v>330</v>
      </c>
      <c r="C950" s="17" t="s">
        <v>60</v>
      </c>
      <c r="D950" s="17"/>
      <c r="E950" s="8">
        <v>17521</v>
      </c>
      <c r="F950" s="9">
        <v>75</v>
      </c>
      <c r="G950" s="6" t="s">
        <v>4468</v>
      </c>
      <c r="H950" s="7" t="s">
        <v>39</v>
      </c>
      <c r="I950" s="6" t="s">
        <v>607</v>
      </c>
      <c r="J950" s="7" t="s">
        <v>41</v>
      </c>
      <c r="K950" s="7" t="s">
        <v>26</v>
      </c>
      <c r="L950" s="9">
        <v>72</v>
      </c>
      <c r="M950" s="10">
        <v>5.3999999999999999E-2</v>
      </c>
      <c r="N950" s="6" t="s">
        <v>4469</v>
      </c>
      <c r="O950" s="11">
        <v>20800</v>
      </c>
      <c r="P950" s="11"/>
      <c r="Q950" s="18">
        <v>2600</v>
      </c>
      <c r="R950" s="19"/>
    </row>
    <row r="951" spans="1:18" ht="28.8" hidden="1" x14ac:dyDescent="0.3">
      <c r="A951" s="6" t="s">
        <v>4470</v>
      </c>
      <c r="B951" s="7" t="s">
        <v>3229</v>
      </c>
      <c r="C951" s="17" t="s">
        <v>4471</v>
      </c>
      <c r="D951" s="17"/>
      <c r="E951" s="8">
        <v>17493</v>
      </c>
      <c r="F951" s="9">
        <v>75</v>
      </c>
      <c r="G951" s="6" t="s">
        <v>4472</v>
      </c>
      <c r="H951" s="7" t="s">
        <v>39</v>
      </c>
      <c r="I951" s="6" t="s">
        <v>176</v>
      </c>
      <c r="J951" s="7" t="s">
        <v>20</v>
      </c>
      <c r="K951" s="7" t="s">
        <v>26</v>
      </c>
      <c r="L951" s="6"/>
      <c r="M951" s="10">
        <v>5.8200000000000002E-2</v>
      </c>
      <c r="N951" s="6" t="s">
        <v>4473</v>
      </c>
      <c r="O951" s="11">
        <v>4800</v>
      </c>
      <c r="P951" s="11"/>
      <c r="Q951" s="18">
        <v>547.04999999999995</v>
      </c>
      <c r="R951" s="19"/>
    </row>
    <row r="952" spans="1:18" hidden="1" x14ac:dyDescent="0.3">
      <c r="A952" s="6" t="s">
        <v>4474</v>
      </c>
      <c r="B952" s="7" t="s">
        <v>29</v>
      </c>
      <c r="C952" s="17" t="s">
        <v>4475</v>
      </c>
      <c r="D952" s="17"/>
      <c r="E952" s="7" t="s">
        <v>4476</v>
      </c>
      <c r="F952" s="9">
        <v>74</v>
      </c>
      <c r="G952" s="6" t="s">
        <v>4477</v>
      </c>
      <c r="H952" s="7" t="s">
        <v>25</v>
      </c>
      <c r="I952" s="6" t="s">
        <v>19</v>
      </c>
      <c r="J952" s="7" t="s">
        <v>20</v>
      </c>
      <c r="K952" s="7" t="s">
        <v>32</v>
      </c>
      <c r="L952" s="6"/>
      <c r="M952" s="10">
        <v>5.67E-2</v>
      </c>
      <c r="N952" s="6" t="s">
        <v>4478</v>
      </c>
      <c r="O952" s="6" t="s">
        <v>19</v>
      </c>
      <c r="P952" s="6"/>
      <c r="Q952" s="19" t="s">
        <v>19</v>
      </c>
      <c r="R952" s="19"/>
    </row>
    <row r="953" spans="1:18" ht="43.2" hidden="1" x14ac:dyDescent="0.3">
      <c r="A953" s="6" t="s">
        <v>4479</v>
      </c>
      <c r="B953" s="7" t="s">
        <v>1712</v>
      </c>
      <c r="C953" s="17" t="s">
        <v>4480</v>
      </c>
      <c r="D953" s="17"/>
      <c r="E953" s="8">
        <v>17449</v>
      </c>
      <c r="F953" s="9">
        <v>75</v>
      </c>
      <c r="G953" s="6" t="s">
        <v>4481</v>
      </c>
      <c r="H953" s="7" t="s">
        <v>39</v>
      </c>
      <c r="I953" s="6" t="s">
        <v>1031</v>
      </c>
      <c r="J953" s="7" t="s">
        <v>20</v>
      </c>
      <c r="K953" s="7" t="s">
        <v>26</v>
      </c>
      <c r="L953" s="6"/>
      <c r="M953" s="10">
        <v>5.8200000000000002E-2</v>
      </c>
      <c r="N953" s="6" t="s">
        <v>4482</v>
      </c>
      <c r="O953" s="11">
        <v>18000</v>
      </c>
      <c r="P953" s="11"/>
      <c r="Q953" s="18">
        <v>2250</v>
      </c>
      <c r="R953" s="19"/>
    </row>
    <row r="954" spans="1:18" ht="43.2" x14ac:dyDescent="0.3">
      <c r="A954" s="6" t="s">
        <v>4483</v>
      </c>
      <c r="B954" s="7" t="s">
        <v>1163</v>
      </c>
      <c r="C954" s="17" t="s">
        <v>4484</v>
      </c>
      <c r="D954" s="17"/>
      <c r="E954" s="8">
        <v>17412</v>
      </c>
      <c r="F954" s="9">
        <v>75</v>
      </c>
      <c r="G954" s="6" t="s">
        <v>4485</v>
      </c>
      <c r="H954" s="7" t="s">
        <v>39</v>
      </c>
      <c r="I954" s="6" t="s">
        <v>728</v>
      </c>
      <c r="J954" s="7" t="s">
        <v>41</v>
      </c>
      <c r="K954" s="7" t="s">
        <v>26</v>
      </c>
      <c r="L954" s="9">
        <v>74</v>
      </c>
      <c r="M954" s="10">
        <v>5.67E-2</v>
      </c>
      <c r="N954" s="6" t="s">
        <v>4486</v>
      </c>
      <c r="O954" s="11">
        <v>28000</v>
      </c>
      <c r="P954" s="11"/>
      <c r="Q954" s="18">
        <v>3500</v>
      </c>
      <c r="R954" s="19"/>
    </row>
    <row r="955" spans="1:18" ht="28.8" hidden="1" x14ac:dyDescent="0.3">
      <c r="A955" s="6" t="s">
        <v>4487</v>
      </c>
      <c r="B955" s="7" t="s">
        <v>270</v>
      </c>
      <c r="C955" s="17" t="s">
        <v>4488</v>
      </c>
      <c r="D955" s="17"/>
      <c r="E955" s="8">
        <v>17473</v>
      </c>
      <c r="F955" s="9">
        <v>75</v>
      </c>
      <c r="G955" s="6" t="s">
        <v>4489</v>
      </c>
      <c r="H955" s="7" t="s">
        <v>39</v>
      </c>
      <c r="I955" s="6" t="s">
        <v>249</v>
      </c>
      <c r="J955" s="7" t="s">
        <v>20</v>
      </c>
      <c r="K955" s="7" t="s">
        <v>26</v>
      </c>
      <c r="L955" s="6"/>
      <c r="M955" s="10">
        <v>5.8200000000000002E-2</v>
      </c>
      <c r="N955" s="6" t="s">
        <v>4490</v>
      </c>
      <c r="O955" s="11">
        <v>6600</v>
      </c>
      <c r="P955" s="11"/>
      <c r="Q955" s="18">
        <v>200</v>
      </c>
      <c r="R955" s="19"/>
    </row>
    <row r="956" spans="1:18" hidden="1" x14ac:dyDescent="0.3">
      <c r="A956" s="6" t="s">
        <v>4491</v>
      </c>
      <c r="B956" s="7" t="s">
        <v>1252</v>
      </c>
      <c r="C956" s="17" t="s">
        <v>4492</v>
      </c>
      <c r="D956" s="17"/>
      <c r="E956" s="7" t="s">
        <v>4493</v>
      </c>
      <c r="F956" s="9">
        <v>75</v>
      </c>
      <c r="G956" s="6" t="s">
        <v>4494</v>
      </c>
      <c r="H956" s="7" t="s">
        <v>25</v>
      </c>
      <c r="I956" s="6" t="s">
        <v>19</v>
      </c>
      <c r="J956" s="7" t="s">
        <v>20</v>
      </c>
      <c r="K956" s="7" t="s">
        <v>26</v>
      </c>
      <c r="L956" s="6"/>
      <c r="M956" s="10">
        <v>5.8200000000000002E-2</v>
      </c>
      <c r="N956" s="6" t="s">
        <v>4495</v>
      </c>
      <c r="O956" s="6" t="s">
        <v>19</v>
      </c>
      <c r="P956" s="6"/>
      <c r="Q956" s="19" t="s">
        <v>19</v>
      </c>
      <c r="R956" s="19"/>
    </row>
    <row r="957" spans="1:18" ht="43.2" hidden="1" x14ac:dyDescent="0.3">
      <c r="A957" s="6" t="s">
        <v>4496</v>
      </c>
      <c r="B957" s="7" t="s">
        <v>830</v>
      </c>
      <c r="C957" s="17" t="s">
        <v>4497</v>
      </c>
      <c r="D957" s="17"/>
      <c r="E957" s="8">
        <v>17002</v>
      </c>
      <c r="F957" s="9">
        <v>76</v>
      </c>
      <c r="G957" s="6" t="s">
        <v>4499</v>
      </c>
      <c r="H957" s="7" t="s">
        <v>39</v>
      </c>
      <c r="I957" s="6" t="s">
        <v>122</v>
      </c>
      <c r="J957" s="7" t="s">
        <v>20</v>
      </c>
      <c r="K957" s="7" t="s">
        <v>26</v>
      </c>
      <c r="L957" s="6"/>
      <c r="M957" s="10">
        <v>5.9799999999999999E-2</v>
      </c>
      <c r="N957" s="6" t="s">
        <v>4500</v>
      </c>
      <c r="O957" s="11">
        <v>16000</v>
      </c>
      <c r="P957" s="11"/>
      <c r="Q957" s="18">
        <v>2000</v>
      </c>
      <c r="R957" s="19"/>
    </row>
    <row r="958" spans="1:18" hidden="1" x14ac:dyDescent="0.3">
      <c r="A958" s="6" t="s">
        <v>4501</v>
      </c>
      <c r="B958" s="7" t="s">
        <v>4502</v>
      </c>
      <c r="C958" s="17" t="s">
        <v>4503</v>
      </c>
      <c r="D958" s="17"/>
      <c r="E958" s="7" t="s">
        <v>4504</v>
      </c>
      <c r="F958" s="9">
        <v>76</v>
      </c>
      <c r="G958" s="6" t="s">
        <v>4505</v>
      </c>
      <c r="H958" s="7" t="s">
        <v>25</v>
      </c>
      <c r="I958" s="6" t="s">
        <v>19</v>
      </c>
      <c r="J958" s="7" t="s">
        <v>20</v>
      </c>
      <c r="K958" s="7" t="s">
        <v>26</v>
      </c>
      <c r="L958" s="6"/>
      <c r="M958" s="10">
        <v>5.9799999999999999E-2</v>
      </c>
      <c r="N958" s="6" t="s">
        <v>4506</v>
      </c>
      <c r="O958" s="6" t="s">
        <v>19</v>
      </c>
      <c r="P958" s="6"/>
      <c r="Q958" s="19" t="s">
        <v>19</v>
      </c>
      <c r="R958" s="19"/>
    </row>
    <row r="959" spans="1:18" ht="43.2" hidden="1" x14ac:dyDescent="0.3">
      <c r="A959" s="6" t="s">
        <v>4507</v>
      </c>
      <c r="B959" s="7" t="s">
        <v>81</v>
      </c>
      <c r="C959" s="17" t="s">
        <v>4508</v>
      </c>
      <c r="D959" s="17"/>
      <c r="E959" s="8">
        <v>15329</v>
      </c>
      <c r="F959" s="9">
        <v>81</v>
      </c>
      <c r="G959" s="6" t="s">
        <v>4509</v>
      </c>
      <c r="H959" s="7" t="s">
        <v>39</v>
      </c>
      <c r="I959" s="6" t="s">
        <v>4510</v>
      </c>
      <c r="J959" s="7" t="s">
        <v>20</v>
      </c>
      <c r="K959" s="7" t="s">
        <v>26</v>
      </c>
      <c r="L959" s="6"/>
      <c r="M959" s="10">
        <v>7.0800000000000002E-2</v>
      </c>
      <c r="N959" s="6" t="s">
        <v>4511</v>
      </c>
      <c r="O959" s="11">
        <v>33600</v>
      </c>
      <c r="P959" s="11"/>
      <c r="Q959" s="18">
        <v>894.43</v>
      </c>
      <c r="R959" s="19"/>
    </row>
    <row r="960" spans="1:18" hidden="1" x14ac:dyDescent="0.3">
      <c r="A960" s="6" t="s">
        <v>4512</v>
      </c>
      <c r="B960" s="7" t="s">
        <v>4406</v>
      </c>
      <c r="C960" s="17" t="s">
        <v>4513</v>
      </c>
      <c r="D960" s="17"/>
      <c r="E960" s="8">
        <v>17526</v>
      </c>
      <c r="F960" s="9">
        <v>75</v>
      </c>
      <c r="G960" s="6" t="s">
        <v>4514</v>
      </c>
      <c r="H960" s="7" t="s">
        <v>25</v>
      </c>
      <c r="I960" s="6"/>
      <c r="J960" s="7" t="s">
        <v>20</v>
      </c>
      <c r="K960" s="7" t="s">
        <v>26</v>
      </c>
      <c r="L960" s="6"/>
      <c r="M960" s="10">
        <v>5.8200000000000002E-2</v>
      </c>
      <c r="N960" s="6" t="s">
        <v>4515</v>
      </c>
      <c r="O960" s="11">
        <v>4711.84</v>
      </c>
      <c r="P960" s="11"/>
      <c r="Q960" s="18">
        <v>588.98</v>
      </c>
      <c r="R960" s="19"/>
    </row>
    <row r="961" spans="1:18" hidden="1" x14ac:dyDescent="0.3">
      <c r="A961" s="6" t="s">
        <v>4516</v>
      </c>
      <c r="B961" s="7" t="s">
        <v>373</v>
      </c>
      <c r="C961" s="17" t="s">
        <v>4517</v>
      </c>
      <c r="D961" s="17"/>
      <c r="E961" s="7" t="s">
        <v>4518</v>
      </c>
      <c r="F961" s="9">
        <v>72</v>
      </c>
      <c r="G961" s="6" t="s">
        <v>4519</v>
      </c>
      <c r="H961" s="7" t="s">
        <v>25</v>
      </c>
      <c r="I961" s="6" t="s">
        <v>19</v>
      </c>
      <c r="J961" s="7" t="s">
        <v>20</v>
      </c>
      <c r="K961" s="7" t="s">
        <v>32</v>
      </c>
      <c r="L961" s="6"/>
      <c r="M961" s="10">
        <v>5.3999999999999999E-2</v>
      </c>
      <c r="N961" s="6" t="s">
        <v>4520</v>
      </c>
      <c r="O961" s="6" t="s">
        <v>19</v>
      </c>
      <c r="P961" s="6"/>
      <c r="Q961" s="19" t="s">
        <v>19</v>
      </c>
      <c r="R961" s="19"/>
    </row>
    <row r="962" spans="1:18" ht="28.8" hidden="1" x14ac:dyDescent="0.3">
      <c r="A962" s="6" t="s">
        <v>4521</v>
      </c>
      <c r="B962" s="7" t="s">
        <v>4522</v>
      </c>
      <c r="C962" s="17" t="s">
        <v>4523</v>
      </c>
      <c r="D962" s="17"/>
      <c r="E962" s="8">
        <v>16520</v>
      </c>
      <c r="F962" s="9">
        <v>77</v>
      </c>
      <c r="G962" s="6" t="s">
        <v>4524</v>
      </c>
      <c r="H962" s="7" t="s">
        <v>39</v>
      </c>
      <c r="I962" s="6" t="s">
        <v>681</v>
      </c>
      <c r="J962" s="7" t="s">
        <v>20</v>
      </c>
      <c r="K962" s="7" t="s">
        <v>26</v>
      </c>
      <c r="L962" s="6"/>
      <c r="M962" s="10">
        <v>6.1699999999999998E-2</v>
      </c>
      <c r="N962" s="6" t="s">
        <v>4525</v>
      </c>
      <c r="O962" s="11">
        <v>5600</v>
      </c>
      <c r="P962" s="11"/>
      <c r="Q962" s="18">
        <v>700</v>
      </c>
      <c r="R962" s="19"/>
    </row>
    <row r="963" spans="1:18" hidden="1" x14ac:dyDescent="0.3">
      <c r="A963" s="6" t="s">
        <v>4526</v>
      </c>
      <c r="B963" s="7" t="s">
        <v>3105</v>
      </c>
      <c r="C963" s="17" t="s">
        <v>4527</v>
      </c>
      <c r="D963" s="17"/>
      <c r="E963" s="7" t="s">
        <v>4528</v>
      </c>
      <c r="F963" s="9">
        <v>75</v>
      </c>
      <c r="G963" s="6" t="s">
        <v>4529</v>
      </c>
      <c r="H963" s="7" t="s">
        <v>25</v>
      </c>
      <c r="I963" s="6" t="s">
        <v>19</v>
      </c>
      <c r="J963" s="7" t="s">
        <v>20</v>
      </c>
      <c r="K963" s="7" t="s">
        <v>32</v>
      </c>
      <c r="L963" s="6"/>
      <c r="M963" s="10">
        <v>5.8200000000000002E-2</v>
      </c>
      <c r="N963" s="6" t="s">
        <v>4530</v>
      </c>
      <c r="O963" s="6" t="s">
        <v>19</v>
      </c>
      <c r="P963" s="6"/>
      <c r="Q963" s="19" t="s">
        <v>19</v>
      </c>
      <c r="R963" s="19"/>
    </row>
    <row r="964" spans="1:18" x14ac:dyDescent="0.3">
      <c r="A964" s="6" t="s">
        <v>4531</v>
      </c>
      <c r="B964" s="7" t="s">
        <v>4532</v>
      </c>
      <c r="C964" s="17" t="s">
        <v>4533</v>
      </c>
      <c r="D964" s="17"/>
      <c r="E964" s="8">
        <v>14757</v>
      </c>
      <c r="F964" s="9">
        <v>82</v>
      </c>
      <c r="G964" s="6" t="s">
        <v>4534</v>
      </c>
      <c r="H964" s="7" t="s">
        <v>25</v>
      </c>
      <c r="I964" s="6"/>
      <c r="J964" s="7" t="s">
        <v>41</v>
      </c>
      <c r="K964" s="7" t="s">
        <v>32</v>
      </c>
      <c r="L964" s="9">
        <v>73</v>
      </c>
      <c r="M964" s="10">
        <v>5.5300000000000002E-2</v>
      </c>
      <c r="N964" s="6" t="s">
        <v>4535</v>
      </c>
      <c r="O964" s="11">
        <v>15293.62</v>
      </c>
      <c r="P964" s="11"/>
      <c r="Q964" s="18">
        <v>15293.62</v>
      </c>
      <c r="R964" s="19"/>
    </row>
    <row r="965" spans="1:18" ht="43.2" hidden="1" x14ac:dyDescent="0.3">
      <c r="A965" s="6" t="s">
        <v>4536</v>
      </c>
      <c r="B965" s="7" t="s">
        <v>2565</v>
      </c>
      <c r="C965" s="17" t="s">
        <v>4537</v>
      </c>
      <c r="D965" s="17"/>
      <c r="E965" s="7" t="s">
        <v>4538</v>
      </c>
      <c r="F965" s="9">
        <v>75</v>
      </c>
      <c r="G965" s="6" t="s">
        <v>4539</v>
      </c>
      <c r="H965" s="7" t="s">
        <v>39</v>
      </c>
      <c r="I965" s="6" t="s">
        <v>2877</v>
      </c>
      <c r="J965" s="7" t="s">
        <v>41</v>
      </c>
      <c r="K965" s="7" t="s">
        <v>32</v>
      </c>
      <c r="L965" s="9">
        <v>70</v>
      </c>
      <c r="M965" s="10">
        <v>0.05</v>
      </c>
      <c r="N965" s="6" t="s">
        <v>4540</v>
      </c>
      <c r="O965" s="6" t="s">
        <v>19</v>
      </c>
      <c r="P965" s="6"/>
      <c r="Q965" s="19" t="s">
        <v>19</v>
      </c>
      <c r="R965" s="19"/>
    </row>
    <row r="966" spans="1:18" hidden="1" x14ac:dyDescent="0.3">
      <c r="A966" s="6" t="s">
        <v>4541</v>
      </c>
      <c r="B966" s="7" t="s">
        <v>4542</v>
      </c>
      <c r="C966" s="17" t="s">
        <v>4543</v>
      </c>
      <c r="D966" s="17"/>
      <c r="E966" s="7" t="s">
        <v>2959</v>
      </c>
      <c r="F966" s="9">
        <v>74</v>
      </c>
      <c r="G966" s="6" t="s">
        <v>4544</v>
      </c>
      <c r="H966" s="7" t="s">
        <v>25</v>
      </c>
      <c r="I966" s="6" t="s">
        <v>19</v>
      </c>
      <c r="J966" s="7" t="s">
        <v>20</v>
      </c>
      <c r="K966" s="7" t="s">
        <v>26</v>
      </c>
      <c r="L966" s="6"/>
      <c r="M966" s="10">
        <v>5.67E-2</v>
      </c>
      <c r="N966" s="6" t="s">
        <v>4545</v>
      </c>
      <c r="O966" s="6" t="s">
        <v>19</v>
      </c>
      <c r="P966" s="6"/>
      <c r="Q966" s="19" t="s">
        <v>19</v>
      </c>
      <c r="R966" s="19"/>
    </row>
    <row r="967" spans="1:18" ht="43.2" hidden="1" x14ac:dyDescent="0.3">
      <c r="A967" s="6" t="s">
        <v>4546</v>
      </c>
      <c r="B967" s="7" t="s">
        <v>35</v>
      </c>
      <c r="C967" s="17" t="s">
        <v>4547</v>
      </c>
      <c r="D967" s="17"/>
      <c r="E967" s="8">
        <v>18167</v>
      </c>
      <c r="F967" s="9">
        <v>73</v>
      </c>
      <c r="G967" s="6" t="s">
        <v>4548</v>
      </c>
      <c r="H967" s="7" t="s">
        <v>39</v>
      </c>
      <c r="I967" s="6" t="s">
        <v>1026</v>
      </c>
      <c r="J967" s="7" t="s">
        <v>20</v>
      </c>
      <c r="K967" s="7" t="s">
        <v>26</v>
      </c>
      <c r="L967" s="6"/>
      <c r="M967" s="10">
        <v>5.5300000000000002E-2</v>
      </c>
      <c r="N967" s="6" t="s">
        <v>4549</v>
      </c>
      <c r="O967" s="11">
        <v>8800</v>
      </c>
      <c r="P967" s="11"/>
      <c r="Q967" s="18">
        <v>1100</v>
      </c>
      <c r="R967" s="19"/>
    </row>
    <row r="968" spans="1:18" ht="28.8" hidden="1" x14ac:dyDescent="0.3">
      <c r="A968" s="6" t="s">
        <v>4550</v>
      </c>
      <c r="B968" s="7" t="s">
        <v>4551</v>
      </c>
      <c r="C968" s="17" t="s">
        <v>4552</v>
      </c>
      <c r="D968" s="17"/>
      <c r="E968" s="8">
        <v>17255</v>
      </c>
      <c r="F968" s="9">
        <v>75</v>
      </c>
      <c r="G968" s="6" t="s">
        <v>4553</v>
      </c>
      <c r="H968" s="7" t="s">
        <v>39</v>
      </c>
      <c r="I968" s="6" t="s">
        <v>4554</v>
      </c>
      <c r="J968" s="7" t="s">
        <v>20</v>
      </c>
      <c r="K968" s="7" t="s">
        <v>26</v>
      </c>
      <c r="L968" s="6"/>
      <c r="M968" s="10">
        <v>5.8200000000000002E-2</v>
      </c>
      <c r="N968" s="6" t="s">
        <v>4555</v>
      </c>
      <c r="O968" s="11">
        <v>5160</v>
      </c>
      <c r="P968" s="11"/>
      <c r="Q968" s="18">
        <v>645</v>
      </c>
      <c r="R968" s="19"/>
    </row>
    <row r="969" spans="1:18" ht="43.2" hidden="1" x14ac:dyDescent="0.3">
      <c r="A969" s="6" t="s">
        <v>4556</v>
      </c>
      <c r="B969" s="7" t="s">
        <v>1584</v>
      </c>
      <c r="C969" s="17" t="s">
        <v>4557</v>
      </c>
      <c r="D969" s="17"/>
      <c r="E969" s="8">
        <v>16856</v>
      </c>
      <c r="F969" s="9">
        <v>76</v>
      </c>
      <c r="G969" s="6" t="s">
        <v>4558</v>
      </c>
      <c r="H969" s="7" t="s">
        <v>39</v>
      </c>
      <c r="I969" s="6" t="s">
        <v>47</v>
      </c>
      <c r="J969" s="7" t="s">
        <v>20</v>
      </c>
      <c r="K969" s="7" t="s">
        <v>26</v>
      </c>
      <c r="L969" s="6"/>
      <c r="M969" s="10">
        <v>5.9799999999999999E-2</v>
      </c>
      <c r="N969" s="6" t="s">
        <v>4559</v>
      </c>
      <c r="O969" s="11">
        <v>26000</v>
      </c>
      <c r="P969" s="11"/>
      <c r="Q969" s="18">
        <v>6000</v>
      </c>
      <c r="R969" s="19"/>
    </row>
    <row r="970" spans="1:18" x14ac:dyDescent="0.3">
      <c r="A970" s="6" t="s">
        <v>4560</v>
      </c>
      <c r="B970" s="7" t="s">
        <v>4561</v>
      </c>
      <c r="C970" s="17" t="s">
        <v>4562</v>
      </c>
      <c r="D970" s="17"/>
      <c r="E970" s="8">
        <v>17664</v>
      </c>
      <c r="F970" s="9">
        <v>74</v>
      </c>
      <c r="G970" s="6" t="s">
        <v>4563</v>
      </c>
      <c r="H970" s="7" t="s">
        <v>25</v>
      </c>
      <c r="I970" s="6"/>
      <c r="J970" s="7" t="s">
        <v>41</v>
      </c>
      <c r="K970" s="7" t="s">
        <v>26</v>
      </c>
      <c r="L970" s="9">
        <v>72</v>
      </c>
      <c r="M970" s="10">
        <v>5.3999999999999999E-2</v>
      </c>
      <c r="N970" s="6" t="s">
        <v>4564</v>
      </c>
      <c r="O970" s="11">
        <v>9926.24</v>
      </c>
      <c r="P970" s="11"/>
      <c r="Q970" s="18">
        <v>1240.78</v>
      </c>
      <c r="R970" s="19"/>
    </row>
    <row r="971" spans="1:18" hidden="1" x14ac:dyDescent="0.3">
      <c r="A971" s="6" t="s">
        <v>4565</v>
      </c>
      <c r="B971" s="7" t="s">
        <v>140</v>
      </c>
      <c r="C971" s="17" t="s">
        <v>4566</v>
      </c>
      <c r="D971" s="17"/>
      <c r="E971" s="8">
        <v>18510</v>
      </c>
      <c r="F971" s="9">
        <v>72</v>
      </c>
      <c r="G971" s="6" t="s">
        <v>4567</v>
      </c>
      <c r="H971" s="7" t="s">
        <v>25</v>
      </c>
      <c r="I971" s="6"/>
      <c r="J971" s="7" t="s">
        <v>20</v>
      </c>
      <c r="K971" s="7" t="s">
        <v>26</v>
      </c>
      <c r="L971" s="6"/>
      <c r="M971" s="10">
        <v>5.3999999999999999E-2</v>
      </c>
      <c r="N971" s="6" t="s">
        <v>4568</v>
      </c>
      <c r="O971" s="11">
        <v>9200.68</v>
      </c>
      <c r="P971" s="11"/>
      <c r="Q971" s="18">
        <v>1207.24</v>
      </c>
      <c r="R971" s="19"/>
    </row>
    <row r="972" spans="1:18" ht="28.8" hidden="1" x14ac:dyDescent="0.3">
      <c r="A972" s="6" t="s">
        <v>4569</v>
      </c>
      <c r="B972" s="7" t="s">
        <v>1143</v>
      </c>
      <c r="C972" s="17" t="s">
        <v>4570</v>
      </c>
      <c r="D972" s="17"/>
      <c r="E972" s="7" t="s">
        <v>4571</v>
      </c>
      <c r="F972" s="9">
        <v>76</v>
      </c>
      <c r="G972" s="6" t="s">
        <v>4572</v>
      </c>
      <c r="H972" s="7" t="s">
        <v>39</v>
      </c>
      <c r="I972" s="6" t="s">
        <v>67</v>
      </c>
      <c r="J972" s="7" t="s">
        <v>20</v>
      </c>
      <c r="K972" s="7" t="s">
        <v>26</v>
      </c>
      <c r="L972" s="6"/>
      <c r="M972" s="10">
        <v>5.9799999999999999E-2</v>
      </c>
      <c r="N972" s="6" t="s">
        <v>4573</v>
      </c>
      <c r="O972" s="6" t="s">
        <v>19</v>
      </c>
      <c r="P972" s="6"/>
      <c r="Q972" s="19" t="s">
        <v>19</v>
      </c>
      <c r="R972" s="19"/>
    </row>
    <row r="973" spans="1:18" ht="43.2" hidden="1" x14ac:dyDescent="0.3">
      <c r="A973" s="6" t="s">
        <v>4574</v>
      </c>
      <c r="B973" s="7" t="s">
        <v>4575</v>
      </c>
      <c r="C973" s="17" t="s">
        <v>4576</v>
      </c>
      <c r="D973" s="17"/>
      <c r="E973" s="8">
        <v>18012</v>
      </c>
      <c r="F973" s="9">
        <v>73</v>
      </c>
      <c r="G973" s="6" t="s">
        <v>4577</v>
      </c>
      <c r="H973" s="7" t="s">
        <v>39</v>
      </c>
      <c r="I973" s="6" t="s">
        <v>47</v>
      </c>
      <c r="J973" s="7" t="s">
        <v>20</v>
      </c>
      <c r="K973" s="7" t="s">
        <v>26</v>
      </c>
      <c r="L973" s="6"/>
      <c r="M973" s="10">
        <v>5.5300000000000002E-2</v>
      </c>
      <c r="N973" s="6" t="s">
        <v>4578</v>
      </c>
      <c r="O973" s="11">
        <v>8000</v>
      </c>
      <c r="P973" s="11"/>
      <c r="Q973" s="18">
        <v>1000</v>
      </c>
      <c r="R973" s="19"/>
    </row>
    <row r="974" spans="1:18" hidden="1" x14ac:dyDescent="0.3">
      <c r="A974" s="6" t="s">
        <v>4579</v>
      </c>
      <c r="B974" s="7" t="s">
        <v>2516</v>
      </c>
      <c r="C974" s="17" t="s">
        <v>4580</v>
      </c>
      <c r="D974" s="17"/>
      <c r="E974" s="7" t="s">
        <v>4581</v>
      </c>
      <c r="F974" s="9">
        <v>79</v>
      </c>
      <c r="G974" s="6" t="s">
        <v>4582</v>
      </c>
      <c r="H974" s="7" t="s">
        <v>25</v>
      </c>
      <c r="I974" s="6" t="s">
        <v>19</v>
      </c>
      <c r="J974" s="7" t="s">
        <v>20</v>
      </c>
      <c r="K974" s="7" t="s">
        <v>32</v>
      </c>
      <c r="L974" s="6"/>
      <c r="M974" s="10">
        <v>6.5799999999999997E-2</v>
      </c>
      <c r="N974" s="6" t="s">
        <v>4583</v>
      </c>
      <c r="O974" s="6" t="s">
        <v>19</v>
      </c>
      <c r="P974" s="6"/>
      <c r="Q974" s="19" t="s">
        <v>19</v>
      </c>
      <c r="R974" s="19"/>
    </row>
    <row r="975" spans="1:18" hidden="1" x14ac:dyDescent="0.3">
      <c r="A975" s="6" t="s">
        <v>4584</v>
      </c>
      <c r="B975" s="7" t="s">
        <v>3358</v>
      </c>
      <c r="C975" s="17" t="s">
        <v>2984</v>
      </c>
      <c r="D975" s="17"/>
      <c r="E975" s="8">
        <v>16830</v>
      </c>
      <c r="F975" s="9">
        <v>76</v>
      </c>
      <c r="G975" s="6" t="s">
        <v>4585</v>
      </c>
      <c r="H975" s="7" t="s">
        <v>25</v>
      </c>
      <c r="I975" s="6"/>
      <c r="J975" s="7" t="s">
        <v>20</v>
      </c>
      <c r="K975" s="7" t="s">
        <v>26</v>
      </c>
      <c r="L975" s="6"/>
      <c r="M975" s="10">
        <v>5.9799999999999999E-2</v>
      </c>
      <c r="N975" s="6" t="s">
        <v>4586</v>
      </c>
      <c r="O975" s="11">
        <v>21264.400000000001</v>
      </c>
      <c r="P975" s="11"/>
      <c r="Q975" s="18">
        <v>1816.35</v>
      </c>
      <c r="R975" s="19"/>
    </row>
    <row r="976" spans="1:18" hidden="1" x14ac:dyDescent="0.3">
      <c r="A976" s="6" t="s">
        <v>4587</v>
      </c>
      <c r="B976" s="7" t="s">
        <v>4588</v>
      </c>
      <c r="C976" s="17" t="s">
        <v>4589</v>
      </c>
      <c r="D976" s="17"/>
      <c r="E976" s="8">
        <v>15720</v>
      </c>
      <c r="F976" s="9">
        <v>79</v>
      </c>
      <c r="G976" s="6" t="s">
        <v>4590</v>
      </c>
      <c r="H976" s="7" t="s">
        <v>25</v>
      </c>
      <c r="I976" s="6"/>
      <c r="J976" s="7" t="s">
        <v>20</v>
      </c>
      <c r="K976" s="7" t="s">
        <v>26</v>
      </c>
      <c r="L976" s="6"/>
      <c r="M976" s="10">
        <v>6.5799999999999997E-2</v>
      </c>
      <c r="N976" s="6" t="s">
        <v>4591</v>
      </c>
      <c r="O976" s="11">
        <v>6842.48</v>
      </c>
      <c r="P976" s="11"/>
      <c r="Q976" s="18">
        <v>855.31</v>
      </c>
      <c r="R976" s="19"/>
    </row>
    <row r="977" spans="1:18" ht="28.8" x14ac:dyDescent="0.3">
      <c r="A977" s="6" t="s">
        <v>4592</v>
      </c>
      <c r="B977" s="7" t="s">
        <v>29</v>
      </c>
      <c r="C977" s="17" t="s">
        <v>4593</v>
      </c>
      <c r="D977" s="17"/>
      <c r="E977" s="8">
        <v>17896</v>
      </c>
      <c r="F977" s="9">
        <v>74</v>
      </c>
      <c r="G977" s="6" t="s">
        <v>4594</v>
      </c>
      <c r="H977" s="7" t="s">
        <v>39</v>
      </c>
      <c r="I977" s="6" t="s">
        <v>67</v>
      </c>
      <c r="J977" s="7" t="s">
        <v>41</v>
      </c>
      <c r="K977" s="7" t="s">
        <v>26</v>
      </c>
      <c r="L977" s="9">
        <v>72</v>
      </c>
      <c r="M977" s="10">
        <v>5.3999999999999999E-2</v>
      </c>
      <c r="N977" s="6" t="s">
        <v>4595</v>
      </c>
      <c r="O977" s="11">
        <v>6400</v>
      </c>
      <c r="P977" s="11"/>
      <c r="Q977" s="18">
        <v>800</v>
      </c>
      <c r="R977" s="19"/>
    </row>
    <row r="978" spans="1:18" hidden="1" x14ac:dyDescent="0.3">
      <c r="A978" s="6" t="s">
        <v>4596</v>
      </c>
      <c r="B978" s="7" t="s">
        <v>1143</v>
      </c>
      <c r="C978" s="17" t="s">
        <v>4597</v>
      </c>
      <c r="D978" s="17"/>
      <c r="E978" s="8">
        <v>18204</v>
      </c>
      <c r="F978" s="9">
        <v>73</v>
      </c>
      <c r="G978" s="6" t="s">
        <v>4598</v>
      </c>
      <c r="H978" s="7" t="s">
        <v>25</v>
      </c>
      <c r="I978" s="6"/>
      <c r="J978" s="7" t="s">
        <v>20</v>
      </c>
      <c r="K978" s="7" t="s">
        <v>26</v>
      </c>
      <c r="L978" s="6"/>
      <c r="M978" s="10">
        <v>5.5300000000000002E-2</v>
      </c>
      <c r="N978" s="6" t="s">
        <v>4599</v>
      </c>
      <c r="O978" s="11">
        <v>33400.559999999998</v>
      </c>
      <c r="P978" s="11"/>
      <c r="Q978" s="18">
        <v>675.07</v>
      </c>
      <c r="R978" s="19"/>
    </row>
    <row r="979" spans="1:18" ht="43.2" x14ac:dyDescent="0.3">
      <c r="A979" s="6" t="s">
        <v>4600</v>
      </c>
      <c r="B979" s="7" t="s">
        <v>1712</v>
      </c>
      <c r="C979" s="17" t="s">
        <v>4597</v>
      </c>
      <c r="D979" s="17"/>
      <c r="E979" s="8">
        <v>17948</v>
      </c>
      <c r="F979" s="9">
        <v>73</v>
      </c>
      <c r="G979" s="6" t="s">
        <v>4601</v>
      </c>
      <c r="H979" s="7" t="s">
        <v>39</v>
      </c>
      <c r="I979" s="6" t="s">
        <v>2799</v>
      </c>
      <c r="J979" s="7" t="s">
        <v>41</v>
      </c>
      <c r="K979" s="7" t="s">
        <v>26</v>
      </c>
      <c r="L979" s="9">
        <v>68</v>
      </c>
      <c r="M979" s="10">
        <v>4.5499999999999999E-2</v>
      </c>
      <c r="N979" s="6" t="s">
        <v>4602</v>
      </c>
      <c r="O979" s="11">
        <v>30000</v>
      </c>
      <c r="P979" s="11"/>
      <c r="Q979" s="18">
        <v>3750</v>
      </c>
      <c r="R979" s="19"/>
    </row>
    <row r="980" spans="1:18" hidden="1" x14ac:dyDescent="0.3">
      <c r="A980" s="6" t="s">
        <v>4603</v>
      </c>
      <c r="B980" s="7" t="s">
        <v>276</v>
      </c>
      <c r="C980" s="17" t="s">
        <v>4604</v>
      </c>
      <c r="D980" s="17"/>
      <c r="E980" s="7" t="s">
        <v>4455</v>
      </c>
      <c r="F980" s="9">
        <v>73</v>
      </c>
      <c r="G980" s="6" t="s">
        <v>4605</v>
      </c>
      <c r="H980" s="7" t="s">
        <v>25</v>
      </c>
      <c r="I980" s="6" t="s">
        <v>19</v>
      </c>
      <c r="J980" s="7" t="s">
        <v>20</v>
      </c>
      <c r="K980" s="7" t="s">
        <v>26</v>
      </c>
      <c r="L980" s="6"/>
      <c r="M980" s="10">
        <v>5.5300000000000002E-2</v>
      </c>
      <c r="N980" s="6" t="s">
        <v>4606</v>
      </c>
      <c r="O980" s="6" t="s">
        <v>19</v>
      </c>
      <c r="P980" s="6"/>
      <c r="Q980" s="19" t="s">
        <v>19</v>
      </c>
      <c r="R980" s="19"/>
    </row>
    <row r="981" spans="1:18" x14ac:dyDescent="0.3">
      <c r="A981" s="6" t="s">
        <v>4607</v>
      </c>
      <c r="B981" s="7" t="s">
        <v>4608</v>
      </c>
      <c r="C981" s="17" t="s">
        <v>4609</v>
      </c>
      <c r="D981" s="17"/>
      <c r="E981" s="8">
        <v>18574</v>
      </c>
      <c r="F981" s="9">
        <v>72</v>
      </c>
      <c r="G981" s="6" t="s">
        <v>4610</v>
      </c>
      <c r="H981" s="7" t="s">
        <v>25</v>
      </c>
      <c r="I981" s="6"/>
      <c r="J981" s="7" t="s">
        <v>41</v>
      </c>
      <c r="K981" s="7" t="s">
        <v>26</v>
      </c>
      <c r="L981" s="9">
        <v>67</v>
      </c>
      <c r="M981" s="10">
        <v>4.3499999999999997E-2</v>
      </c>
      <c r="N981" s="6" t="s">
        <v>4611</v>
      </c>
      <c r="O981" s="11">
        <v>13753.08</v>
      </c>
      <c r="P981" s="11"/>
      <c r="Q981" s="18">
        <v>13753.08</v>
      </c>
      <c r="R981" s="19"/>
    </row>
    <row r="982" spans="1:18" ht="43.2" hidden="1" x14ac:dyDescent="0.3">
      <c r="A982" s="6" t="s">
        <v>4612</v>
      </c>
      <c r="B982" s="7" t="s">
        <v>4613</v>
      </c>
      <c r="C982" s="17" t="s">
        <v>4614</v>
      </c>
      <c r="D982" s="17"/>
      <c r="E982" s="8">
        <v>16109</v>
      </c>
      <c r="F982" s="9">
        <v>78</v>
      </c>
      <c r="G982" s="6" t="s">
        <v>4615</v>
      </c>
      <c r="H982" s="7" t="s">
        <v>39</v>
      </c>
      <c r="I982" s="6" t="s">
        <v>132</v>
      </c>
      <c r="J982" s="7" t="s">
        <v>20</v>
      </c>
      <c r="K982" s="7" t="s">
        <v>26</v>
      </c>
      <c r="L982" s="6"/>
      <c r="M982" s="10">
        <v>6.3600000000000004E-2</v>
      </c>
      <c r="N982" s="6" t="s">
        <v>4616</v>
      </c>
      <c r="O982" s="11">
        <v>12000</v>
      </c>
      <c r="P982" s="11"/>
      <c r="Q982" s="18">
        <v>1500</v>
      </c>
      <c r="R982" s="19"/>
    </row>
    <row r="983" spans="1:18" ht="43.2" hidden="1" x14ac:dyDescent="0.3">
      <c r="A983" s="6" t="s">
        <v>4617</v>
      </c>
      <c r="B983" s="7" t="s">
        <v>240</v>
      </c>
      <c r="C983" s="17" t="s">
        <v>4618</v>
      </c>
      <c r="D983" s="17"/>
      <c r="E983" s="8">
        <v>17406</v>
      </c>
      <c r="F983" s="9">
        <v>75</v>
      </c>
      <c r="G983" s="6" t="s">
        <v>4619</v>
      </c>
      <c r="H983" s="7" t="s">
        <v>39</v>
      </c>
      <c r="I983" s="6" t="s">
        <v>122</v>
      </c>
      <c r="J983" s="7" t="s">
        <v>20</v>
      </c>
      <c r="K983" s="7" t="s">
        <v>26</v>
      </c>
      <c r="L983" s="6"/>
      <c r="M983" s="10">
        <v>5.8200000000000002E-2</v>
      </c>
      <c r="N983" s="6" t="s">
        <v>4620</v>
      </c>
      <c r="O983" s="11">
        <v>10000</v>
      </c>
      <c r="P983" s="11"/>
      <c r="Q983" s="18">
        <v>10000</v>
      </c>
      <c r="R983" s="19"/>
    </row>
    <row r="984" spans="1:18" hidden="1" x14ac:dyDescent="0.3">
      <c r="A984" s="6" t="s">
        <v>4621</v>
      </c>
      <c r="B984" s="7" t="s">
        <v>4622</v>
      </c>
      <c r="C984" s="17" t="s">
        <v>4623</v>
      </c>
      <c r="D984" s="17"/>
      <c r="E984" s="8">
        <v>18424</v>
      </c>
      <c r="F984" s="9">
        <v>72</v>
      </c>
      <c r="G984" s="6" t="s">
        <v>4624</v>
      </c>
      <c r="H984" s="7" t="s">
        <v>25</v>
      </c>
      <c r="I984" s="6"/>
      <c r="J984" s="7" t="s">
        <v>20</v>
      </c>
      <c r="K984" s="7" t="s">
        <v>26</v>
      </c>
      <c r="L984" s="6"/>
      <c r="M984" s="10">
        <v>5.3999999999999999E-2</v>
      </c>
      <c r="N984" s="6" t="s">
        <v>4625</v>
      </c>
      <c r="O984" s="11">
        <v>10000</v>
      </c>
      <c r="P984" s="11"/>
      <c r="Q984" s="18">
        <v>10000</v>
      </c>
      <c r="R984" s="19"/>
    </row>
    <row r="985" spans="1:18" hidden="1" x14ac:dyDescent="0.3">
      <c r="A985" s="6" t="s">
        <v>4626</v>
      </c>
      <c r="B985" s="7" t="s">
        <v>4627</v>
      </c>
      <c r="C985" s="17" t="s">
        <v>4628</v>
      </c>
      <c r="D985" s="17"/>
      <c r="E985" s="8">
        <v>15901</v>
      </c>
      <c r="F985" s="9">
        <v>79</v>
      </c>
      <c r="G985" s="6" t="s">
        <v>4629</v>
      </c>
      <c r="H985" s="7" t="s">
        <v>25</v>
      </c>
      <c r="I985" s="6"/>
      <c r="J985" s="7" t="s">
        <v>20</v>
      </c>
      <c r="K985" s="7" t="s">
        <v>26</v>
      </c>
      <c r="L985" s="6"/>
      <c r="M985" s="10">
        <v>6.5799999999999997E-2</v>
      </c>
      <c r="N985" s="6" t="s">
        <v>4630</v>
      </c>
      <c r="O985" s="11">
        <v>3694.48</v>
      </c>
      <c r="P985" s="11"/>
      <c r="Q985" s="18">
        <v>461.81</v>
      </c>
      <c r="R985" s="19"/>
    </row>
    <row r="986" spans="1:18" ht="43.2" hidden="1" x14ac:dyDescent="0.3">
      <c r="A986" s="6" t="s">
        <v>4631</v>
      </c>
      <c r="B986" s="7" t="s">
        <v>4632</v>
      </c>
      <c r="C986" s="17" t="s">
        <v>4628</v>
      </c>
      <c r="D986" s="17"/>
      <c r="E986" s="8">
        <v>17589</v>
      </c>
      <c r="F986" s="9">
        <v>74</v>
      </c>
      <c r="G986" s="6" t="s">
        <v>4633</v>
      </c>
      <c r="H986" s="7" t="s">
        <v>39</v>
      </c>
      <c r="I986" s="6" t="s">
        <v>4634</v>
      </c>
      <c r="J986" s="7" t="s">
        <v>20</v>
      </c>
      <c r="K986" s="7" t="s">
        <v>26</v>
      </c>
      <c r="L986" s="6"/>
      <c r="M986" s="10">
        <v>5.67E-2</v>
      </c>
      <c r="N986" s="6" t="s">
        <v>4635</v>
      </c>
      <c r="O986" s="11">
        <v>11280</v>
      </c>
      <c r="P986" s="11"/>
      <c r="Q986" s="18">
        <v>1410</v>
      </c>
      <c r="R986" s="19"/>
    </row>
    <row r="987" spans="1:18" ht="43.2" x14ac:dyDescent="0.3">
      <c r="A987" s="6" t="s">
        <v>4636</v>
      </c>
      <c r="B987" s="7" t="s">
        <v>3796</v>
      </c>
      <c r="C987" s="17" t="s">
        <v>4637</v>
      </c>
      <c r="D987" s="17"/>
      <c r="E987" s="8">
        <v>15514</v>
      </c>
      <c r="F987" s="9">
        <v>80</v>
      </c>
      <c r="G987" s="6" t="s">
        <v>4638</v>
      </c>
      <c r="H987" s="7" t="s">
        <v>39</v>
      </c>
      <c r="I987" s="6" t="s">
        <v>47</v>
      </c>
      <c r="J987" s="7" t="s">
        <v>41</v>
      </c>
      <c r="K987" s="7" t="s">
        <v>26</v>
      </c>
      <c r="L987" s="9">
        <v>75</v>
      </c>
      <c r="M987" s="10">
        <v>5.8200000000000002E-2</v>
      </c>
      <c r="N987" s="6" t="s">
        <v>4639</v>
      </c>
      <c r="O987" s="11">
        <v>8000</v>
      </c>
      <c r="P987" s="11"/>
      <c r="Q987" s="18">
        <v>1000</v>
      </c>
      <c r="R987" s="19"/>
    </row>
    <row r="988" spans="1:18" hidden="1" x14ac:dyDescent="0.3">
      <c r="A988" s="6" t="s">
        <v>4640</v>
      </c>
      <c r="B988" s="7" t="s">
        <v>4641</v>
      </c>
      <c r="C988" s="17" t="s">
        <v>4642</v>
      </c>
      <c r="D988" s="17"/>
      <c r="E988" s="8">
        <v>14805</v>
      </c>
      <c r="F988" s="9">
        <v>82</v>
      </c>
      <c r="G988" s="6" t="s">
        <v>4643</v>
      </c>
      <c r="H988" s="7" t="s">
        <v>25</v>
      </c>
      <c r="I988" s="6"/>
      <c r="J988" s="7" t="s">
        <v>20</v>
      </c>
      <c r="K988" s="7" t="s">
        <v>26</v>
      </c>
      <c r="L988" s="6"/>
      <c r="M988" s="10">
        <v>7.3800000000000004E-2</v>
      </c>
      <c r="N988" s="6" t="s">
        <v>4644</v>
      </c>
      <c r="O988" s="11">
        <v>23697.84</v>
      </c>
      <c r="P988" s="11"/>
      <c r="Q988" s="18">
        <v>2962.23</v>
      </c>
      <c r="R988" s="19"/>
    </row>
    <row r="989" spans="1:18" hidden="1" x14ac:dyDescent="0.3">
      <c r="A989" s="6" t="s">
        <v>4645</v>
      </c>
      <c r="B989" s="7" t="s">
        <v>4646</v>
      </c>
      <c r="C989" s="17" t="s">
        <v>4647</v>
      </c>
      <c r="D989" s="17"/>
      <c r="E989" s="8">
        <v>17738</v>
      </c>
      <c r="F989" s="9">
        <v>74</v>
      </c>
      <c r="G989" s="6" t="s">
        <v>4648</v>
      </c>
      <c r="H989" s="7" t="s">
        <v>25</v>
      </c>
      <c r="I989" s="6"/>
      <c r="J989" s="7" t="s">
        <v>20</v>
      </c>
      <c r="K989" s="7" t="s">
        <v>26</v>
      </c>
      <c r="L989" s="6"/>
      <c r="M989" s="10">
        <v>5.67E-2</v>
      </c>
      <c r="N989" s="6" t="s">
        <v>4649</v>
      </c>
      <c r="O989" s="11">
        <v>7381.33</v>
      </c>
      <c r="P989" s="11"/>
      <c r="Q989" s="18">
        <v>7381.33</v>
      </c>
      <c r="R989" s="19"/>
    </row>
    <row r="990" spans="1:18" ht="43.2" hidden="1" x14ac:dyDescent="0.3">
      <c r="A990" s="6" t="s">
        <v>4650</v>
      </c>
      <c r="B990" s="7" t="s">
        <v>830</v>
      </c>
      <c r="C990" s="17" t="s">
        <v>4651</v>
      </c>
      <c r="D990" s="17"/>
      <c r="E990" s="8">
        <v>16882</v>
      </c>
      <c r="F990" s="9">
        <v>76</v>
      </c>
      <c r="G990" s="6" t="s">
        <v>4652</v>
      </c>
      <c r="H990" s="7" t="s">
        <v>39</v>
      </c>
      <c r="I990" s="6" t="s">
        <v>4653</v>
      </c>
      <c r="J990" s="7" t="s">
        <v>20</v>
      </c>
      <c r="K990" s="7" t="s">
        <v>32</v>
      </c>
      <c r="L990" s="6"/>
      <c r="M990" s="10">
        <v>5.9799999999999999E-2</v>
      </c>
      <c r="N990" s="6" t="s">
        <v>4654</v>
      </c>
      <c r="O990" s="11">
        <v>10700</v>
      </c>
      <c r="P990" s="11"/>
      <c r="Q990" s="18">
        <v>10700</v>
      </c>
      <c r="R990" s="19"/>
    </row>
    <row r="991" spans="1:18" ht="28.8" hidden="1" x14ac:dyDescent="0.3">
      <c r="A991" s="6" t="s">
        <v>4655</v>
      </c>
      <c r="B991" s="7" t="s">
        <v>509</v>
      </c>
      <c r="C991" s="17" t="s">
        <v>4656</v>
      </c>
      <c r="D991" s="17"/>
      <c r="E991" s="7" t="s">
        <v>4657</v>
      </c>
      <c r="F991" s="9">
        <v>76</v>
      </c>
      <c r="G991" s="6" t="s">
        <v>4658</v>
      </c>
      <c r="H991" s="7" t="s">
        <v>39</v>
      </c>
      <c r="I991" s="6" t="s">
        <v>321</v>
      </c>
      <c r="J991" s="7" t="s">
        <v>41</v>
      </c>
      <c r="K991" s="7" t="s">
        <v>26</v>
      </c>
      <c r="L991" s="9">
        <v>72</v>
      </c>
      <c r="M991" s="10">
        <v>5.3999999999999999E-2</v>
      </c>
      <c r="N991" s="6" t="s">
        <v>4659</v>
      </c>
      <c r="O991" s="6" t="s">
        <v>19</v>
      </c>
      <c r="P991" s="6"/>
      <c r="Q991" s="19" t="s">
        <v>19</v>
      </c>
      <c r="R991" s="19"/>
    </row>
    <row r="992" spans="1:18" ht="28.8" hidden="1" x14ac:dyDescent="0.3">
      <c r="A992" s="6" t="s">
        <v>4660</v>
      </c>
      <c r="B992" s="7" t="s">
        <v>4661</v>
      </c>
      <c r="C992" s="17" t="s">
        <v>4662</v>
      </c>
      <c r="D992" s="17"/>
      <c r="E992" s="8">
        <v>16050</v>
      </c>
      <c r="F992" s="9">
        <v>79</v>
      </c>
      <c r="G992" s="6" t="s">
        <v>4663</v>
      </c>
      <c r="H992" s="7" t="s">
        <v>39</v>
      </c>
      <c r="I992" s="6" t="s">
        <v>321</v>
      </c>
      <c r="J992" s="7" t="s">
        <v>20</v>
      </c>
      <c r="K992" s="7" t="s">
        <v>26</v>
      </c>
      <c r="L992" s="6"/>
      <c r="M992" s="10">
        <v>6.5799999999999997E-2</v>
      </c>
      <c r="N992" s="6" t="s">
        <v>4664</v>
      </c>
      <c r="O992" s="11">
        <v>4000</v>
      </c>
      <c r="P992" s="11"/>
      <c r="Q992" s="18">
        <v>500</v>
      </c>
      <c r="R992" s="19"/>
    </row>
    <row r="993" spans="1:18" x14ac:dyDescent="0.3">
      <c r="A993" s="6" t="s">
        <v>4665</v>
      </c>
      <c r="B993" s="7" t="s">
        <v>2751</v>
      </c>
      <c r="C993" s="17" t="s">
        <v>4666</v>
      </c>
      <c r="D993" s="17"/>
      <c r="E993" s="8">
        <v>16152</v>
      </c>
      <c r="F993" s="9">
        <v>78</v>
      </c>
      <c r="G993" s="6" t="s">
        <v>4667</v>
      </c>
      <c r="H993" s="7" t="s">
        <v>25</v>
      </c>
      <c r="I993" s="6"/>
      <c r="J993" s="7" t="s">
        <v>41</v>
      </c>
      <c r="K993" s="7" t="s">
        <v>26</v>
      </c>
      <c r="L993" s="9">
        <v>71</v>
      </c>
      <c r="M993" s="10">
        <v>5.28E-2</v>
      </c>
      <c r="N993" s="6" t="s">
        <v>4668</v>
      </c>
      <c r="O993" s="11">
        <v>9783.52</v>
      </c>
      <c r="P993" s="11"/>
      <c r="Q993" s="18">
        <v>1222.94</v>
      </c>
      <c r="R993" s="19"/>
    </row>
    <row r="994" spans="1:18" hidden="1" x14ac:dyDescent="0.3">
      <c r="A994" s="6" t="s">
        <v>4669</v>
      </c>
      <c r="B994" s="7" t="s">
        <v>179</v>
      </c>
      <c r="C994" s="17" t="s">
        <v>4670</v>
      </c>
      <c r="D994" s="17"/>
      <c r="E994" s="8">
        <v>17706</v>
      </c>
      <c r="F994" s="9">
        <v>74</v>
      </c>
      <c r="G994" s="6" t="s">
        <v>4671</v>
      </c>
      <c r="H994" s="7" t="s">
        <v>25</v>
      </c>
      <c r="I994" s="6"/>
      <c r="J994" s="7" t="s">
        <v>20</v>
      </c>
      <c r="K994" s="7" t="s">
        <v>26</v>
      </c>
      <c r="L994" s="6"/>
      <c r="M994" s="10">
        <v>5.67E-2</v>
      </c>
      <c r="N994" s="6" t="s">
        <v>4672</v>
      </c>
      <c r="O994" s="11">
        <v>11580.08</v>
      </c>
      <c r="P994" s="11"/>
      <c r="Q994" s="18">
        <v>1147.51</v>
      </c>
      <c r="R994" s="19"/>
    </row>
    <row r="995" spans="1:18" ht="43.2" hidden="1" x14ac:dyDescent="0.3">
      <c r="A995" s="6" t="s">
        <v>4673</v>
      </c>
      <c r="B995" s="7" t="s">
        <v>488</v>
      </c>
      <c r="C995" s="17" t="s">
        <v>4670</v>
      </c>
      <c r="D995" s="17"/>
      <c r="E995" s="8">
        <v>18432</v>
      </c>
      <c r="F995" s="9">
        <v>72</v>
      </c>
      <c r="G995" s="6" t="s">
        <v>4674</v>
      </c>
      <c r="H995" s="7" t="s">
        <v>39</v>
      </c>
      <c r="I995" s="6" t="s">
        <v>4675</v>
      </c>
      <c r="J995" s="7" t="s">
        <v>20</v>
      </c>
      <c r="K995" s="7" t="s">
        <v>26</v>
      </c>
      <c r="L995" s="6"/>
      <c r="M995" s="10">
        <v>5.3999999999999999E-2</v>
      </c>
      <c r="N995" s="6" t="s">
        <v>4676</v>
      </c>
      <c r="O995" s="11">
        <v>23960</v>
      </c>
      <c r="P995" s="11"/>
      <c r="Q995" s="18">
        <v>2995</v>
      </c>
      <c r="R995" s="19"/>
    </row>
    <row r="996" spans="1:18" hidden="1" x14ac:dyDescent="0.3">
      <c r="A996" s="6" t="s">
        <v>4677</v>
      </c>
      <c r="B996" s="7" t="s">
        <v>4678</v>
      </c>
      <c r="C996" s="17" t="s">
        <v>4679</v>
      </c>
      <c r="D996" s="17"/>
      <c r="E996" s="7" t="s">
        <v>4680</v>
      </c>
      <c r="F996" s="9">
        <v>77</v>
      </c>
      <c r="G996" s="6" t="s">
        <v>4681</v>
      </c>
      <c r="H996" s="7" t="s">
        <v>25</v>
      </c>
      <c r="I996" s="6" t="s">
        <v>19</v>
      </c>
      <c r="J996" s="7" t="s">
        <v>41</v>
      </c>
      <c r="K996" s="7" t="s">
        <v>32</v>
      </c>
      <c r="L996" s="9">
        <v>72</v>
      </c>
      <c r="M996" s="10">
        <v>5.3999999999999999E-2</v>
      </c>
      <c r="N996" s="6" t="s">
        <v>4682</v>
      </c>
      <c r="O996" s="6" t="s">
        <v>19</v>
      </c>
      <c r="P996" s="6"/>
      <c r="Q996" s="19" t="s">
        <v>19</v>
      </c>
      <c r="R996" s="19"/>
    </row>
    <row r="997" spans="1:18" ht="43.2" x14ac:dyDescent="0.3">
      <c r="A997" s="6" t="s">
        <v>4683</v>
      </c>
      <c r="B997" s="7" t="s">
        <v>4684</v>
      </c>
      <c r="C997" s="17" t="s">
        <v>4685</v>
      </c>
      <c r="D997" s="17"/>
      <c r="E997" s="8">
        <v>17249</v>
      </c>
      <c r="F997" s="9">
        <v>75</v>
      </c>
      <c r="G997" s="6" t="s">
        <v>4686</v>
      </c>
      <c r="H997" s="7" t="s">
        <v>39</v>
      </c>
      <c r="I997" s="6" t="s">
        <v>4687</v>
      </c>
      <c r="J997" s="7" t="s">
        <v>41</v>
      </c>
      <c r="K997" s="7" t="s">
        <v>26</v>
      </c>
      <c r="L997" s="9">
        <v>69</v>
      </c>
      <c r="M997" s="10">
        <v>4.7600000000000003E-2</v>
      </c>
      <c r="N997" s="6" t="s">
        <v>4688</v>
      </c>
      <c r="O997" s="11">
        <v>18600</v>
      </c>
      <c r="P997" s="11"/>
      <c r="Q997" s="18">
        <v>2325</v>
      </c>
      <c r="R997" s="19"/>
    </row>
    <row r="998" spans="1:18" hidden="1" x14ac:dyDescent="0.3">
      <c r="A998" s="6" t="s">
        <v>4689</v>
      </c>
      <c r="B998" s="7" t="s">
        <v>1193</v>
      </c>
      <c r="C998" s="17" t="s">
        <v>4690</v>
      </c>
      <c r="D998" s="17"/>
      <c r="E998" s="7" t="s">
        <v>4691</v>
      </c>
      <c r="F998" s="9">
        <v>78</v>
      </c>
      <c r="G998" s="6" t="s">
        <v>4692</v>
      </c>
      <c r="H998" s="7" t="s">
        <v>25</v>
      </c>
      <c r="I998" s="6" t="s">
        <v>19</v>
      </c>
      <c r="J998" s="7" t="s">
        <v>41</v>
      </c>
      <c r="K998" s="7" t="s">
        <v>32</v>
      </c>
      <c r="L998" s="9">
        <v>77</v>
      </c>
      <c r="M998" s="10">
        <v>6.1699999999999998E-2</v>
      </c>
      <c r="N998" s="6" t="s">
        <v>4693</v>
      </c>
      <c r="O998" s="6" t="s">
        <v>19</v>
      </c>
      <c r="P998" s="6"/>
      <c r="Q998" s="19" t="s">
        <v>19</v>
      </c>
      <c r="R998" s="19"/>
    </row>
    <row r="999" spans="1:18" ht="43.2" hidden="1" x14ac:dyDescent="0.3">
      <c r="A999" s="6" t="s">
        <v>4694</v>
      </c>
      <c r="B999" s="7" t="s">
        <v>4695</v>
      </c>
      <c r="C999" s="17" t="s">
        <v>4696</v>
      </c>
      <c r="D999" s="17"/>
      <c r="E999" s="8">
        <v>18606</v>
      </c>
      <c r="F999" s="9">
        <v>72</v>
      </c>
      <c r="G999" s="6" t="s">
        <v>4697</v>
      </c>
      <c r="H999" s="7" t="s">
        <v>39</v>
      </c>
      <c r="I999" s="6" t="s">
        <v>4698</v>
      </c>
      <c r="J999" s="7" t="s">
        <v>20</v>
      </c>
      <c r="K999" s="7" t="s">
        <v>26</v>
      </c>
      <c r="L999" s="6"/>
      <c r="M999" s="10">
        <v>5.3999999999999999E-2</v>
      </c>
      <c r="N999" s="6" t="s">
        <v>4699</v>
      </c>
      <c r="O999" s="11">
        <v>43200</v>
      </c>
      <c r="P999" s="11"/>
      <c r="Q999" s="18">
        <v>5400</v>
      </c>
      <c r="R999" s="19"/>
    </row>
    <row r="1000" spans="1:18" ht="28.8" hidden="1" x14ac:dyDescent="0.3">
      <c r="A1000" s="6" t="s">
        <v>4700</v>
      </c>
      <c r="B1000" s="7" t="s">
        <v>944</v>
      </c>
      <c r="C1000" s="17" t="s">
        <v>4696</v>
      </c>
      <c r="D1000" s="17"/>
      <c r="E1000" s="8">
        <v>18556</v>
      </c>
      <c r="F1000" s="9">
        <v>72</v>
      </c>
      <c r="G1000" s="6" t="s">
        <v>4701</v>
      </c>
      <c r="H1000" s="7" t="s">
        <v>39</v>
      </c>
      <c r="I1000" s="6" t="s">
        <v>1160</v>
      </c>
      <c r="J1000" s="7" t="s">
        <v>20</v>
      </c>
      <c r="K1000" s="7" t="s">
        <v>26</v>
      </c>
      <c r="L1000" s="6"/>
      <c r="M1000" s="10">
        <v>5.3999999999999999E-2</v>
      </c>
      <c r="N1000" s="6" t="s">
        <v>4702</v>
      </c>
      <c r="O1000" s="11">
        <v>3200</v>
      </c>
      <c r="P1000" s="11"/>
      <c r="Q1000" s="18">
        <v>400</v>
      </c>
      <c r="R1000" s="19"/>
    </row>
    <row r="1001" spans="1:18" hidden="1" x14ac:dyDescent="0.3">
      <c r="A1001" s="6" t="s">
        <v>4703</v>
      </c>
      <c r="B1001" s="7" t="s">
        <v>2405</v>
      </c>
      <c r="C1001" s="17" t="s">
        <v>4704</v>
      </c>
      <c r="D1001" s="17"/>
      <c r="E1001" s="7" t="s">
        <v>4705</v>
      </c>
      <c r="F1001" s="9">
        <v>79</v>
      </c>
      <c r="G1001" s="6" t="s">
        <v>4706</v>
      </c>
      <c r="H1001" s="7" t="s">
        <v>25</v>
      </c>
      <c r="I1001" s="6" t="s">
        <v>19</v>
      </c>
      <c r="J1001" s="7" t="s">
        <v>41</v>
      </c>
      <c r="K1001" s="7" t="s">
        <v>26</v>
      </c>
      <c r="L1001" s="9">
        <v>71</v>
      </c>
      <c r="M1001" s="10">
        <v>5.28E-2</v>
      </c>
      <c r="N1001" s="6" t="s">
        <v>4707</v>
      </c>
      <c r="O1001" s="6" t="s">
        <v>19</v>
      </c>
      <c r="P1001" s="6"/>
      <c r="Q1001" s="19" t="s">
        <v>19</v>
      </c>
      <c r="R1001" s="19"/>
    </row>
    <row r="1002" spans="1:18" hidden="1" x14ac:dyDescent="0.3">
      <c r="A1002" s="6" t="s">
        <v>4708</v>
      </c>
      <c r="B1002" s="7" t="s">
        <v>4709</v>
      </c>
      <c r="C1002" s="17" t="s">
        <v>4710</v>
      </c>
      <c r="D1002" s="17"/>
      <c r="E1002" s="8">
        <v>15648</v>
      </c>
      <c r="F1002" s="9">
        <v>80</v>
      </c>
      <c r="G1002" s="6" t="s">
        <v>4711</v>
      </c>
      <c r="H1002" s="7" t="s">
        <v>25</v>
      </c>
      <c r="I1002" s="6"/>
      <c r="J1002" s="7" t="s">
        <v>20</v>
      </c>
      <c r="K1002" s="7" t="s">
        <v>26</v>
      </c>
      <c r="L1002" s="6"/>
      <c r="M1002" s="10">
        <v>6.8199999999999997E-2</v>
      </c>
      <c r="N1002" s="6" t="s">
        <v>4712</v>
      </c>
      <c r="O1002" s="11">
        <v>2869.92</v>
      </c>
      <c r="P1002" s="11"/>
      <c r="Q1002" s="18">
        <v>358.74</v>
      </c>
      <c r="R1002" s="19"/>
    </row>
    <row r="1003" spans="1:18" hidden="1" x14ac:dyDescent="0.3">
      <c r="A1003" s="6" t="s">
        <v>4713</v>
      </c>
      <c r="B1003" s="7" t="s">
        <v>4714</v>
      </c>
      <c r="C1003" s="17" t="s">
        <v>4715</v>
      </c>
      <c r="D1003" s="17"/>
      <c r="E1003" s="7" t="s">
        <v>4716</v>
      </c>
      <c r="F1003" s="9">
        <v>75</v>
      </c>
      <c r="G1003" s="6" t="s">
        <v>4717</v>
      </c>
      <c r="H1003" s="7" t="s">
        <v>25</v>
      </c>
      <c r="I1003" s="6" t="s">
        <v>19</v>
      </c>
      <c r="J1003" s="7" t="s">
        <v>20</v>
      </c>
      <c r="K1003" s="7" t="s">
        <v>32</v>
      </c>
      <c r="L1003" s="6"/>
      <c r="M1003" s="10">
        <v>5.8200000000000002E-2</v>
      </c>
      <c r="N1003" s="6" t="s">
        <v>4718</v>
      </c>
      <c r="O1003" s="6" t="s">
        <v>19</v>
      </c>
      <c r="P1003" s="6"/>
      <c r="Q1003" s="19" t="s">
        <v>19</v>
      </c>
      <c r="R1003" s="19"/>
    </row>
    <row r="1004" spans="1:18" hidden="1" x14ac:dyDescent="0.3">
      <c r="A1004" s="6" t="s">
        <v>4719</v>
      </c>
      <c r="B1004" s="7" t="s">
        <v>206</v>
      </c>
      <c r="C1004" s="17" t="s">
        <v>4720</v>
      </c>
      <c r="D1004" s="17"/>
      <c r="E1004" s="7" t="s">
        <v>4721</v>
      </c>
      <c r="F1004" s="9">
        <v>73</v>
      </c>
      <c r="G1004" s="6" t="s">
        <v>4722</v>
      </c>
      <c r="H1004" s="7" t="s">
        <v>25</v>
      </c>
      <c r="I1004" s="6" t="s">
        <v>19</v>
      </c>
      <c r="J1004" s="7" t="s">
        <v>20</v>
      </c>
      <c r="K1004" s="7" t="s">
        <v>32</v>
      </c>
      <c r="L1004" s="6"/>
      <c r="M1004" s="10">
        <v>5.5300000000000002E-2</v>
      </c>
      <c r="N1004" s="6" t="s">
        <v>4723</v>
      </c>
      <c r="O1004" s="6" t="s">
        <v>19</v>
      </c>
      <c r="P1004" s="6"/>
      <c r="Q1004" s="19" t="s">
        <v>19</v>
      </c>
      <c r="R1004" s="19"/>
    </row>
    <row r="1005" spans="1:18" ht="43.2" x14ac:dyDescent="0.3">
      <c r="A1005" s="6" t="s">
        <v>4724</v>
      </c>
      <c r="B1005" s="7" t="s">
        <v>81</v>
      </c>
      <c r="C1005" s="17" t="s">
        <v>4725</v>
      </c>
      <c r="D1005" s="17"/>
      <c r="E1005" s="8">
        <v>14398</v>
      </c>
      <c r="F1005" s="9">
        <v>83</v>
      </c>
      <c r="G1005" s="6" t="s">
        <v>4726</v>
      </c>
      <c r="H1005" s="7" t="s">
        <v>39</v>
      </c>
      <c r="I1005" s="6" t="s">
        <v>151</v>
      </c>
      <c r="J1005" s="7" t="s">
        <v>41</v>
      </c>
      <c r="K1005" s="7" t="s">
        <v>26</v>
      </c>
      <c r="L1005" s="9">
        <v>78</v>
      </c>
      <c r="M1005" s="10">
        <v>6.3600000000000004E-2</v>
      </c>
      <c r="N1005" s="6" t="s">
        <v>4727</v>
      </c>
      <c r="O1005" s="11">
        <v>20000</v>
      </c>
      <c r="P1005" s="11"/>
      <c r="Q1005" s="18">
        <v>2500</v>
      </c>
      <c r="R1005" s="19"/>
    </row>
    <row r="1006" spans="1:18" ht="28.8" hidden="1" x14ac:dyDescent="0.3">
      <c r="A1006" s="6" t="s">
        <v>4728</v>
      </c>
      <c r="B1006" s="7" t="s">
        <v>4729</v>
      </c>
      <c r="C1006" s="17" t="s">
        <v>4730</v>
      </c>
      <c r="D1006" s="17"/>
      <c r="E1006" s="8">
        <v>15452</v>
      </c>
      <c r="F1006" s="9">
        <v>80</v>
      </c>
      <c r="G1006" s="6" t="s">
        <v>4731</v>
      </c>
      <c r="H1006" s="7" t="s">
        <v>39</v>
      </c>
      <c r="I1006" s="6" t="s">
        <v>1562</v>
      </c>
      <c r="J1006" s="7" t="s">
        <v>20</v>
      </c>
      <c r="K1006" s="7" t="s">
        <v>26</v>
      </c>
      <c r="L1006" s="6"/>
      <c r="M1006" s="10">
        <v>6.8199999999999997E-2</v>
      </c>
      <c r="N1006" s="6" t="s">
        <v>4732</v>
      </c>
      <c r="O1006" s="11">
        <v>5200</v>
      </c>
      <c r="P1006" s="11"/>
      <c r="Q1006" s="18">
        <v>650</v>
      </c>
      <c r="R1006" s="19"/>
    </row>
    <row r="1007" spans="1:18" hidden="1" x14ac:dyDescent="0.3">
      <c r="A1007" s="6" t="s">
        <v>4733</v>
      </c>
      <c r="B1007" s="7" t="s">
        <v>29</v>
      </c>
      <c r="C1007" s="17" t="s">
        <v>4734</v>
      </c>
      <c r="D1007" s="17"/>
      <c r="E1007" s="8">
        <v>17748</v>
      </c>
      <c r="F1007" s="9">
        <v>74</v>
      </c>
      <c r="G1007" s="6" t="s">
        <v>4735</v>
      </c>
      <c r="H1007" s="7" t="s">
        <v>25</v>
      </c>
      <c r="I1007" s="6"/>
      <c r="J1007" s="7" t="s">
        <v>20</v>
      </c>
      <c r="K1007" s="7" t="s">
        <v>26</v>
      </c>
      <c r="L1007" s="6"/>
      <c r="M1007" s="10">
        <v>5.67E-2</v>
      </c>
      <c r="N1007" s="6" t="s">
        <v>4736</v>
      </c>
      <c r="O1007" s="11">
        <v>50000</v>
      </c>
      <c r="P1007" s="11"/>
      <c r="Q1007" s="18">
        <v>50000</v>
      </c>
      <c r="R1007" s="19"/>
    </row>
    <row r="1008" spans="1:18" ht="28.8" hidden="1" x14ac:dyDescent="0.3">
      <c r="A1008" s="6" t="s">
        <v>4737</v>
      </c>
      <c r="B1008" s="7" t="s">
        <v>4738</v>
      </c>
      <c r="C1008" s="17" t="s">
        <v>4739</v>
      </c>
      <c r="D1008" s="17"/>
      <c r="E1008" s="7" t="s">
        <v>3986</v>
      </c>
      <c r="F1008" s="9">
        <v>72</v>
      </c>
      <c r="G1008" s="6" t="s">
        <v>4740</v>
      </c>
      <c r="H1008" s="7" t="s">
        <v>39</v>
      </c>
      <c r="I1008" s="6" t="s">
        <v>2738</v>
      </c>
      <c r="J1008" s="7" t="s">
        <v>20</v>
      </c>
      <c r="K1008" s="7" t="s">
        <v>26</v>
      </c>
      <c r="L1008" s="6"/>
      <c r="M1008" s="10">
        <v>5.3999999999999999E-2</v>
      </c>
      <c r="N1008" s="6" t="s">
        <v>4741</v>
      </c>
      <c r="O1008" s="6" t="s">
        <v>19</v>
      </c>
      <c r="P1008" s="6"/>
      <c r="Q1008" s="19" t="s">
        <v>19</v>
      </c>
      <c r="R1008" s="19"/>
    </row>
    <row r="1009" spans="1:18" hidden="1" x14ac:dyDescent="0.3">
      <c r="A1009" s="6" t="s">
        <v>4742</v>
      </c>
      <c r="B1009" s="7" t="s">
        <v>179</v>
      </c>
      <c r="C1009" s="17" t="s">
        <v>4743</v>
      </c>
      <c r="D1009" s="17"/>
      <c r="E1009" s="7" t="s">
        <v>4744</v>
      </c>
      <c r="F1009" s="9">
        <v>73</v>
      </c>
      <c r="G1009" s="6" t="s">
        <v>4745</v>
      </c>
      <c r="H1009" s="7" t="s">
        <v>25</v>
      </c>
      <c r="I1009" s="6" t="s">
        <v>19</v>
      </c>
      <c r="J1009" s="7" t="s">
        <v>20</v>
      </c>
      <c r="K1009" s="7" t="s">
        <v>32</v>
      </c>
      <c r="L1009" s="6"/>
      <c r="M1009" s="10">
        <v>5.5300000000000002E-2</v>
      </c>
      <c r="N1009" s="6" t="s">
        <v>4746</v>
      </c>
      <c r="O1009" s="6" t="s">
        <v>19</v>
      </c>
      <c r="P1009" s="6"/>
      <c r="Q1009" s="19" t="s">
        <v>19</v>
      </c>
      <c r="R1009" s="19"/>
    </row>
    <row r="1010" spans="1:18" ht="43.2" hidden="1" x14ac:dyDescent="0.3">
      <c r="A1010" s="6" t="s">
        <v>4747</v>
      </c>
      <c r="B1010" s="7" t="s">
        <v>4748</v>
      </c>
      <c r="C1010" s="17" t="s">
        <v>4749</v>
      </c>
      <c r="D1010" s="17"/>
      <c r="E1010" s="8">
        <v>18627</v>
      </c>
      <c r="F1010" s="9">
        <v>72</v>
      </c>
      <c r="G1010" s="6" t="s">
        <v>4750</v>
      </c>
      <c r="H1010" s="7" t="s">
        <v>39</v>
      </c>
      <c r="I1010" s="6" t="s">
        <v>4751</v>
      </c>
      <c r="J1010" s="7" t="s">
        <v>20</v>
      </c>
      <c r="K1010" s="7" t="s">
        <v>26</v>
      </c>
      <c r="L1010" s="6"/>
      <c r="M1010" s="10">
        <v>5.3999999999999999E-2</v>
      </c>
      <c r="N1010" s="6" t="s">
        <v>4752</v>
      </c>
      <c r="O1010" s="11">
        <v>10182</v>
      </c>
      <c r="P1010" s="11"/>
      <c r="Q1010" s="18">
        <v>1082</v>
      </c>
      <c r="R1010" s="19"/>
    </row>
    <row r="1011" spans="1:18" ht="43.2" hidden="1" x14ac:dyDescent="0.3">
      <c r="A1011" s="6" t="s">
        <v>4753</v>
      </c>
      <c r="B1011" s="7" t="s">
        <v>4754</v>
      </c>
      <c r="C1011" s="17" t="s">
        <v>4755</v>
      </c>
      <c r="D1011" s="17"/>
      <c r="E1011" s="8">
        <v>17481</v>
      </c>
      <c r="F1011" s="9">
        <v>75</v>
      </c>
      <c r="G1011" s="6" t="s">
        <v>4756</v>
      </c>
      <c r="H1011" s="7" t="s">
        <v>39</v>
      </c>
      <c r="I1011" s="6" t="s">
        <v>106</v>
      </c>
      <c r="J1011" s="7" t="s">
        <v>20</v>
      </c>
      <c r="K1011" s="7" t="s">
        <v>26</v>
      </c>
      <c r="L1011" s="6"/>
      <c r="M1011" s="10">
        <v>5.8200000000000002E-2</v>
      </c>
      <c r="N1011" s="6" t="s">
        <v>4757</v>
      </c>
      <c r="O1011" s="11">
        <v>32000</v>
      </c>
      <c r="P1011" s="11"/>
      <c r="Q1011" s="18">
        <v>4000</v>
      </c>
      <c r="R1011" s="19"/>
    </row>
    <row r="1012" spans="1:18" hidden="1" x14ac:dyDescent="0.3">
      <c r="A1012" s="6" t="s">
        <v>4758</v>
      </c>
      <c r="B1012" s="7" t="s">
        <v>2625</v>
      </c>
      <c r="C1012" s="17" t="s">
        <v>4759</v>
      </c>
      <c r="D1012" s="17"/>
      <c r="E1012" s="8">
        <v>16667</v>
      </c>
      <c r="F1012" s="9">
        <v>77</v>
      </c>
      <c r="G1012" s="6" t="s">
        <v>4760</v>
      </c>
      <c r="H1012" s="7" t="s">
        <v>25</v>
      </c>
      <c r="I1012" s="6"/>
      <c r="J1012" s="7" t="s">
        <v>20</v>
      </c>
      <c r="K1012" s="7" t="s">
        <v>26</v>
      </c>
      <c r="L1012" s="6"/>
      <c r="M1012" s="10">
        <v>6.1699999999999998E-2</v>
      </c>
      <c r="N1012" s="6" t="s">
        <v>4761</v>
      </c>
      <c r="O1012" s="11">
        <v>2758.8</v>
      </c>
      <c r="P1012" s="11"/>
      <c r="Q1012" s="18">
        <v>344.85</v>
      </c>
      <c r="R1012" s="19"/>
    </row>
    <row r="1013" spans="1:18" hidden="1" x14ac:dyDescent="0.3">
      <c r="A1013" s="6" t="s">
        <v>4762</v>
      </c>
      <c r="B1013" s="7" t="s">
        <v>4763</v>
      </c>
      <c r="C1013" s="17" t="s">
        <v>4764</v>
      </c>
      <c r="D1013" s="17"/>
      <c r="E1013" s="7" t="s">
        <v>1738</v>
      </c>
      <c r="F1013" s="9">
        <v>74</v>
      </c>
      <c r="G1013" s="6" t="s">
        <v>4765</v>
      </c>
      <c r="H1013" s="7" t="s">
        <v>25</v>
      </c>
      <c r="I1013" s="6" t="s">
        <v>19</v>
      </c>
      <c r="J1013" s="7" t="s">
        <v>20</v>
      </c>
      <c r="K1013" s="7" t="s">
        <v>26</v>
      </c>
      <c r="L1013" s="6"/>
      <c r="M1013" s="10">
        <v>5.67E-2</v>
      </c>
      <c r="N1013" s="6" t="s">
        <v>4766</v>
      </c>
      <c r="O1013" s="6" t="s">
        <v>19</v>
      </c>
      <c r="P1013" s="6"/>
      <c r="Q1013" s="19" t="s">
        <v>19</v>
      </c>
      <c r="R1013" s="19"/>
    </row>
    <row r="1014" spans="1:18" ht="43.2" hidden="1" x14ac:dyDescent="0.3">
      <c r="A1014" s="6" t="s">
        <v>4767</v>
      </c>
      <c r="B1014" s="7" t="s">
        <v>4768</v>
      </c>
      <c r="C1014" s="17" t="s">
        <v>4769</v>
      </c>
      <c r="D1014" s="17"/>
      <c r="E1014" s="8">
        <v>18189</v>
      </c>
      <c r="F1014" s="9">
        <v>73</v>
      </c>
      <c r="G1014" s="6" t="s">
        <v>4770</v>
      </c>
      <c r="H1014" s="7" t="s">
        <v>39</v>
      </c>
      <c r="I1014" s="6" t="s">
        <v>4304</v>
      </c>
      <c r="J1014" s="7" t="s">
        <v>20</v>
      </c>
      <c r="K1014" s="7" t="s">
        <v>32</v>
      </c>
      <c r="L1014" s="6"/>
      <c r="M1014" s="10">
        <v>5.5300000000000002E-2</v>
      </c>
      <c r="N1014" s="6" t="s">
        <v>4771</v>
      </c>
      <c r="O1014" s="11">
        <v>15000</v>
      </c>
      <c r="P1014" s="11"/>
      <c r="Q1014" s="18">
        <v>15000</v>
      </c>
      <c r="R1014" s="19"/>
    </row>
    <row r="1015" spans="1:18" ht="43.2" hidden="1" x14ac:dyDescent="0.3">
      <c r="A1015" s="6" t="s">
        <v>4772</v>
      </c>
      <c r="B1015" s="7" t="s">
        <v>3925</v>
      </c>
      <c r="C1015" s="17" t="s">
        <v>4773</v>
      </c>
      <c r="D1015" s="17"/>
      <c r="E1015" s="8">
        <v>15657</v>
      </c>
      <c r="F1015" s="9">
        <v>80</v>
      </c>
      <c r="G1015" s="6" t="s">
        <v>4774</v>
      </c>
      <c r="H1015" s="7" t="s">
        <v>39</v>
      </c>
      <c r="I1015" s="6" t="s">
        <v>151</v>
      </c>
      <c r="J1015" s="7" t="s">
        <v>20</v>
      </c>
      <c r="K1015" s="7" t="s">
        <v>26</v>
      </c>
      <c r="L1015" s="6"/>
      <c r="M1015" s="10">
        <v>6.8199999999999997E-2</v>
      </c>
      <c r="N1015" s="6" t="s">
        <v>4775</v>
      </c>
      <c r="O1015" s="11">
        <v>20000</v>
      </c>
      <c r="P1015" s="11"/>
      <c r="Q1015" s="18">
        <v>2500</v>
      </c>
      <c r="R1015" s="19"/>
    </row>
    <row r="1016" spans="1:18" hidden="1" x14ac:dyDescent="0.3">
      <c r="A1016" s="6" t="s">
        <v>4776</v>
      </c>
      <c r="B1016" s="7" t="s">
        <v>29</v>
      </c>
      <c r="C1016" s="17" t="s">
        <v>4777</v>
      </c>
      <c r="D1016" s="17"/>
      <c r="E1016" s="8">
        <v>16893</v>
      </c>
      <c r="F1016" s="9">
        <v>76</v>
      </c>
      <c r="G1016" s="6" t="s">
        <v>4778</v>
      </c>
      <c r="H1016" s="7" t="s">
        <v>25</v>
      </c>
      <c r="I1016" s="6"/>
      <c r="J1016" s="7" t="s">
        <v>20</v>
      </c>
      <c r="K1016" s="7" t="s">
        <v>32</v>
      </c>
      <c r="L1016" s="6"/>
      <c r="M1016" s="10">
        <v>5.9799999999999999E-2</v>
      </c>
      <c r="N1016" s="6" t="s">
        <v>4779</v>
      </c>
      <c r="O1016" s="11">
        <v>877.06</v>
      </c>
      <c r="P1016" s="11"/>
      <c r="Q1016" s="18">
        <v>877.06</v>
      </c>
      <c r="R1016" s="19"/>
    </row>
    <row r="1017" spans="1:18" x14ac:dyDescent="0.3">
      <c r="A1017" s="6" t="s">
        <v>4780</v>
      </c>
      <c r="B1017" s="7" t="s">
        <v>120</v>
      </c>
      <c r="C1017" s="17" t="s">
        <v>4777</v>
      </c>
      <c r="D1017" s="17"/>
      <c r="E1017" s="8">
        <v>16054</v>
      </c>
      <c r="F1017" s="9">
        <v>79</v>
      </c>
      <c r="G1017" s="6" t="s">
        <v>4781</v>
      </c>
      <c r="H1017" s="7" t="s">
        <v>25</v>
      </c>
      <c r="I1017" s="6"/>
      <c r="J1017" s="7" t="s">
        <v>41</v>
      </c>
      <c r="K1017" s="7" t="s">
        <v>26</v>
      </c>
      <c r="L1017" s="9">
        <v>71</v>
      </c>
      <c r="M1017" s="10">
        <v>5.28E-2</v>
      </c>
      <c r="N1017" s="6" t="s">
        <v>4782</v>
      </c>
      <c r="O1017" s="11">
        <v>27964.880000000001</v>
      </c>
      <c r="P1017" s="11"/>
      <c r="Q1017" s="18">
        <v>3495.61</v>
      </c>
      <c r="R1017" s="19"/>
    </row>
    <row r="1018" spans="1:18" ht="43.2" hidden="1" x14ac:dyDescent="0.3">
      <c r="A1018" s="6" t="s">
        <v>4783</v>
      </c>
      <c r="B1018" s="7" t="s">
        <v>678</v>
      </c>
      <c r="C1018" s="17" t="s">
        <v>4777</v>
      </c>
      <c r="D1018" s="17"/>
      <c r="E1018" s="8">
        <v>17300</v>
      </c>
      <c r="F1018" s="9">
        <v>75</v>
      </c>
      <c r="G1018" s="6" t="s">
        <v>4784</v>
      </c>
      <c r="H1018" s="7" t="s">
        <v>39</v>
      </c>
      <c r="I1018" s="6" t="s">
        <v>182</v>
      </c>
      <c r="J1018" s="7" t="s">
        <v>20</v>
      </c>
      <c r="K1018" s="7" t="s">
        <v>26</v>
      </c>
      <c r="L1018" s="6"/>
      <c r="M1018" s="10">
        <v>5.8200000000000002E-2</v>
      </c>
      <c r="N1018" s="6" t="s">
        <v>4785</v>
      </c>
      <c r="O1018" s="11">
        <v>36000</v>
      </c>
      <c r="P1018" s="11"/>
      <c r="Q1018" s="18">
        <v>4500</v>
      </c>
      <c r="R1018" s="19"/>
    </row>
    <row r="1019" spans="1:18" ht="43.2" hidden="1" x14ac:dyDescent="0.3">
      <c r="A1019" s="6" t="s">
        <v>4786</v>
      </c>
      <c r="B1019" s="7" t="s">
        <v>4613</v>
      </c>
      <c r="C1019" s="17" t="s">
        <v>4787</v>
      </c>
      <c r="D1019" s="17"/>
      <c r="E1019" s="8">
        <v>15856</v>
      </c>
      <c r="F1019" s="9">
        <v>79</v>
      </c>
      <c r="G1019" s="6" t="s">
        <v>4788</v>
      </c>
      <c r="H1019" s="7" t="s">
        <v>39</v>
      </c>
      <c r="I1019" s="6" t="s">
        <v>4789</v>
      </c>
      <c r="J1019" s="7" t="s">
        <v>20</v>
      </c>
      <c r="K1019" s="7" t="s">
        <v>26</v>
      </c>
      <c r="L1019" s="6"/>
      <c r="M1019" s="10">
        <v>6.5799999999999997E-2</v>
      </c>
      <c r="N1019" s="6" t="s">
        <v>4790</v>
      </c>
      <c r="O1019" s="11">
        <v>12880</v>
      </c>
      <c r="P1019" s="11"/>
      <c r="Q1019" s="18">
        <v>1610</v>
      </c>
      <c r="R1019" s="19"/>
    </row>
    <row r="1020" spans="1:18" ht="43.2" hidden="1" x14ac:dyDescent="0.3">
      <c r="A1020" s="6" t="s">
        <v>4791</v>
      </c>
      <c r="B1020" s="7" t="s">
        <v>824</v>
      </c>
      <c r="C1020" s="17" t="s">
        <v>4792</v>
      </c>
      <c r="D1020" s="17"/>
      <c r="E1020" s="7" t="s">
        <v>4793</v>
      </c>
      <c r="F1020" s="9">
        <v>79</v>
      </c>
      <c r="G1020" s="6" t="s">
        <v>4794</v>
      </c>
      <c r="H1020" s="7" t="s">
        <v>39</v>
      </c>
      <c r="I1020" s="6" t="s">
        <v>151</v>
      </c>
      <c r="J1020" s="7" t="s">
        <v>20</v>
      </c>
      <c r="K1020" s="7" t="s">
        <v>26</v>
      </c>
      <c r="L1020" s="6"/>
      <c r="M1020" s="10">
        <v>6.5799999999999997E-2</v>
      </c>
      <c r="N1020" s="6" t="s">
        <v>4795</v>
      </c>
      <c r="O1020" s="6" t="s">
        <v>19</v>
      </c>
      <c r="P1020" s="6"/>
      <c r="Q1020" s="19" t="s">
        <v>19</v>
      </c>
      <c r="R1020" s="19"/>
    </row>
    <row r="1021" spans="1:18" x14ac:dyDescent="0.3">
      <c r="A1021" s="6" t="s">
        <v>4796</v>
      </c>
      <c r="B1021" s="7" t="s">
        <v>4797</v>
      </c>
      <c r="C1021" s="17" t="s">
        <v>4798</v>
      </c>
      <c r="D1021" s="17"/>
      <c r="E1021" s="8">
        <v>15130</v>
      </c>
      <c r="F1021" s="9">
        <v>81</v>
      </c>
      <c r="G1021" s="6" t="s">
        <v>4799</v>
      </c>
      <c r="H1021" s="7" t="s">
        <v>25</v>
      </c>
      <c r="I1021" s="6"/>
      <c r="J1021" s="7" t="s">
        <v>41</v>
      </c>
      <c r="K1021" s="7" t="s">
        <v>26</v>
      </c>
      <c r="L1021" s="9">
        <v>75</v>
      </c>
      <c r="M1021" s="10">
        <v>5.8200000000000002E-2</v>
      </c>
      <c r="N1021" s="6" t="s">
        <v>4800</v>
      </c>
      <c r="O1021" s="11">
        <v>42438.8</v>
      </c>
      <c r="P1021" s="11"/>
      <c r="Q1021" s="18">
        <v>5304.85</v>
      </c>
      <c r="R1021" s="19"/>
    </row>
    <row r="1022" spans="1:18" ht="43.2" hidden="1" x14ac:dyDescent="0.3">
      <c r="A1022" s="6" t="s">
        <v>4801</v>
      </c>
      <c r="B1022" s="7" t="s">
        <v>678</v>
      </c>
      <c r="C1022" s="17" t="s">
        <v>4798</v>
      </c>
      <c r="D1022" s="17"/>
      <c r="E1022" s="8">
        <v>16892</v>
      </c>
      <c r="F1022" s="9">
        <v>76</v>
      </c>
      <c r="G1022" s="6" t="s">
        <v>4802</v>
      </c>
      <c r="H1022" s="7" t="s">
        <v>39</v>
      </c>
      <c r="I1022" s="6" t="s">
        <v>47</v>
      </c>
      <c r="J1022" s="7" t="s">
        <v>20</v>
      </c>
      <c r="K1022" s="7" t="s">
        <v>26</v>
      </c>
      <c r="L1022" s="6"/>
      <c r="M1022" s="10">
        <v>5.9799999999999999E-2</v>
      </c>
      <c r="N1022" s="6" t="s">
        <v>4803</v>
      </c>
      <c r="O1022" s="11">
        <v>9500</v>
      </c>
      <c r="P1022" s="11"/>
      <c r="Q1022" s="18">
        <v>1000</v>
      </c>
      <c r="R1022" s="19"/>
    </row>
    <row r="1023" spans="1:18" hidden="1" x14ac:dyDescent="0.3">
      <c r="A1023" s="6" t="s">
        <v>4804</v>
      </c>
      <c r="B1023" s="7" t="s">
        <v>4805</v>
      </c>
      <c r="C1023" s="17" t="s">
        <v>4806</v>
      </c>
      <c r="D1023" s="17"/>
      <c r="E1023" s="8">
        <v>15774</v>
      </c>
      <c r="F1023" s="9">
        <v>79</v>
      </c>
      <c r="G1023" s="6" t="s">
        <v>4807</v>
      </c>
      <c r="H1023" s="7" t="s">
        <v>25</v>
      </c>
      <c r="I1023" s="6"/>
      <c r="J1023" s="7" t="s">
        <v>20</v>
      </c>
      <c r="K1023" s="7" t="s">
        <v>26</v>
      </c>
      <c r="L1023" s="6"/>
      <c r="M1023" s="10">
        <v>6.5799999999999997E-2</v>
      </c>
      <c r="N1023" s="6" t="s">
        <v>4808</v>
      </c>
      <c r="O1023" s="11">
        <v>5429.6</v>
      </c>
      <c r="P1023" s="11"/>
      <c r="Q1023" s="18">
        <v>678.7</v>
      </c>
      <c r="R1023" s="19"/>
    </row>
    <row r="1024" spans="1:18" ht="43.2" x14ac:dyDescent="0.3">
      <c r="A1024" s="6" t="s">
        <v>4809</v>
      </c>
      <c r="B1024" s="7" t="s">
        <v>1579</v>
      </c>
      <c r="C1024" s="17" t="s">
        <v>4810</v>
      </c>
      <c r="D1024" s="17"/>
      <c r="E1024" s="8">
        <v>15897</v>
      </c>
      <c r="F1024" s="9">
        <v>79</v>
      </c>
      <c r="G1024" s="6" t="s">
        <v>4811</v>
      </c>
      <c r="H1024" s="7" t="s">
        <v>39</v>
      </c>
      <c r="I1024" s="6" t="s">
        <v>122</v>
      </c>
      <c r="J1024" s="7" t="s">
        <v>41</v>
      </c>
      <c r="K1024" s="7" t="s">
        <v>26</v>
      </c>
      <c r="L1024" s="9">
        <v>65</v>
      </c>
      <c r="M1024" s="10">
        <v>0.04</v>
      </c>
      <c r="N1024" s="6" t="s">
        <v>4812</v>
      </c>
      <c r="O1024" s="11">
        <v>16000</v>
      </c>
      <c r="P1024" s="11"/>
      <c r="Q1024" s="18">
        <v>2000</v>
      </c>
      <c r="R1024" s="19"/>
    </row>
    <row r="1025" spans="1:18" ht="43.2" hidden="1" x14ac:dyDescent="0.3">
      <c r="A1025" s="6" t="s">
        <v>4813</v>
      </c>
      <c r="B1025" s="7" t="s">
        <v>4814</v>
      </c>
      <c r="C1025" s="17" t="s">
        <v>4815</v>
      </c>
      <c r="D1025" s="17"/>
      <c r="E1025" s="8">
        <v>18343</v>
      </c>
      <c r="F1025" s="9">
        <v>72</v>
      </c>
      <c r="G1025" s="6" t="s">
        <v>4816</v>
      </c>
      <c r="H1025" s="7" t="s">
        <v>39</v>
      </c>
      <c r="I1025" s="6" t="s">
        <v>40</v>
      </c>
      <c r="J1025" s="7" t="s">
        <v>20</v>
      </c>
      <c r="K1025" s="7" t="s">
        <v>26</v>
      </c>
      <c r="L1025" s="6"/>
      <c r="M1025" s="10">
        <v>5.3999999999999999E-2</v>
      </c>
      <c r="N1025" s="6" t="s">
        <v>4817</v>
      </c>
      <c r="O1025" s="11">
        <v>44000</v>
      </c>
      <c r="P1025" s="11"/>
      <c r="Q1025" s="18">
        <v>3000</v>
      </c>
      <c r="R1025" s="19"/>
    </row>
    <row r="1026" spans="1:18" hidden="1" x14ac:dyDescent="0.3">
      <c r="A1026" s="6" t="s">
        <v>4818</v>
      </c>
      <c r="B1026" s="7" t="s">
        <v>140</v>
      </c>
      <c r="C1026" s="17" t="s">
        <v>4819</v>
      </c>
      <c r="D1026" s="17"/>
      <c r="E1026" s="8">
        <v>18371</v>
      </c>
      <c r="F1026" s="9">
        <v>72</v>
      </c>
      <c r="G1026" s="6" t="s">
        <v>4820</v>
      </c>
      <c r="H1026" s="7" t="s">
        <v>25</v>
      </c>
      <c r="I1026" s="6"/>
      <c r="J1026" s="7" t="s">
        <v>20</v>
      </c>
      <c r="K1026" s="7" t="s">
        <v>26</v>
      </c>
      <c r="L1026" s="6"/>
      <c r="M1026" s="10">
        <v>5.3999999999999999E-2</v>
      </c>
      <c r="N1026" s="6" t="s">
        <v>4821</v>
      </c>
      <c r="O1026" s="11">
        <v>16111.68</v>
      </c>
      <c r="P1026" s="11"/>
      <c r="Q1026" s="18">
        <v>2013.96</v>
      </c>
      <c r="R1026" s="19"/>
    </row>
    <row r="1027" spans="1:18" ht="28.8" hidden="1" x14ac:dyDescent="0.3">
      <c r="A1027" s="6" t="s">
        <v>4822</v>
      </c>
      <c r="B1027" s="7" t="s">
        <v>4823</v>
      </c>
      <c r="C1027" s="17" t="s">
        <v>4824</v>
      </c>
      <c r="D1027" s="17"/>
      <c r="E1027" s="8">
        <v>17411</v>
      </c>
      <c r="F1027" s="9">
        <v>75</v>
      </c>
      <c r="G1027" s="6" t="s">
        <v>4825</v>
      </c>
      <c r="H1027" s="7" t="s">
        <v>39</v>
      </c>
      <c r="I1027" s="6" t="s">
        <v>321</v>
      </c>
      <c r="J1027" s="7" t="s">
        <v>20</v>
      </c>
      <c r="K1027" s="7" t="s">
        <v>26</v>
      </c>
      <c r="L1027" s="6"/>
      <c r="M1027" s="10">
        <v>5.8200000000000002E-2</v>
      </c>
      <c r="N1027" s="6" t="s">
        <v>4826</v>
      </c>
      <c r="O1027" s="11">
        <v>4000</v>
      </c>
      <c r="P1027" s="11"/>
      <c r="Q1027" s="18">
        <v>15.9</v>
      </c>
      <c r="R1027" s="19"/>
    </row>
    <row r="1028" spans="1:18" ht="43.2" hidden="1" x14ac:dyDescent="0.3">
      <c r="A1028" s="6" t="s">
        <v>4827</v>
      </c>
      <c r="B1028" s="7" t="s">
        <v>270</v>
      </c>
      <c r="C1028" s="17" t="s">
        <v>4828</v>
      </c>
      <c r="D1028" s="17"/>
      <c r="E1028" s="8">
        <v>18422</v>
      </c>
      <c r="F1028" s="9">
        <v>72</v>
      </c>
      <c r="G1028" s="6" t="s">
        <v>4829</v>
      </c>
      <c r="H1028" s="7" t="s">
        <v>39</v>
      </c>
      <c r="I1028" s="6" t="s">
        <v>89</v>
      </c>
      <c r="J1028" s="7" t="s">
        <v>20</v>
      </c>
      <c r="K1028" s="7" t="s">
        <v>26</v>
      </c>
      <c r="L1028" s="6"/>
      <c r="M1028" s="10">
        <v>5.3999999999999999E-2</v>
      </c>
      <c r="N1028" s="6" t="s">
        <v>4830</v>
      </c>
      <c r="O1028" s="11">
        <v>8400</v>
      </c>
      <c r="P1028" s="11"/>
      <c r="Q1028" s="18">
        <v>1200</v>
      </c>
      <c r="R1028" s="19"/>
    </row>
    <row r="1029" spans="1:18" ht="43.2" hidden="1" x14ac:dyDescent="0.3">
      <c r="A1029" s="6" t="s">
        <v>4831</v>
      </c>
      <c r="B1029" s="7" t="s">
        <v>4832</v>
      </c>
      <c r="C1029" s="17" t="s">
        <v>4833</v>
      </c>
      <c r="D1029" s="17"/>
      <c r="E1029" s="8">
        <v>18322</v>
      </c>
      <c r="F1029" s="9">
        <v>72</v>
      </c>
      <c r="G1029" s="6" t="s">
        <v>4834</v>
      </c>
      <c r="H1029" s="7" t="s">
        <v>39</v>
      </c>
      <c r="I1029" s="6" t="s">
        <v>47</v>
      </c>
      <c r="J1029" s="7" t="s">
        <v>20</v>
      </c>
      <c r="K1029" s="7" t="s">
        <v>26</v>
      </c>
      <c r="L1029" s="6"/>
      <c r="M1029" s="10">
        <v>5.3999999999999999E-2</v>
      </c>
      <c r="N1029" s="6" t="s">
        <v>4835</v>
      </c>
      <c r="O1029" s="11">
        <v>6224</v>
      </c>
      <c r="P1029" s="11"/>
      <c r="Q1029" s="18">
        <v>778</v>
      </c>
      <c r="R1029" s="19"/>
    </row>
    <row r="1030" spans="1:18" ht="43.2" hidden="1" x14ac:dyDescent="0.3">
      <c r="A1030" s="6" t="s">
        <v>4836</v>
      </c>
      <c r="B1030" s="7" t="s">
        <v>2516</v>
      </c>
      <c r="C1030" s="17" t="s">
        <v>4837</v>
      </c>
      <c r="D1030" s="17"/>
      <c r="E1030" s="8">
        <v>17501</v>
      </c>
      <c r="F1030" s="9">
        <v>75</v>
      </c>
      <c r="G1030" s="6" t="s">
        <v>4838</v>
      </c>
      <c r="H1030" s="7" t="s">
        <v>39</v>
      </c>
      <c r="I1030" s="6" t="s">
        <v>151</v>
      </c>
      <c r="J1030" s="7" t="s">
        <v>20</v>
      </c>
      <c r="K1030" s="7" t="s">
        <v>26</v>
      </c>
      <c r="L1030" s="6"/>
      <c r="M1030" s="10">
        <v>5.8200000000000002E-2</v>
      </c>
      <c r="N1030" s="6" t="s">
        <v>4839</v>
      </c>
      <c r="O1030" s="11">
        <v>20000</v>
      </c>
      <c r="P1030" s="11"/>
      <c r="Q1030" s="18">
        <v>2500</v>
      </c>
      <c r="R1030" s="19"/>
    </row>
    <row r="1031" spans="1:18" hidden="1" x14ac:dyDescent="0.3">
      <c r="A1031" s="6" t="s">
        <v>4840</v>
      </c>
      <c r="B1031" s="7" t="s">
        <v>4613</v>
      </c>
      <c r="C1031" s="17" t="s">
        <v>4841</v>
      </c>
      <c r="D1031" s="17"/>
      <c r="E1031" s="7" t="s">
        <v>4842</v>
      </c>
      <c r="F1031" s="9">
        <v>81</v>
      </c>
      <c r="G1031" s="6" t="s">
        <v>4843</v>
      </c>
      <c r="H1031" s="7" t="s">
        <v>25</v>
      </c>
      <c r="I1031" s="6" t="s">
        <v>19</v>
      </c>
      <c r="J1031" s="7" t="s">
        <v>20</v>
      </c>
      <c r="K1031" s="7" t="s">
        <v>26</v>
      </c>
      <c r="L1031" s="6"/>
      <c r="M1031" s="10">
        <v>7.0800000000000002E-2</v>
      </c>
      <c r="N1031" s="6" t="s">
        <v>4844</v>
      </c>
      <c r="O1031" s="6" t="s">
        <v>19</v>
      </c>
      <c r="P1031" s="6"/>
      <c r="Q1031" s="19" t="s">
        <v>19</v>
      </c>
      <c r="R1031" s="19"/>
    </row>
    <row r="1032" spans="1:18" ht="43.2" hidden="1" x14ac:dyDescent="0.3">
      <c r="A1032" s="6" t="s">
        <v>4845</v>
      </c>
      <c r="B1032" s="7" t="s">
        <v>4846</v>
      </c>
      <c r="C1032" s="17" t="s">
        <v>4847</v>
      </c>
      <c r="D1032" s="17"/>
      <c r="E1032" s="8">
        <v>15980</v>
      </c>
      <c r="F1032" s="9">
        <v>79</v>
      </c>
      <c r="G1032" s="6" t="s">
        <v>4848</v>
      </c>
      <c r="H1032" s="7" t="s">
        <v>39</v>
      </c>
      <c r="I1032" s="6" t="s">
        <v>106</v>
      </c>
      <c r="J1032" s="7" t="s">
        <v>20</v>
      </c>
      <c r="K1032" s="7" t="s">
        <v>26</v>
      </c>
      <c r="L1032" s="6"/>
      <c r="M1032" s="10">
        <v>6.5799999999999997E-2</v>
      </c>
      <c r="N1032" s="6" t="s">
        <v>4849</v>
      </c>
      <c r="O1032" s="11">
        <v>32000</v>
      </c>
      <c r="P1032" s="11"/>
      <c r="Q1032" s="18">
        <v>4000</v>
      </c>
      <c r="R1032" s="19"/>
    </row>
    <row r="1033" spans="1:18" hidden="1" x14ac:dyDescent="0.3">
      <c r="A1033" s="6" t="s">
        <v>4850</v>
      </c>
      <c r="B1033" s="7" t="s">
        <v>2565</v>
      </c>
      <c r="C1033" s="17" t="s">
        <v>4851</v>
      </c>
      <c r="D1033" s="17"/>
      <c r="E1033" s="7" t="s">
        <v>4852</v>
      </c>
      <c r="F1033" s="9">
        <v>84</v>
      </c>
      <c r="G1033" s="6" t="s">
        <v>4853</v>
      </c>
      <c r="H1033" s="7" t="s">
        <v>25</v>
      </c>
      <c r="I1033" s="6" t="s">
        <v>19</v>
      </c>
      <c r="J1033" s="7" t="s">
        <v>20</v>
      </c>
      <c r="K1033" s="7" t="s">
        <v>32</v>
      </c>
      <c r="L1033" s="6"/>
      <c r="M1033" s="10">
        <v>8.0799999999999997E-2</v>
      </c>
      <c r="N1033" s="6" t="s">
        <v>4854</v>
      </c>
      <c r="O1033" s="6" t="s">
        <v>19</v>
      </c>
      <c r="P1033" s="6"/>
      <c r="Q1033" s="19" t="s">
        <v>19</v>
      </c>
      <c r="R1033" s="19"/>
    </row>
    <row r="1034" spans="1:18" hidden="1" x14ac:dyDescent="0.3">
      <c r="A1034" s="6" t="s">
        <v>4855</v>
      </c>
      <c r="B1034" s="7" t="s">
        <v>2119</v>
      </c>
      <c r="C1034" s="17" t="s">
        <v>4856</v>
      </c>
      <c r="D1034" s="17"/>
      <c r="E1034" s="8">
        <v>18605</v>
      </c>
      <c r="F1034" s="9">
        <v>72</v>
      </c>
      <c r="G1034" s="6" t="s">
        <v>4857</v>
      </c>
      <c r="H1034" s="7" t="s">
        <v>25</v>
      </c>
      <c r="I1034" s="6"/>
      <c r="J1034" s="7" t="s">
        <v>20</v>
      </c>
      <c r="K1034" s="7" t="s">
        <v>26</v>
      </c>
      <c r="L1034" s="6"/>
      <c r="M1034" s="10">
        <v>5.3999999999999999E-2</v>
      </c>
      <c r="N1034" s="6" t="s">
        <v>4858</v>
      </c>
      <c r="O1034" s="11">
        <v>2278.56</v>
      </c>
      <c r="P1034" s="11"/>
      <c r="Q1034" s="18">
        <v>284.82</v>
      </c>
      <c r="R1034" s="19"/>
    </row>
    <row r="1035" spans="1:18" hidden="1" x14ac:dyDescent="0.3">
      <c r="A1035" s="6" t="s">
        <v>4859</v>
      </c>
      <c r="B1035" s="7" t="s">
        <v>493</v>
      </c>
      <c r="C1035" s="17" t="s">
        <v>4860</v>
      </c>
      <c r="D1035" s="17"/>
      <c r="E1035" s="8">
        <v>16545</v>
      </c>
      <c r="F1035" s="9">
        <v>77</v>
      </c>
      <c r="G1035" s="6" t="s">
        <v>4861</v>
      </c>
      <c r="H1035" s="7" t="s">
        <v>25</v>
      </c>
      <c r="I1035" s="6"/>
      <c r="J1035" s="7" t="s">
        <v>20</v>
      </c>
      <c r="K1035" s="7" t="s">
        <v>26</v>
      </c>
      <c r="L1035" s="6"/>
      <c r="M1035" s="10">
        <v>6.1699999999999998E-2</v>
      </c>
      <c r="N1035" s="6" t="s">
        <v>4862</v>
      </c>
      <c r="O1035" s="11">
        <v>10515.76</v>
      </c>
      <c r="P1035" s="11"/>
      <c r="Q1035" s="18">
        <v>1314.47</v>
      </c>
      <c r="R1035" s="19"/>
    </row>
    <row r="1036" spans="1:18" hidden="1" x14ac:dyDescent="0.3">
      <c r="A1036" s="6" t="s">
        <v>4863</v>
      </c>
      <c r="B1036" s="7" t="s">
        <v>29</v>
      </c>
      <c r="C1036" s="17" t="s">
        <v>4864</v>
      </c>
      <c r="D1036" s="17"/>
      <c r="E1036" s="7" t="s">
        <v>4865</v>
      </c>
      <c r="F1036" s="9">
        <v>79</v>
      </c>
      <c r="G1036" s="6" t="s">
        <v>4866</v>
      </c>
      <c r="H1036" s="7" t="s">
        <v>25</v>
      </c>
      <c r="I1036" s="6" t="s">
        <v>19</v>
      </c>
      <c r="J1036" s="7" t="s">
        <v>20</v>
      </c>
      <c r="K1036" s="7" t="s">
        <v>32</v>
      </c>
      <c r="L1036" s="6"/>
      <c r="M1036" s="10">
        <v>6.5799999999999997E-2</v>
      </c>
      <c r="N1036" s="6" t="s">
        <v>4867</v>
      </c>
      <c r="O1036" s="6" t="s">
        <v>19</v>
      </c>
      <c r="P1036" s="6"/>
      <c r="Q1036" s="19" t="s">
        <v>19</v>
      </c>
      <c r="R1036" s="19"/>
    </row>
    <row r="1037" spans="1:18" x14ac:dyDescent="0.3">
      <c r="A1037" s="6" t="s">
        <v>4868</v>
      </c>
      <c r="B1037" s="7" t="s">
        <v>3015</v>
      </c>
      <c r="C1037" s="17" t="s">
        <v>4869</v>
      </c>
      <c r="D1037" s="17"/>
      <c r="E1037" s="8">
        <v>17010</v>
      </c>
      <c r="F1037" s="9">
        <v>76</v>
      </c>
      <c r="G1037" s="6" t="s">
        <v>4870</v>
      </c>
      <c r="H1037" s="7" t="s">
        <v>25</v>
      </c>
      <c r="I1037" s="6"/>
      <c r="J1037" s="7" t="s">
        <v>41</v>
      </c>
      <c r="K1037" s="7" t="s">
        <v>26</v>
      </c>
      <c r="L1037" s="9">
        <v>75</v>
      </c>
      <c r="M1037" s="10">
        <v>5.8200000000000002E-2</v>
      </c>
      <c r="N1037" s="6" t="s">
        <v>4871</v>
      </c>
      <c r="O1037" s="11">
        <v>33707.040000000001</v>
      </c>
      <c r="P1037" s="11"/>
      <c r="Q1037" s="18">
        <v>2728.05</v>
      </c>
      <c r="R1037" s="19"/>
    </row>
    <row r="1038" spans="1:18" ht="43.2" hidden="1" x14ac:dyDescent="0.3">
      <c r="A1038" s="6" t="s">
        <v>4872</v>
      </c>
      <c r="B1038" s="7" t="s">
        <v>330</v>
      </c>
      <c r="C1038" s="17" t="s">
        <v>4869</v>
      </c>
      <c r="D1038" s="17"/>
      <c r="E1038" s="8">
        <v>17366</v>
      </c>
      <c r="F1038" s="9">
        <v>75</v>
      </c>
      <c r="G1038" s="6" t="s">
        <v>4873</v>
      </c>
      <c r="H1038" s="7" t="s">
        <v>39</v>
      </c>
      <c r="I1038" s="6" t="s">
        <v>106</v>
      </c>
      <c r="J1038" s="7" t="s">
        <v>20</v>
      </c>
      <c r="K1038" s="7" t="s">
        <v>26</v>
      </c>
      <c r="L1038" s="6"/>
      <c r="M1038" s="10">
        <v>5.8200000000000002E-2</v>
      </c>
      <c r="N1038" s="6" t="s">
        <v>4874</v>
      </c>
      <c r="O1038" s="11">
        <v>32000</v>
      </c>
      <c r="P1038" s="11"/>
      <c r="Q1038" s="18">
        <v>4000</v>
      </c>
      <c r="R1038" s="19"/>
    </row>
    <row r="1039" spans="1:18" ht="43.2" x14ac:dyDescent="0.3">
      <c r="A1039" s="6" t="s">
        <v>4875</v>
      </c>
      <c r="B1039" s="7" t="s">
        <v>240</v>
      </c>
      <c r="C1039" s="17" t="s">
        <v>4876</v>
      </c>
      <c r="D1039" s="17"/>
      <c r="E1039" s="8">
        <v>18028</v>
      </c>
      <c r="F1039" s="9">
        <v>73</v>
      </c>
      <c r="G1039" s="6" t="s">
        <v>4877</v>
      </c>
      <c r="H1039" s="7" t="s">
        <v>39</v>
      </c>
      <c r="I1039" s="6" t="s">
        <v>3746</v>
      </c>
      <c r="J1039" s="7" t="s">
        <v>41</v>
      </c>
      <c r="K1039" s="7" t="s">
        <v>26</v>
      </c>
      <c r="L1039" s="9">
        <v>69</v>
      </c>
      <c r="M1039" s="10">
        <v>4.7600000000000003E-2</v>
      </c>
      <c r="N1039" s="6" t="s">
        <v>4878</v>
      </c>
      <c r="O1039" s="11">
        <v>60000</v>
      </c>
      <c r="P1039" s="11"/>
      <c r="Q1039" s="18">
        <v>7500</v>
      </c>
      <c r="R1039" s="19"/>
    </row>
    <row r="1040" spans="1:18" hidden="1" x14ac:dyDescent="0.3">
      <c r="A1040" s="6" t="s">
        <v>4879</v>
      </c>
      <c r="B1040" s="7" t="s">
        <v>81</v>
      </c>
      <c r="C1040" s="17" t="s">
        <v>4880</v>
      </c>
      <c r="D1040" s="17"/>
      <c r="E1040" s="7" t="s">
        <v>4881</v>
      </c>
      <c r="F1040" s="9">
        <v>80</v>
      </c>
      <c r="G1040" s="6" t="s">
        <v>4882</v>
      </c>
      <c r="H1040" s="7" t="s">
        <v>25</v>
      </c>
      <c r="I1040" s="6" t="s">
        <v>19</v>
      </c>
      <c r="J1040" s="7" t="s">
        <v>20</v>
      </c>
      <c r="K1040" s="7" t="s">
        <v>32</v>
      </c>
      <c r="L1040" s="6"/>
      <c r="M1040" s="10">
        <v>6.8199999999999997E-2</v>
      </c>
      <c r="N1040" s="6" t="s">
        <v>4883</v>
      </c>
      <c r="O1040" s="6" t="s">
        <v>19</v>
      </c>
      <c r="P1040" s="6"/>
      <c r="Q1040" s="19" t="s">
        <v>19</v>
      </c>
      <c r="R1040" s="19"/>
    </row>
    <row r="1041" spans="1:18" ht="43.2" hidden="1" x14ac:dyDescent="0.3">
      <c r="A1041" s="6" t="s">
        <v>4884</v>
      </c>
      <c r="B1041" s="7" t="s">
        <v>330</v>
      </c>
      <c r="C1041" s="17" t="s">
        <v>4885</v>
      </c>
      <c r="D1041" s="17"/>
      <c r="E1041" s="8">
        <v>16961</v>
      </c>
      <c r="F1041" s="9">
        <v>76</v>
      </c>
      <c r="G1041" s="6" t="s">
        <v>4887</v>
      </c>
      <c r="H1041" s="7" t="s">
        <v>39</v>
      </c>
      <c r="I1041" s="6" t="s">
        <v>4888</v>
      </c>
      <c r="J1041" s="7" t="s">
        <v>20</v>
      </c>
      <c r="K1041" s="7" t="s">
        <v>26</v>
      </c>
      <c r="L1041" s="6"/>
      <c r="M1041" s="10">
        <v>5.9799999999999999E-2</v>
      </c>
      <c r="N1041" s="6" t="s">
        <v>4889</v>
      </c>
      <c r="O1041" s="11">
        <v>68827.81</v>
      </c>
      <c r="P1041" s="11"/>
      <c r="Q1041" s="18">
        <v>2763.59</v>
      </c>
      <c r="R1041" s="19"/>
    </row>
    <row r="1042" spans="1:18" ht="43.2" hidden="1" x14ac:dyDescent="0.3">
      <c r="A1042" s="6" t="s">
        <v>4890</v>
      </c>
      <c r="B1042" s="7" t="s">
        <v>830</v>
      </c>
      <c r="C1042" s="17" t="s">
        <v>4891</v>
      </c>
      <c r="D1042" s="17"/>
      <c r="E1042" s="8">
        <v>17833</v>
      </c>
      <c r="F1042" s="9">
        <v>74</v>
      </c>
      <c r="G1042" s="6" t="s">
        <v>4892</v>
      </c>
      <c r="H1042" s="7" t="s">
        <v>39</v>
      </c>
      <c r="I1042" s="6" t="s">
        <v>122</v>
      </c>
      <c r="J1042" s="7" t="s">
        <v>20</v>
      </c>
      <c r="K1042" s="7" t="s">
        <v>26</v>
      </c>
      <c r="L1042" s="6"/>
      <c r="M1042" s="10">
        <v>5.67E-2</v>
      </c>
      <c r="N1042" s="6" t="s">
        <v>4893</v>
      </c>
      <c r="O1042" s="11">
        <v>16000</v>
      </c>
      <c r="P1042" s="11"/>
      <c r="Q1042" s="18">
        <v>2000</v>
      </c>
      <c r="R1042" s="19"/>
    </row>
    <row r="1043" spans="1:18" ht="43.2" hidden="1" x14ac:dyDescent="0.3">
      <c r="A1043" s="6" t="s">
        <v>4894</v>
      </c>
      <c r="B1043" s="7" t="s">
        <v>140</v>
      </c>
      <c r="C1043" s="17" t="s">
        <v>4895</v>
      </c>
      <c r="D1043" s="17"/>
      <c r="E1043" s="8">
        <v>17222</v>
      </c>
      <c r="F1043" s="9">
        <v>75</v>
      </c>
      <c r="G1043" s="6" t="s">
        <v>4896</v>
      </c>
      <c r="H1043" s="7" t="s">
        <v>39</v>
      </c>
      <c r="I1043" s="6" t="s">
        <v>40</v>
      </c>
      <c r="J1043" s="7" t="s">
        <v>20</v>
      </c>
      <c r="K1043" s="7" t="s">
        <v>26</v>
      </c>
      <c r="L1043" s="6"/>
      <c r="M1043" s="10">
        <v>5.8200000000000002E-2</v>
      </c>
      <c r="N1043" s="6" t="s">
        <v>4897</v>
      </c>
      <c r="O1043" s="11">
        <v>34000</v>
      </c>
      <c r="P1043" s="11"/>
      <c r="Q1043" s="18">
        <v>3000</v>
      </c>
      <c r="R1043" s="19"/>
    </row>
    <row r="1044" spans="1:18" ht="43.2" hidden="1" x14ac:dyDescent="0.3">
      <c r="A1044" s="6" t="s">
        <v>4898</v>
      </c>
      <c r="B1044" s="7" t="s">
        <v>401</v>
      </c>
      <c r="C1044" s="17" t="s">
        <v>4895</v>
      </c>
      <c r="D1044" s="17"/>
      <c r="E1044" s="8">
        <v>18380</v>
      </c>
      <c r="F1044" s="9">
        <v>72</v>
      </c>
      <c r="G1044" s="6" t="s">
        <v>4899</v>
      </c>
      <c r="H1044" s="7" t="s">
        <v>39</v>
      </c>
      <c r="I1044" s="6" t="s">
        <v>89</v>
      </c>
      <c r="J1044" s="7" t="s">
        <v>20</v>
      </c>
      <c r="K1044" s="7" t="s">
        <v>26</v>
      </c>
      <c r="L1044" s="6"/>
      <c r="M1044" s="10">
        <v>5.3999999999999999E-2</v>
      </c>
      <c r="N1044" s="6" t="s">
        <v>4900</v>
      </c>
      <c r="O1044" s="11">
        <v>9600</v>
      </c>
      <c r="P1044" s="11"/>
      <c r="Q1044" s="18">
        <v>1200</v>
      </c>
      <c r="R1044" s="19"/>
    </row>
    <row r="1045" spans="1:18" ht="43.2" hidden="1" x14ac:dyDescent="0.3">
      <c r="A1045" s="6" t="s">
        <v>4901</v>
      </c>
      <c r="B1045" s="7" t="s">
        <v>4291</v>
      </c>
      <c r="C1045" s="17" t="s">
        <v>4902</v>
      </c>
      <c r="D1045" s="17"/>
      <c r="E1045" s="8">
        <v>18300</v>
      </c>
      <c r="F1045" s="9">
        <v>72</v>
      </c>
      <c r="G1045" s="6" t="s">
        <v>4903</v>
      </c>
      <c r="H1045" s="7" t="s">
        <v>39</v>
      </c>
      <c r="I1045" s="6" t="s">
        <v>4904</v>
      </c>
      <c r="J1045" s="7" t="s">
        <v>20</v>
      </c>
      <c r="K1045" s="7" t="s">
        <v>26</v>
      </c>
      <c r="L1045" s="6"/>
      <c r="M1045" s="10">
        <v>5.3999999999999999E-2</v>
      </c>
      <c r="N1045" s="6" t="s">
        <v>4905</v>
      </c>
      <c r="O1045" s="11">
        <v>69600</v>
      </c>
      <c r="P1045" s="11"/>
      <c r="Q1045" s="18">
        <v>408.16</v>
      </c>
      <c r="R1045" s="19"/>
    </row>
    <row r="1046" spans="1:18" x14ac:dyDescent="0.3">
      <c r="A1046" s="6" t="s">
        <v>4906</v>
      </c>
      <c r="B1046" s="7" t="s">
        <v>330</v>
      </c>
      <c r="C1046" s="17" t="s">
        <v>4907</v>
      </c>
      <c r="D1046" s="17"/>
      <c r="E1046" s="8">
        <v>18369</v>
      </c>
      <c r="F1046" s="9">
        <v>72</v>
      </c>
      <c r="G1046" s="6" t="s">
        <v>4908</v>
      </c>
      <c r="H1046" s="7" t="s">
        <v>25</v>
      </c>
      <c r="I1046" s="6"/>
      <c r="J1046" s="7" t="s">
        <v>41</v>
      </c>
      <c r="K1046" s="7" t="s">
        <v>26</v>
      </c>
      <c r="L1046" s="9">
        <v>71</v>
      </c>
      <c r="M1046" s="10">
        <v>5.28E-2</v>
      </c>
      <c r="N1046" s="6" t="s">
        <v>4909</v>
      </c>
      <c r="O1046" s="11">
        <v>15699.92</v>
      </c>
      <c r="P1046" s="11"/>
      <c r="Q1046" s="18">
        <v>2.97</v>
      </c>
      <c r="R1046" s="19"/>
    </row>
    <row r="1047" spans="1:18" hidden="1" x14ac:dyDescent="0.3">
      <c r="A1047" s="6" t="s">
        <v>4910</v>
      </c>
      <c r="B1047" s="7" t="s">
        <v>29</v>
      </c>
      <c r="C1047" s="17" t="s">
        <v>4911</v>
      </c>
      <c r="D1047" s="17"/>
      <c r="E1047" s="8">
        <v>18358</v>
      </c>
      <c r="F1047" s="9">
        <v>72</v>
      </c>
      <c r="G1047" s="6" t="s">
        <v>4912</v>
      </c>
      <c r="H1047" s="7" t="s">
        <v>25</v>
      </c>
      <c r="I1047" s="6"/>
      <c r="J1047" s="7" t="s">
        <v>20</v>
      </c>
      <c r="K1047" s="7" t="s">
        <v>26</v>
      </c>
      <c r="L1047" s="6"/>
      <c r="M1047" s="10">
        <v>5.3999999999999999E-2</v>
      </c>
      <c r="N1047" s="6" t="s">
        <v>4913</v>
      </c>
      <c r="O1047" s="11">
        <v>31931.360000000001</v>
      </c>
      <c r="P1047" s="11"/>
      <c r="Q1047" s="18">
        <v>95.51</v>
      </c>
      <c r="R1047" s="19"/>
    </row>
    <row r="1048" spans="1:18" hidden="1" x14ac:dyDescent="0.3">
      <c r="A1048" s="6" t="s">
        <v>4914</v>
      </c>
      <c r="B1048" s="7" t="s">
        <v>4714</v>
      </c>
      <c r="C1048" s="17" t="s">
        <v>4911</v>
      </c>
      <c r="D1048" s="17"/>
      <c r="E1048" s="7" t="s">
        <v>4915</v>
      </c>
      <c r="F1048" s="9">
        <v>82</v>
      </c>
      <c r="G1048" s="6" t="s">
        <v>4916</v>
      </c>
      <c r="H1048" s="7" t="s">
        <v>25</v>
      </c>
      <c r="I1048" s="6" t="s">
        <v>19</v>
      </c>
      <c r="J1048" s="7" t="s">
        <v>20</v>
      </c>
      <c r="K1048" s="7" t="s">
        <v>26</v>
      </c>
      <c r="L1048" s="6"/>
      <c r="M1048" s="10">
        <v>7.3800000000000004E-2</v>
      </c>
      <c r="N1048" s="6" t="s">
        <v>4917</v>
      </c>
      <c r="O1048" s="6" t="s">
        <v>19</v>
      </c>
      <c r="P1048" s="6"/>
      <c r="Q1048" s="19" t="s">
        <v>19</v>
      </c>
      <c r="R1048" s="19"/>
    </row>
    <row r="1049" spans="1:18" x14ac:dyDescent="0.3">
      <c r="A1049" s="6" t="s">
        <v>4918</v>
      </c>
      <c r="B1049" s="7" t="s">
        <v>2405</v>
      </c>
      <c r="C1049" s="17" t="s">
        <v>4911</v>
      </c>
      <c r="D1049" s="17"/>
      <c r="E1049" s="8">
        <v>15532</v>
      </c>
      <c r="F1049" s="9">
        <v>80</v>
      </c>
      <c r="G1049" s="6" t="s">
        <v>4919</v>
      </c>
      <c r="H1049" s="7" t="s">
        <v>25</v>
      </c>
      <c r="I1049" s="6"/>
      <c r="J1049" s="7" t="s">
        <v>41</v>
      </c>
      <c r="K1049" s="7" t="s">
        <v>32</v>
      </c>
      <c r="L1049" s="9">
        <v>78</v>
      </c>
      <c r="M1049" s="10">
        <v>6.3600000000000004E-2</v>
      </c>
      <c r="N1049" s="6" t="s">
        <v>4920</v>
      </c>
      <c r="O1049" s="11">
        <v>4143.1499999999996</v>
      </c>
      <c r="P1049" s="11"/>
      <c r="Q1049" s="18">
        <v>4143.1499999999996</v>
      </c>
      <c r="R1049" s="19"/>
    </row>
    <row r="1050" spans="1:18" ht="43.2" hidden="1" x14ac:dyDescent="0.3">
      <c r="A1050" s="6" t="s">
        <v>4921</v>
      </c>
      <c r="B1050" s="7" t="s">
        <v>918</v>
      </c>
      <c r="C1050" s="17" t="s">
        <v>4911</v>
      </c>
      <c r="D1050" s="17"/>
      <c r="E1050" s="8">
        <v>18461</v>
      </c>
      <c r="F1050" s="9">
        <v>72</v>
      </c>
      <c r="G1050" s="6" t="s">
        <v>4922</v>
      </c>
      <c r="H1050" s="7" t="s">
        <v>39</v>
      </c>
      <c r="I1050" s="6" t="s">
        <v>122</v>
      </c>
      <c r="J1050" s="7" t="s">
        <v>20</v>
      </c>
      <c r="K1050" s="7" t="s">
        <v>26</v>
      </c>
      <c r="L1050" s="6"/>
      <c r="M1050" s="10">
        <v>5.3999999999999999E-2</v>
      </c>
      <c r="N1050" s="6" t="s">
        <v>4923</v>
      </c>
      <c r="O1050" s="11">
        <v>16000</v>
      </c>
      <c r="P1050" s="11"/>
      <c r="Q1050" s="18">
        <v>2000</v>
      </c>
      <c r="R1050" s="19"/>
    </row>
    <row r="1051" spans="1:18" ht="43.2" x14ac:dyDescent="0.3">
      <c r="A1051" s="6" t="s">
        <v>4924</v>
      </c>
      <c r="B1051" s="7" t="s">
        <v>2575</v>
      </c>
      <c r="C1051" s="17" t="s">
        <v>4925</v>
      </c>
      <c r="D1051" s="17"/>
      <c r="E1051" s="8">
        <v>16370</v>
      </c>
      <c r="F1051" s="9">
        <v>78</v>
      </c>
      <c r="G1051" s="6" t="s">
        <v>4926</v>
      </c>
      <c r="H1051" s="7" t="s">
        <v>39</v>
      </c>
      <c r="I1051" s="6" t="s">
        <v>533</v>
      </c>
      <c r="J1051" s="7" t="s">
        <v>41</v>
      </c>
      <c r="K1051" s="7" t="s">
        <v>32</v>
      </c>
      <c r="L1051" s="9">
        <v>75</v>
      </c>
      <c r="M1051" s="10">
        <v>5.8200000000000002E-2</v>
      </c>
      <c r="N1051" s="6" t="s">
        <v>4927</v>
      </c>
      <c r="O1051" s="11">
        <v>10000</v>
      </c>
      <c r="P1051" s="11"/>
      <c r="Q1051" s="18">
        <v>10000</v>
      </c>
      <c r="R1051" s="19"/>
    </row>
    <row r="1052" spans="1:18" hidden="1" x14ac:dyDescent="0.3">
      <c r="A1052" s="6" t="s">
        <v>4928</v>
      </c>
      <c r="B1052" s="7" t="s">
        <v>2751</v>
      </c>
      <c r="C1052" s="17" t="s">
        <v>4925</v>
      </c>
      <c r="D1052" s="17"/>
      <c r="E1052" s="7" t="s">
        <v>4929</v>
      </c>
      <c r="F1052" s="9">
        <v>75</v>
      </c>
      <c r="G1052" s="6" t="s">
        <v>4930</v>
      </c>
      <c r="H1052" s="7" t="s">
        <v>25</v>
      </c>
      <c r="I1052" s="6" t="s">
        <v>19</v>
      </c>
      <c r="J1052" s="7" t="s">
        <v>20</v>
      </c>
      <c r="K1052" s="7" t="s">
        <v>26</v>
      </c>
      <c r="L1052" s="6"/>
      <c r="M1052" s="10">
        <v>5.8200000000000002E-2</v>
      </c>
      <c r="N1052" s="6" t="s">
        <v>4931</v>
      </c>
      <c r="O1052" s="6" t="s">
        <v>19</v>
      </c>
      <c r="P1052" s="6"/>
      <c r="Q1052" s="19" t="s">
        <v>19</v>
      </c>
      <c r="R1052" s="19"/>
    </row>
    <row r="1053" spans="1:18" ht="43.2" hidden="1" x14ac:dyDescent="0.3">
      <c r="A1053" s="6" t="s">
        <v>4932</v>
      </c>
      <c r="B1053" s="7" t="s">
        <v>210</v>
      </c>
      <c r="C1053" s="17" t="s">
        <v>4933</v>
      </c>
      <c r="D1053" s="17"/>
      <c r="E1053" s="8">
        <v>17416</v>
      </c>
      <c r="F1053" s="9">
        <v>75</v>
      </c>
      <c r="G1053" s="6" t="s">
        <v>4934</v>
      </c>
      <c r="H1053" s="7" t="s">
        <v>39</v>
      </c>
      <c r="I1053" s="6" t="s">
        <v>151</v>
      </c>
      <c r="J1053" s="7" t="s">
        <v>20</v>
      </c>
      <c r="K1053" s="7" t="s">
        <v>26</v>
      </c>
      <c r="L1053" s="6"/>
      <c r="M1053" s="10">
        <v>5.8200000000000002E-2</v>
      </c>
      <c r="N1053" s="6" t="s">
        <v>4935</v>
      </c>
      <c r="O1053" s="11">
        <v>20000</v>
      </c>
      <c r="P1053" s="11"/>
      <c r="Q1053" s="18">
        <v>2500</v>
      </c>
      <c r="R1053" s="19"/>
    </row>
    <row r="1054" spans="1:18" ht="43.2" hidden="1" x14ac:dyDescent="0.3">
      <c r="A1054" s="6" t="s">
        <v>4936</v>
      </c>
      <c r="B1054" s="7" t="s">
        <v>4937</v>
      </c>
      <c r="C1054" s="17" t="s">
        <v>4938</v>
      </c>
      <c r="D1054" s="17"/>
      <c r="E1054" s="8">
        <v>18223</v>
      </c>
      <c r="F1054" s="9">
        <v>73</v>
      </c>
      <c r="G1054" s="6" t="s">
        <v>4939</v>
      </c>
      <c r="H1054" s="7" t="s">
        <v>39</v>
      </c>
      <c r="I1054" s="6" t="s">
        <v>144</v>
      </c>
      <c r="J1054" s="7" t="s">
        <v>20</v>
      </c>
      <c r="K1054" s="7" t="s">
        <v>26</v>
      </c>
      <c r="L1054" s="6"/>
      <c r="M1054" s="10">
        <v>5.5300000000000002E-2</v>
      </c>
      <c r="N1054" s="6" t="s">
        <v>4940</v>
      </c>
      <c r="O1054" s="11">
        <v>40000</v>
      </c>
      <c r="P1054" s="11"/>
      <c r="Q1054" s="18">
        <v>5000</v>
      </c>
      <c r="R1054" s="19"/>
    </row>
    <row r="1055" spans="1:18" hidden="1" x14ac:dyDescent="0.3">
      <c r="A1055" s="6" t="s">
        <v>4941</v>
      </c>
      <c r="B1055" s="7" t="s">
        <v>640</v>
      </c>
      <c r="C1055" s="17" t="s">
        <v>4942</v>
      </c>
      <c r="D1055" s="17"/>
      <c r="E1055" s="7" t="s">
        <v>4943</v>
      </c>
      <c r="F1055" s="9">
        <v>72</v>
      </c>
      <c r="G1055" s="6" t="s">
        <v>4944</v>
      </c>
      <c r="H1055" s="7" t="s">
        <v>25</v>
      </c>
      <c r="I1055" s="6" t="s">
        <v>19</v>
      </c>
      <c r="J1055" s="7" t="s">
        <v>20</v>
      </c>
      <c r="K1055" s="7" t="s">
        <v>26</v>
      </c>
      <c r="L1055" s="6"/>
      <c r="M1055" s="10">
        <v>5.3999999999999999E-2</v>
      </c>
      <c r="N1055" s="6" t="s">
        <v>4945</v>
      </c>
      <c r="O1055" s="6" t="s">
        <v>19</v>
      </c>
      <c r="P1055" s="6"/>
      <c r="Q1055" s="19" t="s">
        <v>19</v>
      </c>
      <c r="R1055" s="19"/>
    </row>
    <row r="1056" spans="1:18" ht="43.2" hidden="1" x14ac:dyDescent="0.3">
      <c r="A1056" s="6" t="s">
        <v>4946</v>
      </c>
      <c r="B1056" s="7" t="s">
        <v>22</v>
      </c>
      <c r="C1056" s="17" t="s">
        <v>4947</v>
      </c>
      <c r="D1056" s="17"/>
      <c r="E1056" s="8">
        <v>17626</v>
      </c>
      <c r="F1056" s="9">
        <v>74</v>
      </c>
      <c r="G1056" s="6" t="s">
        <v>4948</v>
      </c>
      <c r="H1056" s="7" t="s">
        <v>39</v>
      </c>
      <c r="I1056" s="6" t="s">
        <v>4949</v>
      </c>
      <c r="J1056" s="7" t="s">
        <v>20</v>
      </c>
      <c r="K1056" s="7" t="s">
        <v>26</v>
      </c>
      <c r="L1056" s="6"/>
      <c r="M1056" s="10">
        <v>5.67E-2</v>
      </c>
      <c r="N1056" s="6" t="s">
        <v>4950</v>
      </c>
      <c r="O1056" s="11">
        <v>10800</v>
      </c>
      <c r="P1056" s="11"/>
      <c r="Q1056" s="18">
        <v>1350</v>
      </c>
      <c r="R1056" s="19"/>
    </row>
    <row r="1057" spans="1:18" hidden="1" x14ac:dyDescent="0.3">
      <c r="A1057" s="6" t="s">
        <v>4951</v>
      </c>
      <c r="B1057" s="7" t="s">
        <v>4502</v>
      </c>
      <c r="C1057" s="17" t="s">
        <v>4952</v>
      </c>
      <c r="D1057" s="17"/>
      <c r="E1057" s="8">
        <v>17681</v>
      </c>
      <c r="F1057" s="9">
        <v>74</v>
      </c>
      <c r="G1057" s="6" t="s">
        <v>4953</v>
      </c>
      <c r="H1057" s="7" t="s">
        <v>25</v>
      </c>
      <c r="I1057" s="6"/>
      <c r="J1057" s="7" t="s">
        <v>20</v>
      </c>
      <c r="K1057" s="7" t="s">
        <v>26</v>
      </c>
      <c r="L1057" s="6"/>
      <c r="M1057" s="10">
        <v>5.67E-2</v>
      </c>
      <c r="N1057" s="6" t="s">
        <v>4954</v>
      </c>
      <c r="O1057" s="11">
        <v>30000</v>
      </c>
      <c r="P1057" s="11"/>
      <c r="Q1057" s="18">
        <v>30000</v>
      </c>
      <c r="R1057" s="19"/>
    </row>
    <row r="1058" spans="1:18" ht="43.2" x14ac:dyDescent="0.3">
      <c r="A1058" s="6" t="s">
        <v>4955</v>
      </c>
      <c r="B1058" s="7" t="s">
        <v>830</v>
      </c>
      <c r="C1058" s="17" t="s">
        <v>4956</v>
      </c>
      <c r="D1058" s="17"/>
      <c r="E1058" s="8">
        <v>16622</v>
      </c>
      <c r="F1058" s="9">
        <v>77</v>
      </c>
      <c r="G1058" s="6" t="s">
        <v>4957</v>
      </c>
      <c r="H1058" s="7" t="s">
        <v>39</v>
      </c>
      <c r="I1058" s="6" t="s">
        <v>3236</v>
      </c>
      <c r="J1058" s="7" t="s">
        <v>41</v>
      </c>
      <c r="K1058" s="7" t="s">
        <v>26</v>
      </c>
      <c r="L1058" s="9">
        <v>75</v>
      </c>
      <c r="M1058" s="10">
        <v>5.8200000000000002E-2</v>
      </c>
      <c r="N1058" s="6" t="s">
        <v>4958</v>
      </c>
      <c r="O1058" s="11">
        <v>74400</v>
      </c>
      <c r="P1058" s="11"/>
      <c r="Q1058" s="18">
        <v>6800</v>
      </c>
      <c r="R1058" s="19"/>
    </row>
    <row r="1059" spans="1:18" ht="43.2" x14ac:dyDescent="0.3">
      <c r="A1059" s="6" t="s">
        <v>4959</v>
      </c>
      <c r="B1059" s="7" t="s">
        <v>830</v>
      </c>
      <c r="C1059" s="17" t="s">
        <v>4960</v>
      </c>
      <c r="D1059" s="17"/>
      <c r="E1059" s="8">
        <v>16917</v>
      </c>
      <c r="F1059" s="9">
        <v>76</v>
      </c>
      <c r="G1059" s="6" t="s">
        <v>4961</v>
      </c>
      <c r="H1059" s="7" t="s">
        <v>39</v>
      </c>
      <c r="I1059" s="6" t="s">
        <v>4962</v>
      </c>
      <c r="J1059" s="7" t="s">
        <v>41</v>
      </c>
      <c r="K1059" s="7" t="s">
        <v>26</v>
      </c>
      <c r="L1059" s="9">
        <v>60</v>
      </c>
      <c r="M1059" s="10">
        <v>3.3300000000000003E-2</v>
      </c>
      <c r="N1059" s="6" t="s">
        <v>4963</v>
      </c>
      <c r="O1059" s="11">
        <v>49000</v>
      </c>
      <c r="P1059" s="11"/>
      <c r="Q1059" s="18">
        <v>6500</v>
      </c>
      <c r="R1059" s="19"/>
    </row>
    <row r="1060" spans="1:18" ht="43.2" hidden="1" x14ac:dyDescent="0.3">
      <c r="A1060" s="6" t="s">
        <v>4964</v>
      </c>
      <c r="B1060" s="7" t="s">
        <v>3456</v>
      </c>
      <c r="C1060" s="17" t="s">
        <v>4965</v>
      </c>
      <c r="D1060" s="17"/>
      <c r="E1060" s="8">
        <v>17314</v>
      </c>
      <c r="F1060" s="9">
        <v>75</v>
      </c>
      <c r="G1060" s="6" t="s">
        <v>4966</v>
      </c>
      <c r="H1060" s="7" t="s">
        <v>39</v>
      </c>
      <c r="I1060" s="6" t="s">
        <v>4967</v>
      </c>
      <c r="J1060" s="7" t="s">
        <v>20</v>
      </c>
      <c r="K1060" s="7" t="s">
        <v>26</v>
      </c>
      <c r="L1060" s="6"/>
      <c r="M1060" s="10">
        <v>5.8200000000000002E-2</v>
      </c>
      <c r="N1060" s="6" t="s">
        <v>4968</v>
      </c>
      <c r="O1060" s="11">
        <v>34400</v>
      </c>
      <c r="P1060" s="11"/>
      <c r="Q1060" s="18">
        <v>4300</v>
      </c>
      <c r="R1060" s="19"/>
    </row>
    <row r="1061" spans="1:18" hidden="1" x14ac:dyDescent="0.3">
      <c r="A1061" s="6" t="s">
        <v>4969</v>
      </c>
      <c r="B1061" s="7" t="s">
        <v>2306</v>
      </c>
      <c r="C1061" s="17" t="s">
        <v>4970</v>
      </c>
      <c r="D1061" s="17"/>
      <c r="E1061" s="7" t="s">
        <v>605</v>
      </c>
      <c r="F1061" s="9">
        <v>72</v>
      </c>
      <c r="G1061" s="6" t="s">
        <v>4971</v>
      </c>
      <c r="H1061" s="7" t="s">
        <v>25</v>
      </c>
      <c r="I1061" s="6" t="s">
        <v>19</v>
      </c>
      <c r="J1061" s="7" t="s">
        <v>41</v>
      </c>
      <c r="K1061" s="7" t="s">
        <v>32</v>
      </c>
      <c r="L1061" s="9">
        <v>71</v>
      </c>
      <c r="M1061" s="10">
        <v>5.28E-2</v>
      </c>
      <c r="N1061" s="6" t="s">
        <v>4972</v>
      </c>
      <c r="O1061" s="6" t="s">
        <v>19</v>
      </c>
      <c r="P1061" s="6"/>
      <c r="Q1061" s="19" t="s">
        <v>19</v>
      </c>
      <c r="R1061" s="19"/>
    </row>
    <row r="1062" spans="1:18" ht="43.2" hidden="1" x14ac:dyDescent="0.3">
      <c r="A1062" s="6" t="s">
        <v>4973</v>
      </c>
      <c r="B1062" s="7" t="s">
        <v>3259</v>
      </c>
      <c r="C1062" s="17" t="s">
        <v>4974</v>
      </c>
      <c r="D1062" s="17"/>
      <c r="E1062" s="8">
        <v>18508</v>
      </c>
      <c r="F1062" s="9">
        <v>72</v>
      </c>
      <c r="G1062" s="6" t="s">
        <v>4975</v>
      </c>
      <c r="H1062" s="7" t="s">
        <v>39</v>
      </c>
      <c r="I1062" s="6" t="s">
        <v>728</v>
      </c>
      <c r="J1062" s="7" t="s">
        <v>20</v>
      </c>
      <c r="K1062" s="7" t="s">
        <v>26</v>
      </c>
      <c r="L1062" s="6"/>
      <c r="M1062" s="10">
        <v>5.3999999999999999E-2</v>
      </c>
      <c r="N1062" s="6" t="s">
        <v>4976</v>
      </c>
      <c r="O1062" s="11">
        <v>28000</v>
      </c>
      <c r="P1062" s="11"/>
      <c r="Q1062" s="18">
        <v>3500</v>
      </c>
      <c r="R1062" s="19"/>
    </row>
    <row r="1063" spans="1:18" x14ac:dyDescent="0.3">
      <c r="A1063" s="6" t="s">
        <v>4977</v>
      </c>
      <c r="B1063" s="7" t="s">
        <v>859</v>
      </c>
      <c r="C1063" s="17" t="s">
        <v>4978</v>
      </c>
      <c r="D1063" s="17"/>
      <c r="E1063" s="8">
        <v>15891</v>
      </c>
      <c r="F1063" s="9">
        <v>79</v>
      </c>
      <c r="G1063" s="6" t="s">
        <v>4979</v>
      </c>
      <c r="H1063" s="7" t="s">
        <v>25</v>
      </c>
      <c r="I1063" s="6"/>
      <c r="J1063" s="7" t="s">
        <v>41</v>
      </c>
      <c r="K1063" s="7" t="s">
        <v>32</v>
      </c>
      <c r="L1063" s="9">
        <v>76</v>
      </c>
      <c r="M1063" s="10">
        <v>5.9799999999999999E-2</v>
      </c>
      <c r="N1063" s="6" t="s">
        <v>4980</v>
      </c>
      <c r="O1063" s="11">
        <v>965.13</v>
      </c>
      <c r="P1063" s="11"/>
      <c r="Q1063" s="18">
        <v>965.13</v>
      </c>
      <c r="R1063" s="19"/>
    </row>
    <row r="1064" spans="1:18" ht="43.2" hidden="1" x14ac:dyDescent="0.3">
      <c r="A1064" s="6" t="s">
        <v>4981</v>
      </c>
      <c r="B1064" s="7" t="s">
        <v>22</v>
      </c>
      <c r="C1064" s="17" t="s">
        <v>4982</v>
      </c>
      <c r="D1064" s="17"/>
      <c r="E1064" s="8">
        <v>17974</v>
      </c>
      <c r="F1064" s="9">
        <v>73</v>
      </c>
      <c r="G1064" s="6" t="s">
        <v>4983</v>
      </c>
      <c r="H1064" s="7" t="s">
        <v>39</v>
      </c>
      <c r="I1064" s="6" t="s">
        <v>4984</v>
      </c>
      <c r="J1064" s="7" t="s">
        <v>20</v>
      </c>
      <c r="K1064" s="7" t="s">
        <v>26</v>
      </c>
      <c r="L1064" s="6"/>
      <c r="M1064" s="10">
        <v>5.5300000000000002E-2</v>
      </c>
      <c r="N1064" s="6" t="s">
        <v>4985</v>
      </c>
      <c r="O1064" s="11">
        <v>12080</v>
      </c>
      <c r="P1064" s="11"/>
      <c r="Q1064" s="18">
        <v>1510</v>
      </c>
      <c r="R1064" s="19"/>
    </row>
    <row r="1065" spans="1:18" hidden="1" x14ac:dyDescent="0.3">
      <c r="A1065" s="6" t="s">
        <v>4986</v>
      </c>
      <c r="B1065" s="7" t="s">
        <v>4987</v>
      </c>
      <c r="C1065" s="17" t="s">
        <v>4982</v>
      </c>
      <c r="D1065" s="17"/>
      <c r="E1065" s="7" t="s">
        <v>4988</v>
      </c>
      <c r="F1065" s="9">
        <v>75</v>
      </c>
      <c r="G1065" s="6" t="s">
        <v>4989</v>
      </c>
      <c r="H1065" s="7" t="s">
        <v>25</v>
      </c>
      <c r="I1065" s="6" t="s">
        <v>19</v>
      </c>
      <c r="J1065" s="7" t="s">
        <v>41</v>
      </c>
      <c r="K1065" s="7" t="s">
        <v>32</v>
      </c>
      <c r="L1065" s="9">
        <v>73</v>
      </c>
      <c r="M1065" s="10">
        <v>5.5300000000000002E-2</v>
      </c>
      <c r="N1065" s="6" t="s">
        <v>4990</v>
      </c>
      <c r="O1065" s="6" t="s">
        <v>19</v>
      </c>
      <c r="P1065" s="6"/>
      <c r="Q1065" s="19" t="s">
        <v>19</v>
      </c>
      <c r="R1065" s="19"/>
    </row>
    <row r="1066" spans="1:18" x14ac:dyDescent="0.3">
      <c r="A1066" s="6" t="s">
        <v>4991</v>
      </c>
      <c r="B1066" s="7" t="s">
        <v>195</v>
      </c>
      <c r="C1066" s="17" t="s">
        <v>4992</v>
      </c>
      <c r="D1066" s="17"/>
      <c r="E1066" s="8">
        <v>17020</v>
      </c>
      <c r="F1066" s="9">
        <v>76</v>
      </c>
      <c r="G1066" s="6" t="s">
        <v>4993</v>
      </c>
      <c r="H1066" s="7" t="s">
        <v>25</v>
      </c>
      <c r="I1066" s="6"/>
      <c r="J1066" s="7" t="s">
        <v>41</v>
      </c>
      <c r="K1066" s="7" t="s">
        <v>32</v>
      </c>
      <c r="L1066" s="9">
        <v>75</v>
      </c>
      <c r="M1066" s="10">
        <v>5.8200000000000002E-2</v>
      </c>
      <c r="N1066" s="6" t="s">
        <v>4994</v>
      </c>
      <c r="O1066" s="11">
        <v>3074.66</v>
      </c>
      <c r="P1066" s="11"/>
      <c r="Q1066" s="18">
        <v>3074.66</v>
      </c>
      <c r="R1066" s="19"/>
    </row>
    <row r="1067" spans="1:18" x14ac:dyDescent="0.3">
      <c r="A1067" s="6" t="s">
        <v>4995</v>
      </c>
      <c r="B1067" s="7" t="s">
        <v>4996</v>
      </c>
      <c r="C1067" s="17" t="s">
        <v>4997</v>
      </c>
      <c r="D1067" s="17"/>
      <c r="E1067" s="8">
        <v>17081</v>
      </c>
      <c r="F1067" s="9">
        <v>76</v>
      </c>
      <c r="G1067" s="6" t="s">
        <v>4998</v>
      </c>
      <c r="H1067" s="7" t="s">
        <v>25</v>
      </c>
      <c r="I1067" s="6"/>
      <c r="J1067" s="7" t="s">
        <v>41</v>
      </c>
      <c r="K1067" s="7" t="s">
        <v>26</v>
      </c>
      <c r="L1067" s="9">
        <v>75</v>
      </c>
      <c r="M1067" s="10">
        <v>5.8200000000000002E-2</v>
      </c>
      <c r="N1067" s="6" t="s">
        <v>4999</v>
      </c>
      <c r="O1067" s="11">
        <v>24947.759999999998</v>
      </c>
      <c r="P1067" s="11"/>
      <c r="Q1067" s="18">
        <v>3118.47</v>
      </c>
      <c r="R1067" s="19"/>
    </row>
    <row r="1068" spans="1:18" ht="43.2" hidden="1" x14ac:dyDescent="0.3">
      <c r="A1068" s="6" t="s">
        <v>5000</v>
      </c>
      <c r="B1068" s="7" t="s">
        <v>5001</v>
      </c>
      <c r="C1068" s="17" t="s">
        <v>5002</v>
      </c>
      <c r="D1068" s="17"/>
      <c r="E1068" s="8">
        <v>17528</v>
      </c>
      <c r="F1068" s="9">
        <v>75</v>
      </c>
      <c r="G1068" s="6" t="s">
        <v>5003</v>
      </c>
      <c r="H1068" s="7" t="s">
        <v>39</v>
      </c>
      <c r="I1068" s="6" t="s">
        <v>2453</v>
      </c>
      <c r="J1068" s="7" t="s">
        <v>20</v>
      </c>
      <c r="K1068" s="7" t="s">
        <v>26</v>
      </c>
      <c r="L1068" s="6"/>
      <c r="M1068" s="10">
        <v>5.8200000000000002E-2</v>
      </c>
      <c r="N1068" s="6" t="s">
        <v>5004</v>
      </c>
      <c r="O1068" s="11">
        <v>23200</v>
      </c>
      <c r="P1068" s="11"/>
      <c r="Q1068" s="18">
        <v>2900</v>
      </c>
      <c r="R1068" s="19"/>
    </row>
    <row r="1069" spans="1:18" ht="28.8" hidden="1" x14ac:dyDescent="0.3">
      <c r="A1069" s="6" t="s">
        <v>5005</v>
      </c>
      <c r="B1069" s="7" t="s">
        <v>3171</v>
      </c>
      <c r="C1069" s="17" t="s">
        <v>5006</v>
      </c>
      <c r="D1069" s="17"/>
      <c r="E1069" s="8">
        <v>18565</v>
      </c>
      <c r="F1069" s="9">
        <v>72</v>
      </c>
      <c r="G1069" s="6" t="s">
        <v>5007</v>
      </c>
      <c r="H1069" s="7" t="s">
        <v>39</v>
      </c>
      <c r="I1069" s="6" t="s">
        <v>176</v>
      </c>
      <c r="J1069" s="7" t="s">
        <v>20</v>
      </c>
      <c r="K1069" s="7" t="s">
        <v>26</v>
      </c>
      <c r="L1069" s="6"/>
      <c r="M1069" s="10">
        <v>5.3999999999999999E-2</v>
      </c>
      <c r="N1069" s="6" t="s">
        <v>5008</v>
      </c>
      <c r="O1069" s="11">
        <v>5400</v>
      </c>
      <c r="P1069" s="11"/>
      <c r="Q1069" s="18">
        <v>600</v>
      </c>
      <c r="R1069" s="19"/>
    </row>
    <row r="1070" spans="1:18" x14ac:dyDescent="0.3">
      <c r="A1070" s="6" t="s">
        <v>5009</v>
      </c>
      <c r="B1070" s="7" t="s">
        <v>342</v>
      </c>
      <c r="C1070" s="17" t="s">
        <v>5010</v>
      </c>
      <c r="D1070" s="17"/>
      <c r="E1070" s="8">
        <v>17639</v>
      </c>
      <c r="F1070" s="9">
        <v>74</v>
      </c>
      <c r="G1070" s="6" t="s">
        <v>5011</v>
      </c>
      <c r="H1070" s="7" t="s">
        <v>25</v>
      </c>
      <c r="I1070" s="6"/>
      <c r="J1070" s="7" t="s">
        <v>41</v>
      </c>
      <c r="K1070" s="7" t="s">
        <v>32</v>
      </c>
      <c r="L1070" s="9">
        <v>74</v>
      </c>
      <c r="M1070" s="10">
        <v>5.67E-2</v>
      </c>
      <c r="N1070" s="6" t="s">
        <v>5012</v>
      </c>
      <c r="O1070" s="11">
        <v>7900.96</v>
      </c>
      <c r="P1070" s="11"/>
      <c r="Q1070" s="18">
        <v>7900.96</v>
      </c>
      <c r="R1070" s="19"/>
    </row>
    <row r="1071" spans="1:18" ht="28.8" hidden="1" x14ac:dyDescent="0.3">
      <c r="A1071" s="6" t="s">
        <v>5013</v>
      </c>
      <c r="B1071" s="7" t="s">
        <v>655</v>
      </c>
      <c r="C1071" s="17" t="s">
        <v>1527</v>
      </c>
      <c r="D1071" s="17"/>
      <c r="E1071" s="8">
        <v>15421</v>
      </c>
      <c r="F1071" s="9">
        <v>80</v>
      </c>
      <c r="G1071" s="6" t="s">
        <v>5014</v>
      </c>
      <c r="H1071" s="7" t="s">
        <v>39</v>
      </c>
      <c r="I1071" s="6" t="s">
        <v>681</v>
      </c>
      <c r="J1071" s="7" t="s">
        <v>20</v>
      </c>
      <c r="K1071" s="7" t="s">
        <v>26</v>
      </c>
      <c r="L1071" s="6"/>
      <c r="M1071" s="10">
        <v>6.8199999999999997E-2</v>
      </c>
      <c r="N1071" s="6" t="s">
        <v>5015</v>
      </c>
      <c r="O1071" s="11">
        <v>5600</v>
      </c>
      <c r="P1071" s="11"/>
      <c r="Q1071" s="18">
        <v>700</v>
      </c>
      <c r="R1071" s="19"/>
    </row>
    <row r="1072" spans="1:18" hidden="1" x14ac:dyDescent="0.3">
      <c r="A1072" s="6" t="s">
        <v>5016</v>
      </c>
      <c r="B1072" s="7" t="s">
        <v>556</v>
      </c>
      <c r="C1072" s="17" t="s">
        <v>5017</v>
      </c>
      <c r="D1072" s="17"/>
      <c r="E1072" s="7" t="s">
        <v>2553</v>
      </c>
      <c r="F1072" s="9">
        <v>73</v>
      </c>
      <c r="G1072" s="6" t="s">
        <v>5018</v>
      </c>
      <c r="H1072" s="7" t="s">
        <v>25</v>
      </c>
      <c r="I1072" s="6" t="s">
        <v>19</v>
      </c>
      <c r="J1072" s="7" t="s">
        <v>20</v>
      </c>
      <c r="K1072" s="7" t="s">
        <v>26</v>
      </c>
      <c r="L1072" s="6"/>
      <c r="M1072" s="10">
        <v>5.5300000000000002E-2</v>
      </c>
      <c r="N1072" s="6" t="s">
        <v>5019</v>
      </c>
      <c r="O1072" s="6" t="s">
        <v>19</v>
      </c>
      <c r="P1072" s="6"/>
      <c r="Q1072" s="19" t="s">
        <v>19</v>
      </c>
      <c r="R1072" s="19"/>
    </row>
    <row r="1073" spans="1:18" hidden="1" x14ac:dyDescent="0.3">
      <c r="A1073" s="6" t="s">
        <v>5020</v>
      </c>
      <c r="B1073" s="7" t="s">
        <v>5021</v>
      </c>
      <c r="C1073" s="17" t="s">
        <v>5022</v>
      </c>
      <c r="D1073" s="17"/>
      <c r="E1073" s="7" t="s">
        <v>5023</v>
      </c>
      <c r="F1073" s="9">
        <v>72</v>
      </c>
      <c r="G1073" s="6" t="s">
        <v>5024</v>
      </c>
      <c r="H1073" s="7" t="s">
        <v>19</v>
      </c>
      <c r="I1073" s="6" t="s">
        <v>19</v>
      </c>
      <c r="J1073" s="7" t="s">
        <v>20</v>
      </c>
      <c r="K1073" s="7"/>
      <c r="L1073" s="6"/>
      <c r="M1073" s="10">
        <v>5.3999999999999999E-2</v>
      </c>
      <c r="N1073" s="6" t="s">
        <v>5025</v>
      </c>
      <c r="O1073" s="6" t="s">
        <v>19</v>
      </c>
      <c r="P1073" s="6"/>
      <c r="Q1073" s="19" t="s">
        <v>19</v>
      </c>
      <c r="R1073" s="19"/>
    </row>
    <row r="1074" spans="1:18" ht="28.8" hidden="1" x14ac:dyDescent="0.3">
      <c r="A1074" s="6" t="s">
        <v>5026</v>
      </c>
      <c r="B1074" s="7" t="s">
        <v>401</v>
      </c>
      <c r="C1074" s="17" t="s">
        <v>5027</v>
      </c>
      <c r="D1074" s="17"/>
      <c r="E1074" s="8">
        <v>17646</v>
      </c>
      <c r="F1074" s="9">
        <v>74</v>
      </c>
      <c r="G1074" s="6" t="s">
        <v>5028</v>
      </c>
      <c r="H1074" s="7" t="s">
        <v>39</v>
      </c>
      <c r="I1074" s="6" t="s">
        <v>681</v>
      </c>
      <c r="J1074" s="7" t="s">
        <v>20</v>
      </c>
      <c r="K1074" s="7" t="s">
        <v>26</v>
      </c>
      <c r="L1074" s="6"/>
      <c r="M1074" s="10">
        <v>5.67E-2</v>
      </c>
      <c r="N1074" s="6" t="s">
        <v>5029</v>
      </c>
      <c r="O1074" s="11">
        <v>9600</v>
      </c>
      <c r="P1074" s="11"/>
      <c r="Q1074" s="18">
        <v>700</v>
      </c>
      <c r="R1074" s="19"/>
    </row>
    <row r="1075" spans="1:18" ht="43.2" x14ac:dyDescent="0.3">
      <c r="A1075" s="6" t="s">
        <v>5030</v>
      </c>
      <c r="B1075" s="7" t="s">
        <v>359</v>
      </c>
      <c r="C1075" s="17" t="s">
        <v>5031</v>
      </c>
      <c r="D1075" s="17"/>
      <c r="E1075" s="8">
        <v>15600</v>
      </c>
      <c r="F1075" s="9">
        <v>80</v>
      </c>
      <c r="G1075" s="6" t="s">
        <v>5032</v>
      </c>
      <c r="H1075" s="7" t="s">
        <v>39</v>
      </c>
      <c r="I1075" s="6" t="s">
        <v>267</v>
      </c>
      <c r="J1075" s="7" t="s">
        <v>41</v>
      </c>
      <c r="K1075" s="7" t="s">
        <v>26</v>
      </c>
      <c r="L1075" s="9">
        <v>73</v>
      </c>
      <c r="M1075" s="10">
        <v>5.5300000000000002E-2</v>
      </c>
      <c r="N1075" s="6" t="s">
        <v>5033</v>
      </c>
      <c r="O1075" s="11">
        <v>17600</v>
      </c>
      <c r="P1075" s="11"/>
      <c r="Q1075" s="18">
        <v>2200</v>
      </c>
      <c r="R1075" s="19"/>
    </row>
    <row r="1076" spans="1:18" ht="43.2" x14ac:dyDescent="0.3">
      <c r="A1076" s="6" t="s">
        <v>5034</v>
      </c>
      <c r="B1076" s="7" t="s">
        <v>125</v>
      </c>
      <c r="C1076" s="17" t="s">
        <v>5035</v>
      </c>
      <c r="D1076" s="17"/>
      <c r="E1076" s="8">
        <v>17836</v>
      </c>
      <c r="F1076" s="9">
        <v>74</v>
      </c>
      <c r="G1076" s="6" t="s">
        <v>5036</v>
      </c>
      <c r="H1076" s="7" t="s">
        <v>39</v>
      </c>
      <c r="I1076" s="6" t="s">
        <v>100</v>
      </c>
      <c r="J1076" s="7" t="s">
        <v>41</v>
      </c>
      <c r="K1076" s="7" t="s">
        <v>32</v>
      </c>
      <c r="L1076" s="9">
        <v>73</v>
      </c>
      <c r="M1076" s="10">
        <v>5.5300000000000002E-2</v>
      </c>
      <c r="N1076" s="6" t="s">
        <v>5037</v>
      </c>
      <c r="O1076" s="11">
        <v>6000</v>
      </c>
      <c r="P1076" s="11"/>
      <c r="Q1076" s="18">
        <v>2085.1999999999998</v>
      </c>
      <c r="R1076" s="19"/>
    </row>
    <row r="1077" spans="1:18" ht="28.8" hidden="1" x14ac:dyDescent="0.3">
      <c r="A1077" s="6" t="s">
        <v>5038</v>
      </c>
      <c r="B1077" s="7" t="s">
        <v>1134</v>
      </c>
      <c r="C1077" s="17" t="s">
        <v>5035</v>
      </c>
      <c r="D1077" s="17"/>
      <c r="E1077" s="8">
        <v>18376</v>
      </c>
      <c r="F1077" s="9">
        <v>72</v>
      </c>
      <c r="G1077" s="6" t="s">
        <v>5039</v>
      </c>
      <c r="H1077" s="7" t="s">
        <v>39</v>
      </c>
      <c r="I1077" s="6" t="s">
        <v>284</v>
      </c>
      <c r="J1077" s="7" t="s">
        <v>20</v>
      </c>
      <c r="K1077" s="7" t="s">
        <v>26</v>
      </c>
      <c r="L1077" s="6"/>
      <c r="M1077" s="10">
        <v>5.3999999999999999E-2</v>
      </c>
      <c r="N1077" s="6" t="s">
        <v>5040</v>
      </c>
      <c r="O1077" s="11">
        <v>2000</v>
      </c>
      <c r="P1077" s="11"/>
      <c r="Q1077" s="18">
        <v>250</v>
      </c>
      <c r="R1077" s="19"/>
    </row>
    <row r="1078" spans="1:18" ht="43.2" hidden="1" x14ac:dyDescent="0.3">
      <c r="A1078" s="6" t="s">
        <v>5041</v>
      </c>
      <c r="B1078" s="7" t="s">
        <v>81</v>
      </c>
      <c r="C1078" s="17" t="s">
        <v>5035</v>
      </c>
      <c r="D1078" s="17"/>
      <c r="E1078" s="8">
        <v>17658</v>
      </c>
      <c r="F1078" s="9">
        <v>74</v>
      </c>
      <c r="G1078" s="6" t="s">
        <v>5042</v>
      </c>
      <c r="H1078" s="7" t="s">
        <v>39</v>
      </c>
      <c r="I1078" s="6" t="s">
        <v>106</v>
      </c>
      <c r="J1078" s="7" t="s">
        <v>20</v>
      </c>
      <c r="K1078" s="7" t="s">
        <v>32</v>
      </c>
      <c r="L1078" s="6"/>
      <c r="M1078" s="10">
        <v>5.67E-2</v>
      </c>
      <c r="N1078" s="6" t="s">
        <v>5043</v>
      </c>
      <c r="O1078" s="11">
        <v>4000</v>
      </c>
      <c r="P1078" s="11"/>
      <c r="Q1078" s="18">
        <v>4000</v>
      </c>
      <c r="R1078" s="19"/>
    </row>
    <row r="1079" spans="1:18" ht="43.2" hidden="1" x14ac:dyDescent="0.3">
      <c r="A1079" s="6" t="s">
        <v>5044</v>
      </c>
      <c r="B1079" s="7" t="s">
        <v>5045</v>
      </c>
      <c r="C1079" s="17" t="s">
        <v>5046</v>
      </c>
      <c r="D1079" s="17"/>
      <c r="E1079" s="7" t="s">
        <v>5047</v>
      </c>
      <c r="F1079" s="9">
        <v>74</v>
      </c>
      <c r="G1079" s="6" t="s">
        <v>5048</v>
      </c>
      <c r="H1079" s="7" t="s">
        <v>39</v>
      </c>
      <c r="I1079" s="6" t="s">
        <v>122</v>
      </c>
      <c r="J1079" s="7" t="s">
        <v>41</v>
      </c>
      <c r="K1079" s="7" t="s">
        <v>26</v>
      </c>
      <c r="L1079" s="9">
        <v>69</v>
      </c>
      <c r="M1079" s="10">
        <v>4.7600000000000003E-2</v>
      </c>
      <c r="N1079" s="6" t="s">
        <v>5049</v>
      </c>
      <c r="O1079" s="6" t="s">
        <v>19</v>
      </c>
      <c r="P1079" s="6"/>
      <c r="Q1079" s="19" t="s">
        <v>19</v>
      </c>
      <c r="R1079" s="19"/>
    </row>
    <row r="1080" spans="1:18" hidden="1" x14ac:dyDescent="0.3">
      <c r="A1080" s="6" t="s">
        <v>5050</v>
      </c>
      <c r="B1080" s="7" t="s">
        <v>5051</v>
      </c>
      <c r="C1080" s="17" t="s">
        <v>5052</v>
      </c>
      <c r="D1080" s="17"/>
      <c r="E1080" s="8">
        <v>15535</v>
      </c>
      <c r="F1080" s="9">
        <v>80</v>
      </c>
      <c r="G1080" s="6" t="s">
        <v>5053</v>
      </c>
      <c r="H1080" s="7" t="s">
        <v>25</v>
      </c>
      <c r="I1080" s="6"/>
      <c r="J1080" s="7" t="s">
        <v>20</v>
      </c>
      <c r="K1080" s="7" t="s">
        <v>32</v>
      </c>
      <c r="L1080" s="6"/>
      <c r="M1080" s="10">
        <v>6.8199999999999997E-2</v>
      </c>
      <c r="N1080" s="6" t="s">
        <v>5054</v>
      </c>
      <c r="O1080" s="11">
        <v>1734.17</v>
      </c>
      <c r="P1080" s="11"/>
      <c r="Q1080" s="18">
        <v>1734.17</v>
      </c>
      <c r="R1080" s="19"/>
    </row>
    <row r="1081" spans="1:18" ht="28.8" hidden="1" x14ac:dyDescent="0.3">
      <c r="A1081" s="6" t="s">
        <v>5055</v>
      </c>
      <c r="B1081" s="7" t="s">
        <v>488</v>
      </c>
      <c r="C1081" s="17" t="s">
        <v>5056</v>
      </c>
      <c r="D1081" s="17"/>
      <c r="E1081" s="8">
        <v>16994</v>
      </c>
      <c r="F1081" s="9">
        <v>76</v>
      </c>
      <c r="G1081" s="6" t="s">
        <v>5057</v>
      </c>
      <c r="H1081" s="7" t="s">
        <v>39</v>
      </c>
      <c r="I1081" s="6" t="s">
        <v>1941</v>
      </c>
      <c r="J1081" s="7" t="s">
        <v>20</v>
      </c>
      <c r="K1081" s="7" t="s">
        <v>26</v>
      </c>
      <c r="L1081" s="6"/>
      <c r="M1081" s="10">
        <v>5.9799999999999999E-2</v>
      </c>
      <c r="N1081" s="6" t="s">
        <v>5058</v>
      </c>
      <c r="O1081" s="11">
        <v>2800</v>
      </c>
      <c r="P1081" s="11"/>
      <c r="Q1081" s="18">
        <v>350</v>
      </c>
      <c r="R1081" s="19"/>
    </row>
    <row r="1082" spans="1:18" ht="43.2" hidden="1" x14ac:dyDescent="0.3">
      <c r="A1082" s="6" t="s">
        <v>5059</v>
      </c>
      <c r="B1082" s="7" t="s">
        <v>246</v>
      </c>
      <c r="C1082" s="17" t="s">
        <v>5060</v>
      </c>
      <c r="D1082" s="17"/>
      <c r="E1082" s="8">
        <v>16592</v>
      </c>
      <c r="F1082" s="9">
        <v>77</v>
      </c>
      <c r="G1082" s="6" t="s">
        <v>5061</v>
      </c>
      <c r="H1082" s="7" t="s">
        <v>39</v>
      </c>
      <c r="I1082" s="6" t="s">
        <v>1105</v>
      </c>
      <c r="J1082" s="7" t="s">
        <v>20</v>
      </c>
      <c r="K1082" s="7" t="s">
        <v>26</v>
      </c>
      <c r="L1082" s="6"/>
      <c r="M1082" s="10">
        <v>6.1699999999999998E-2</v>
      </c>
      <c r="N1082" s="6" t="s">
        <v>5062</v>
      </c>
      <c r="O1082" s="11">
        <v>10400</v>
      </c>
      <c r="P1082" s="11"/>
      <c r="Q1082" s="18">
        <v>1300</v>
      </c>
      <c r="R1082" s="19"/>
    </row>
    <row r="1083" spans="1:18" hidden="1" x14ac:dyDescent="0.3">
      <c r="A1083" s="6" t="s">
        <v>5063</v>
      </c>
      <c r="B1083" s="7" t="s">
        <v>5064</v>
      </c>
      <c r="C1083" s="17" t="s">
        <v>5065</v>
      </c>
      <c r="D1083" s="17"/>
      <c r="E1083" s="7" t="s">
        <v>5066</v>
      </c>
      <c r="F1083" s="9">
        <v>75</v>
      </c>
      <c r="G1083" s="6" t="s">
        <v>5067</v>
      </c>
      <c r="H1083" s="7" t="s">
        <v>25</v>
      </c>
      <c r="I1083" s="6" t="s">
        <v>19</v>
      </c>
      <c r="J1083" s="7" t="s">
        <v>20</v>
      </c>
      <c r="K1083" s="7" t="s">
        <v>32</v>
      </c>
      <c r="L1083" s="6"/>
      <c r="M1083" s="10">
        <v>5.8200000000000002E-2</v>
      </c>
      <c r="N1083" s="6" t="s">
        <v>5068</v>
      </c>
      <c r="O1083" s="6" t="s">
        <v>19</v>
      </c>
      <c r="P1083" s="6"/>
      <c r="Q1083" s="19" t="s">
        <v>19</v>
      </c>
      <c r="R1083" s="19"/>
    </row>
    <row r="1084" spans="1:18" ht="43.2" hidden="1" x14ac:dyDescent="0.3">
      <c r="A1084" s="6" t="s">
        <v>5069</v>
      </c>
      <c r="B1084" s="7" t="s">
        <v>276</v>
      </c>
      <c r="C1084" s="17" t="s">
        <v>5070</v>
      </c>
      <c r="D1084" s="17"/>
      <c r="E1084" s="8">
        <v>17676</v>
      </c>
      <c r="F1084" s="9">
        <v>74</v>
      </c>
      <c r="G1084" s="6" t="s">
        <v>5071</v>
      </c>
      <c r="H1084" s="7" t="s">
        <v>39</v>
      </c>
      <c r="I1084" s="6" t="s">
        <v>132</v>
      </c>
      <c r="J1084" s="7" t="s">
        <v>20</v>
      </c>
      <c r="K1084" s="7" t="s">
        <v>26</v>
      </c>
      <c r="L1084" s="6"/>
      <c r="M1084" s="10">
        <v>5.67E-2</v>
      </c>
      <c r="N1084" s="6" t="s">
        <v>5072</v>
      </c>
      <c r="O1084" s="11">
        <v>12000</v>
      </c>
      <c r="P1084" s="11"/>
      <c r="Q1084" s="18">
        <v>1500</v>
      </c>
      <c r="R1084" s="19"/>
    </row>
    <row r="1085" spans="1:18" ht="28.8" hidden="1" x14ac:dyDescent="0.3">
      <c r="A1085" s="6" t="s">
        <v>5073</v>
      </c>
      <c r="B1085" s="7" t="s">
        <v>5074</v>
      </c>
      <c r="C1085" s="17" t="s">
        <v>5075</v>
      </c>
      <c r="D1085" s="17"/>
      <c r="E1085" s="8">
        <v>17415</v>
      </c>
      <c r="F1085" s="9">
        <v>75</v>
      </c>
      <c r="G1085" s="6" t="s">
        <v>5076</v>
      </c>
      <c r="H1085" s="7" t="s">
        <v>39</v>
      </c>
      <c r="I1085" s="6" t="s">
        <v>2738</v>
      </c>
      <c r="J1085" s="7" t="s">
        <v>20</v>
      </c>
      <c r="K1085" s="7" t="s">
        <v>26</v>
      </c>
      <c r="L1085" s="6"/>
      <c r="M1085" s="10">
        <v>5.8200000000000002E-2</v>
      </c>
      <c r="N1085" s="6" t="s">
        <v>5077</v>
      </c>
      <c r="O1085" s="11">
        <v>800</v>
      </c>
      <c r="P1085" s="11"/>
      <c r="Q1085" s="18">
        <v>100</v>
      </c>
      <c r="R1085" s="19"/>
    </row>
    <row r="1086" spans="1:18" ht="28.8" hidden="1" x14ac:dyDescent="0.3">
      <c r="A1086" s="6" t="s">
        <v>5078</v>
      </c>
      <c r="B1086" s="7" t="s">
        <v>5079</v>
      </c>
      <c r="C1086" s="17" t="s">
        <v>5080</v>
      </c>
      <c r="D1086" s="17"/>
      <c r="E1086" s="8">
        <v>17409</v>
      </c>
      <c r="F1086" s="9">
        <v>75</v>
      </c>
      <c r="G1086" s="6" t="s">
        <v>5081</v>
      </c>
      <c r="H1086" s="7" t="s">
        <v>39</v>
      </c>
      <c r="I1086" s="6" t="s">
        <v>4167</v>
      </c>
      <c r="J1086" s="7" t="s">
        <v>20</v>
      </c>
      <c r="K1086" s="7" t="s">
        <v>26</v>
      </c>
      <c r="L1086" s="6"/>
      <c r="M1086" s="10">
        <v>5.8200000000000002E-2</v>
      </c>
      <c r="N1086" s="6" t="s">
        <v>5082</v>
      </c>
      <c r="O1086" s="11">
        <v>6800</v>
      </c>
      <c r="P1086" s="11"/>
      <c r="Q1086" s="18">
        <v>850</v>
      </c>
      <c r="R1086" s="19"/>
    </row>
    <row r="1087" spans="1:18" hidden="1" x14ac:dyDescent="0.3">
      <c r="A1087" s="6" t="s">
        <v>5083</v>
      </c>
      <c r="B1087" s="7" t="s">
        <v>824</v>
      </c>
      <c r="C1087" s="17" t="s">
        <v>5080</v>
      </c>
      <c r="D1087" s="17"/>
      <c r="E1087" s="8">
        <v>17405</v>
      </c>
      <c r="F1087" s="9">
        <v>75</v>
      </c>
      <c r="G1087" s="6" t="s">
        <v>5084</v>
      </c>
      <c r="H1087" s="7" t="s">
        <v>25</v>
      </c>
      <c r="I1087" s="6"/>
      <c r="J1087" s="7" t="s">
        <v>20</v>
      </c>
      <c r="K1087" s="7" t="s">
        <v>26</v>
      </c>
      <c r="L1087" s="6"/>
      <c r="M1087" s="10">
        <v>5.8200000000000002E-2</v>
      </c>
      <c r="N1087" s="6" t="s">
        <v>5085</v>
      </c>
      <c r="O1087" s="11">
        <v>1049.28</v>
      </c>
      <c r="P1087" s="11"/>
      <c r="Q1087" s="18">
        <v>131.16</v>
      </c>
      <c r="R1087" s="19"/>
    </row>
    <row r="1088" spans="1:18" ht="28.8" hidden="1" x14ac:dyDescent="0.3">
      <c r="A1088" s="6" t="s">
        <v>5086</v>
      </c>
      <c r="B1088" s="7" t="s">
        <v>640</v>
      </c>
      <c r="C1088" s="17" t="s">
        <v>5080</v>
      </c>
      <c r="D1088" s="17"/>
      <c r="E1088" s="8">
        <v>15484</v>
      </c>
      <c r="F1088" s="9">
        <v>80</v>
      </c>
      <c r="G1088" s="6" t="s">
        <v>5087</v>
      </c>
      <c r="H1088" s="7" t="s">
        <v>39</v>
      </c>
      <c r="I1088" s="6" t="s">
        <v>176</v>
      </c>
      <c r="J1088" s="7" t="s">
        <v>20</v>
      </c>
      <c r="K1088" s="7" t="s">
        <v>26</v>
      </c>
      <c r="L1088" s="6"/>
      <c r="M1088" s="10">
        <v>6.8199999999999997E-2</v>
      </c>
      <c r="N1088" s="6" t="s">
        <v>5088</v>
      </c>
      <c r="O1088" s="11">
        <v>4800</v>
      </c>
      <c r="P1088" s="11"/>
      <c r="Q1088" s="18">
        <v>600</v>
      </c>
      <c r="R1088" s="19"/>
    </row>
    <row r="1089" spans="1:18" ht="43.2" hidden="1" x14ac:dyDescent="0.3">
      <c r="A1089" s="6" t="s">
        <v>5089</v>
      </c>
      <c r="B1089" s="7" t="s">
        <v>944</v>
      </c>
      <c r="C1089" s="17" t="s">
        <v>5090</v>
      </c>
      <c r="D1089" s="17"/>
      <c r="E1089" s="8">
        <v>18500</v>
      </c>
      <c r="F1089" s="9">
        <v>72</v>
      </c>
      <c r="G1089" s="6" t="s">
        <v>5091</v>
      </c>
      <c r="H1089" s="7" t="s">
        <v>39</v>
      </c>
      <c r="I1089" s="6" t="s">
        <v>5092</v>
      </c>
      <c r="J1089" s="7" t="s">
        <v>20</v>
      </c>
      <c r="K1089" s="7" t="s">
        <v>26</v>
      </c>
      <c r="L1089" s="6"/>
      <c r="M1089" s="10">
        <v>5.3999999999999999E-2</v>
      </c>
      <c r="N1089" s="6" t="s">
        <v>5093</v>
      </c>
      <c r="O1089" s="11">
        <v>48350</v>
      </c>
      <c r="P1089" s="11"/>
      <c r="Q1089" s="18">
        <v>28400</v>
      </c>
      <c r="R1089" s="19"/>
    </row>
    <row r="1090" spans="1:18" ht="43.2" hidden="1" x14ac:dyDescent="0.3">
      <c r="A1090" s="6" t="s">
        <v>5094</v>
      </c>
      <c r="B1090" s="7" t="s">
        <v>140</v>
      </c>
      <c r="C1090" s="17" t="s">
        <v>5095</v>
      </c>
      <c r="D1090" s="17"/>
      <c r="E1090" s="8">
        <v>16303</v>
      </c>
      <c r="F1090" s="9">
        <v>78</v>
      </c>
      <c r="G1090" s="6" t="s">
        <v>5096</v>
      </c>
      <c r="H1090" s="7" t="s">
        <v>39</v>
      </c>
      <c r="I1090" s="6" t="s">
        <v>5097</v>
      </c>
      <c r="J1090" s="7" t="s">
        <v>20</v>
      </c>
      <c r="K1090" s="7" t="s">
        <v>32</v>
      </c>
      <c r="L1090" s="6"/>
      <c r="M1090" s="10">
        <v>6.3600000000000004E-2</v>
      </c>
      <c r="N1090" s="6" t="s">
        <v>5098</v>
      </c>
      <c r="O1090" s="11">
        <v>15234</v>
      </c>
      <c r="P1090" s="11"/>
      <c r="Q1090" s="18">
        <v>15234</v>
      </c>
      <c r="R1090" s="19"/>
    </row>
    <row r="1091" spans="1:18" ht="43.2" hidden="1" x14ac:dyDescent="0.3">
      <c r="A1091" s="6" t="s">
        <v>5099</v>
      </c>
      <c r="B1091" s="7" t="s">
        <v>2322</v>
      </c>
      <c r="C1091" s="17" t="s">
        <v>5100</v>
      </c>
      <c r="D1091" s="17"/>
      <c r="E1091" s="7" t="s">
        <v>3948</v>
      </c>
      <c r="F1091" s="9">
        <v>72</v>
      </c>
      <c r="G1091" s="6" t="s">
        <v>5101</v>
      </c>
      <c r="H1091" s="7" t="s">
        <v>39</v>
      </c>
      <c r="I1091" s="6" t="s">
        <v>5102</v>
      </c>
      <c r="J1091" s="7" t="s">
        <v>20</v>
      </c>
      <c r="K1091" s="7" t="s">
        <v>32</v>
      </c>
      <c r="L1091" s="6"/>
      <c r="M1091" s="10">
        <v>5.3999999999999999E-2</v>
      </c>
      <c r="N1091" s="6" t="s">
        <v>5103</v>
      </c>
      <c r="O1091" s="6" t="s">
        <v>19</v>
      </c>
      <c r="P1091" s="6"/>
      <c r="Q1091" s="19" t="s">
        <v>19</v>
      </c>
      <c r="R1091" s="19"/>
    </row>
    <row r="1092" spans="1:18" ht="43.2" x14ac:dyDescent="0.3">
      <c r="A1092" s="6" t="s">
        <v>5104</v>
      </c>
      <c r="B1092" s="7" t="s">
        <v>748</v>
      </c>
      <c r="C1092" s="17" t="s">
        <v>5105</v>
      </c>
      <c r="D1092" s="17"/>
      <c r="E1092" s="8">
        <v>18420</v>
      </c>
      <c r="F1092" s="9">
        <v>72</v>
      </c>
      <c r="G1092" s="6" t="s">
        <v>5106</v>
      </c>
      <c r="H1092" s="7" t="s">
        <v>39</v>
      </c>
      <c r="I1092" s="6" t="s">
        <v>2548</v>
      </c>
      <c r="J1092" s="7" t="s">
        <v>41</v>
      </c>
      <c r="K1092" s="7" t="s">
        <v>26</v>
      </c>
      <c r="L1092" s="9">
        <v>70</v>
      </c>
      <c r="M1092" s="10">
        <v>0.05</v>
      </c>
      <c r="N1092" s="6" t="s">
        <v>5107</v>
      </c>
      <c r="O1092" s="11">
        <v>34000</v>
      </c>
      <c r="P1092" s="11"/>
      <c r="Q1092" s="18">
        <v>4250</v>
      </c>
      <c r="R1092" s="19"/>
    </row>
    <row r="1093" spans="1:18" ht="28.8" hidden="1" x14ac:dyDescent="0.3">
      <c r="A1093" s="6" t="s">
        <v>5108</v>
      </c>
      <c r="B1093" s="7" t="s">
        <v>843</v>
      </c>
      <c r="C1093" s="17" t="s">
        <v>5105</v>
      </c>
      <c r="D1093" s="17"/>
      <c r="E1093" s="8">
        <v>15627</v>
      </c>
      <c r="F1093" s="9">
        <v>80</v>
      </c>
      <c r="G1093" s="6" t="s">
        <v>5109</v>
      </c>
      <c r="H1093" s="7" t="s">
        <v>39</v>
      </c>
      <c r="I1093" s="6" t="s">
        <v>321</v>
      </c>
      <c r="J1093" s="7" t="s">
        <v>20</v>
      </c>
      <c r="K1093" s="7" t="s">
        <v>26</v>
      </c>
      <c r="L1093" s="6"/>
      <c r="M1093" s="10">
        <v>6.8199999999999997E-2</v>
      </c>
      <c r="N1093" s="6" t="s">
        <v>5110</v>
      </c>
      <c r="O1093" s="11">
        <v>4000</v>
      </c>
      <c r="P1093" s="11"/>
      <c r="Q1093" s="18">
        <v>500</v>
      </c>
      <c r="R1093" s="19"/>
    </row>
    <row r="1094" spans="1:18" ht="43.2" hidden="1" x14ac:dyDescent="0.3">
      <c r="A1094" s="6" t="s">
        <v>5111</v>
      </c>
      <c r="B1094" s="7" t="s">
        <v>5112</v>
      </c>
      <c r="C1094" s="17" t="s">
        <v>5105</v>
      </c>
      <c r="D1094" s="17"/>
      <c r="E1094" s="8">
        <v>17850</v>
      </c>
      <c r="F1094" s="9">
        <v>74</v>
      </c>
      <c r="G1094" s="6" t="s">
        <v>5113</v>
      </c>
      <c r="H1094" s="7" t="s">
        <v>39</v>
      </c>
      <c r="I1094" s="6" t="s">
        <v>182</v>
      </c>
      <c r="J1094" s="7" t="s">
        <v>20</v>
      </c>
      <c r="K1094" s="7" t="s">
        <v>26</v>
      </c>
      <c r="L1094" s="6"/>
      <c r="M1094" s="10">
        <v>5.67E-2</v>
      </c>
      <c r="N1094" s="6" t="s">
        <v>5114</v>
      </c>
      <c r="O1094" s="11">
        <v>36000</v>
      </c>
      <c r="P1094" s="11"/>
      <c r="Q1094" s="18">
        <v>4500</v>
      </c>
      <c r="R1094" s="19"/>
    </row>
    <row r="1095" spans="1:18" ht="28.8" hidden="1" x14ac:dyDescent="0.3">
      <c r="A1095" s="6" t="s">
        <v>5115</v>
      </c>
      <c r="B1095" s="7" t="s">
        <v>2101</v>
      </c>
      <c r="C1095" s="17" t="s">
        <v>5116</v>
      </c>
      <c r="D1095" s="17"/>
      <c r="E1095" s="8">
        <v>16927</v>
      </c>
      <c r="F1095" s="9">
        <v>76</v>
      </c>
      <c r="G1095" s="6" t="s">
        <v>5117</v>
      </c>
      <c r="H1095" s="7" t="s">
        <v>39</v>
      </c>
      <c r="I1095" s="6" t="s">
        <v>2738</v>
      </c>
      <c r="J1095" s="7" t="s">
        <v>20</v>
      </c>
      <c r="K1095" s="7" t="s">
        <v>26</v>
      </c>
      <c r="L1095" s="6"/>
      <c r="M1095" s="10">
        <v>5.9799999999999999E-2</v>
      </c>
      <c r="N1095" s="6" t="s">
        <v>5118</v>
      </c>
      <c r="O1095" s="11">
        <v>800</v>
      </c>
      <c r="P1095" s="11"/>
      <c r="Q1095" s="18">
        <v>100</v>
      </c>
      <c r="R1095" s="19"/>
    </row>
    <row r="1096" spans="1:18" ht="28.8" hidden="1" x14ac:dyDescent="0.3">
      <c r="A1096" s="6" t="s">
        <v>5119</v>
      </c>
      <c r="B1096" s="7" t="s">
        <v>5120</v>
      </c>
      <c r="C1096" s="17" t="s">
        <v>5121</v>
      </c>
      <c r="D1096" s="17"/>
      <c r="E1096" s="8">
        <v>14518</v>
      </c>
      <c r="F1096" s="9">
        <v>83</v>
      </c>
      <c r="G1096" s="6" t="s">
        <v>5122</v>
      </c>
      <c r="H1096" s="7" t="s">
        <v>39</v>
      </c>
      <c r="I1096" s="6" t="s">
        <v>2738</v>
      </c>
      <c r="J1096" s="7" t="s">
        <v>20</v>
      </c>
      <c r="K1096" s="7" t="s">
        <v>26</v>
      </c>
      <c r="L1096" s="6"/>
      <c r="M1096" s="10">
        <v>7.7100000000000002E-2</v>
      </c>
      <c r="N1096" s="6" t="s">
        <v>5123</v>
      </c>
      <c r="O1096" s="11">
        <v>800</v>
      </c>
      <c r="P1096" s="11"/>
      <c r="Q1096" s="18">
        <v>44.03</v>
      </c>
      <c r="R1096" s="19"/>
    </row>
    <row r="1097" spans="1:18" ht="43.2" x14ac:dyDescent="0.3">
      <c r="A1097" s="6" t="s">
        <v>5124</v>
      </c>
      <c r="B1097" s="7" t="s">
        <v>5125</v>
      </c>
      <c r="C1097" s="17" t="s">
        <v>5126</v>
      </c>
      <c r="D1097" s="17"/>
      <c r="E1097" s="8">
        <v>18513</v>
      </c>
      <c r="F1097" s="9">
        <v>72</v>
      </c>
      <c r="G1097" s="6" t="s">
        <v>5127</v>
      </c>
      <c r="H1097" s="7" t="s">
        <v>39</v>
      </c>
      <c r="I1097" s="6" t="s">
        <v>100</v>
      </c>
      <c r="J1097" s="7" t="s">
        <v>41</v>
      </c>
      <c r="K1097" s="7" t="s">
        <v>26</v>
      </c>
      <c r="L1097" s="9">
        <v>62</v>
      </c>
      <c r="M1097" s="10">
        <v>3.5700000000000003E-2</v>
      </c>
      <c r="N1097" s="6" t="s">
        <v>5128</v>
      </c>
      <c r="O1097" s="11">
        <v>48000</v>
      </c>
      <c r="P1097" s="11"/>
      <c r="Q1097" s="18">
        <v>476.44</v>
      </c>
      <c r="R1097" s="19"/>
    </row>
    <row r="1098" spans="1:18" hidden="1" x14ac:dyDescent="0.3">
      <c r="A1098" s="6" t="s">
        <v>5129</v>
      </c>
      <c r="B1098" s="7" t="s">
        <v>5130</v>
      </c>
      <c r="C1098" s="17" t="s">
        <v>5131</v>
      </c>
      <c r="D1098" s="17"/>
      <c r="E1098" s="8">
        <v>18504</v>
      </c>
      <c r="F1098" s="9">
        <v>72</v>
      </c>
      <c r="G1098" s="6" t="s">
        <v>5132</v>
      </c>
      <c r="H1098" s="7" t="s">
        <v>25</v>
      </c>
      <c r="I1098" s="6"/>
      <c r="J1098" s="7" t="s">
        <v>20</v>
      </c>
      <c r="K1098" s="7" t="s">
        <v>26</v>
      </c>
      <c r="L1098" s="6"/>
      <c r="M1098" s="10">
        <v>5.3999999999999999E-2</v>
      </c>
      <c r="N1098" s="6" t="s">
        <v>5133</v>
      </c>
      <c r="O1098" s="11">
        <v>12507.44</v>
      </c>
      <c r="P1098" s="11"/>
      <c r="Q1098" s="18">
        <v>1563.43</v>
      </c>
      <c r="R1098" s="19"/>
    </row>
    <row r="1099" spans="1:18" ht="43.2" hidden="1" x14ac:dyDescent="0.3">
      <c r="A1099" s="6" t="s">
        <v>5134</v>
      </c>
      <c r="B1099" s="7" t="s">
        <v>4374</v>
      </c>
      <c r="C1099" s="17" t="s">
        <v>5135</v>
      </c>
      <c r="D1099" s="17"/>
      <c r="E1099" s="8">
        <v>17586</v>
      </c>
      <c r="F1099" s="9">
        <v>74</v>
      </c>
      <c r="G1099" s="6" t="s">
        <v>5136</v>
      </c>
      <c r="H1099" s="7" t="s">
        <v>39</v>
      </c>
      <c r="I1099" s="6" t="s">
        <v>122</v>
      </c>
      <c r="J1099" s="7" t="s">
        <v>20</v>
      </c>
      <c r="K1099" s="7" t="s">
        <v>26</v>
      </c>
      <c r="L1099" s="6"/>
      <c r="M1099" s="10">
        <v>5.67E-2</v>
      </c>
      <c r="N1099" s="6" t="s">
        <v>5137</v>
      </c>
      <c r="O1099" s="11">
        <v>16000</v>
      </c>
      <c r="P1099" s="11"/>
      <c r="Q1099" s="18">
        <v>2000</v>
      </c>
      <c r="R1099" s="19"/>
    </row>
    <row r="1100" spans="1:18" ht="43.2" x14ac:dyDescent="0.3">
      <c r="A1100" s="6" t="s">
        <v>5138</v>
      </c>
      <c r="B1100" s="7" t="s">
        <v>1762</v>
      </c>
      <c r="C1100" s="17" t="s">
        <v>5139</v>
      </c>
      <c r="D1100" s="17"/>
      <c r="E1100" s="8">
        <v>17390</v>
      </c>
      <c r="F1100" s="9">
        <v>75</v>
      </c>
      <c r="G1100" s="6" t="s">
        <v>5140</v>
      </c>
      <c r="H1100" s="7" t="s">
        <v>39</v>
      </c>
      <c r="I1100" s="6" t="s">
        <v>5141</v>
      </c>
      <c r="J1100" s="7" t="s">
        <v>41</v>
      </c>
      <c r="K1100" s="7" t="s">
        <v>32</v>
      </c>
      <c r="L1100" s="9">
        <v>72</v>
      </c>
      <c r="M1100" s="10">
        <v>5.3999999999999999E-2</v>
      </c>
      <c r="N1100" s="6" t="s">
        <v>5142</v>
      </c>
      <c r="O1100" s="11">
        <v>32000</v>
      </c>
      <c r="P1100" s="11"/>
      <c r="Q1100" s="18">
        <v>10000</v>
      </c>
      <c r="R1100" s="19"/>
    </row>
    <row r="1101" spans="1:18" ht="43.2" x14ac:dyDescent="0.3">
      <c r="A1101" s="6" t="s">
        <v>5143</v>
      </c>
      <c r="B1101" s="7" t="s">
        <v>349</v>
      </c>
      <c r="C1101" s="17" t="s">
        <v>5144</v>
      </c>
      <c r="D1101" s="17"/>
      <c r="E1101" s="8">
        <v>15975</v>
      </c>
      <c r="F1101" s="9">
        <v>79</v>
      </c>
      <c r="G1101" s="6" t="s">
        <v>5145</v>
      </c>
      <c r="H1101" s="7" t="s">
        <v>39</v>
      </c>
      <c r="I1101" s="6" t="s">
        <v>1026</v>
      </c>
      <c r="J1101" s="7" t="s">
        <v>41</v>
      </c>
      <c r="K1101" s="7" t="s">
        <v>26</v>
      </c>
      <c r="L1101" s="9">
        <v>77</v>
      </c>
      <c r="M1101" s="10">
        <v>6.1699999999999998E-2</v>
      </c>
      <c r="N1101" s="6" t="s">
        <v>5146</v>
      </c>
      <c r="O1101" s="11">
        <v>8800</v>
      </c>
      <c r="P1101" s="11"/>
      <c r="Q1101" s="18">
        <v>1100</v>
      </c>
      <c r="R1101" s="19"/>
    </row>
    <row r="1102" spans="1:18" hidden="1" x14ac:dyDescent="0.3">
      <c r="A1102" s="6" t="s">
        <v>5147</v>
      </c>
      <c r="B1102" s="7" t="s">
        <v>5148</v>
      </c>
      <c r="C1102" s="17" t="s">
        <v>5149</v>
      </c>
      <c r="D1102" s="17"/>
      <c r="E1102" s="8">
        <v>16316</v>
      </c>
      <c r="F1102" s="9">
        <v>78</v>
      </c>
      <c r="G1102" s="6" t="s">
        <v>5150</v>
      </c>
      <c r="H1102" s="7" t="s">
        <v>25</v>
      </c>
      <c r="I1102" s="6"/>
      <c r="J1102" s="7" t="s">
        <v>20</v>
      </c>
      <c r="K1102" s="7" t="s">
        <v>26</v>
      </c>
      <c r="L1102" s="6"/>
      <c r="M1102" s="10">
        <v>6.3600000000000004E-2</v>
      </c>
      <c r="N1102" s="6" t="s">
        <v>5151</v>
      </c>
      <c r="O1102" s="11">
        <v>11772.8</v>
      </c>
      <c r="P1102" s="11"/>
      <c r="Q1102" s="18">
        <v>1471.6</v>
      </c>
      <c r="R1102" s="19"/>
    </row>
    <row r="1103" spans="1:18" ht="28.8" hidden="1" x14ac:dyDescent="0.3">
      <c r="A1103" s="6" t="s">
        <v>5152</v>
      </c>
      <c r="B1103" s="7" t="s">
        <v>1434</v>
      </c>
      <c r="C1103" s="17" t="s">
        <v>5149</v>
      </c>
      <c r="D1103" s="17"/>
      <c r="E1103" s="7" t="s">
        <v>2184</v>
      </c>
      <c r="F1103" s="9">
        <v>72</v>
      </c>
      <c r="G1103" s="6" t="s">
        <v>5153</v>
      </c>
      <c r="H1103" s="7" t="s">
        <v>39</v>
      </c>
      <c r="I1103" s="6" t="s">
        <v>321</v>
      </c>
      <c r="J1103" s="7" t="s">
        <v>20</v>
      </c>
      <c r="K1103" s="7" t="s">
        <v>26</v>
      </c>
      <c r="L1103" s="6"/>
      <c r="M1103" s="10">
        <v>5.3999999999999999E-2</v>
      </c>
      <c r="N1103" s="6" t="s">
        <v>5154</v>
      </c>
      <c r="O1103" s="6" t="s">
        <v>19</v>
      </c>
      <c r="P1103" s="6"/>
      <c r="Q1103" s="19" t="s">
        <v>19</v>
      </c>
      <c r="R1103" s="19"/>
    </row>
    <row r="1104" spans="1:18" ht="43.2" hidden="1" x14ac:dyDescent="0.3">
      <c r="A1104" s="6" t="s">
        <v>5155</v>
      </c>
      <c r="B1104" s="7" t="s">
        <v>531</v>
      </c>
      <c r="C1104" s="17" t="s">
        <v>5156</v>
      </c>
      <c r="D1104" s="17"/>
      <c r="E1104" s="8">
        <v>17943</v>
      </c>
      <c r="F1104" s="9">
        <v>73</v>
      </c>
      <c r="G1104" s="6" t="s">
        <v>5157</v>
      </c>
      <c r="H1104" s="7" t="s">
        <v>39</v>
      </c>
      <c r="I1104" s="6" t="s">
        <v>122</v>
      </c>
      <c r="J1104" s="7" t="s">
        <v>20</v>
      </c>
      <c r="K1104" s="7" t="s">
        <v>26</v>
      </c>
      <c r="L1104" s="6"/>
      <c r="M1104" s="10">
        <v>5.5300000000000002E-2</v>
      </c>
      <c r="N1104" s="6" t="s">
        <v>5158</v>
      </c>
      <c r="O1104" s="11">
        <v>22508</v>
      </c>
      <c r="P1104" s="11"/>
      <c r="Q1104" s="18">
        <v>2000</v>
      </c>
      <c r="R1104" s="19"/>
    </row>
    <row r="1105" spans="1:18" hidden="1" x14ac:dyDescent="0.3">
      <c r="A1105" s="6" t="s">
        <v>5159</v>
      </c>
      <c r="B1105" s="7" t="s">
        <v>1129</v>
      </c>
      <c r="C1105" s="17" t="s">
        <v>5160</v>
      </c>
      <c r="D1105" s="17"/>
      <c r="E1105" s="7" t="s">
        <v>1120</v>
      </c>
      <c r="F1105" s="9">
        <v>76</v>
      </c>
      <c r="G1105" s="6" t="s">
        <v>5161</v>
      </c>
      <c r="H1105" s="7" t="s">
        <v>25</v>
      </c>
      <c r="I1105" s="6" t="s">
        <v>19</v>
      </c>
      <c r="J1105" s="7" t="s">
        <v>20</v>
      </c>
      <c r="K1105" s="7" t="s">
        <v>32</v>
      </c>
      <c r="L1105" s="6"/>
      <c r="M1105" s="10">
        <v>5.9799999999999999E-2</v>
      </c>
      <c r="N1105" s="6" t="s">
        <v>5162</v>
      </c>
      <c r="O1105" s="6" t="s">
        <v>19</v>
      </c>
      <c r="P1105" s="6"/>
      <c r="Q1105" s="19" t="s">
        <v>19</v>
      </c>
      <c r="R1105" s="19"/>
    </row>
    <row r="1106" spans="1:18" ht="28.8" hidden="1" x14ac:dyDescent="0.3">
      <c r="A1106" s="6" t="s">
        <v>5163</v>
      </c>
      <c r="B1106" s="7" t="s">
        <v>115</v>
      </c>
      <c r="C1106" s="17" t="s">
        <v>5164</v>
      </c>
      <c r="D1106" s="17"/>
      <c r="E1106" s="8">
        <v>15916</v>
      </c>
      <c r="F1106" s="9">
        <v>79</v>
      </c>
      <c r="G1106" s="6" t="s">
        <v>5165</v>
      </c>
      <c r="H1106" s="7" t="s">
        <v>39</v>
      </c>
      <c r="I1106" s="6" t="s">
        <v>321</v>
      </c>
      <c r="J1106" s="7" t="s">
        <v>20</v>
      </c>
      <c r="K1106" s="7" t="s">
        <v>26</v>
      </c>
      <c r="L1106" s="6"/>
      <c r="M1106" s="10">
        <v>6.5799999999999997E-2</v>
      </c>
      <c r="N1106" s="6" t="s">
        <v>5166</v>
      </c>
      <c r="O1106" s="11">
        <v>4000</v>
      </c>
      <c r="P1106" s="11"/>
      <c r="Q1106" s="18">
        <v>500</v>
      </c>
      <c r="R1106" s="19"/>
    </row>
    <row r="1107" spans="1:18" ht="28.8" hidden="1" x14ac:dyDescent="0.3">
      <c r="A1107" s="6" t="s">
        <v>5167</v>
      </c>
      <c r="B1107" s="7" t="s">
        <v>76</v>
      </c>
      <c r="C1107" s="17" t="s">
        <v>5168</v>
      </c>
      <c r="D1107" s="17"/>
      <c r="E1107" s="8">
        <v>18039</v>
      </c>
      <c r="F1107" s="9">
        <v>73</v>
      </c>
      <c r="G1107" s="6" t="s">
        <v>5169</v>
      </c>
      <c r="H1107" s="7" t="s">
        <v>39</v>
      </c>
      <c r="I1107" s="6" t="s">
        <v>321</v>
      </c>
      <c r="J1107" s="7" t="s">
        <v>20</v>
      </c>
      <c r="K1107" s="7" t="s">
        <v>26</v>
      </c>
      <c r="L1107" s="6"/>
      <c r="M1107" s="10">
        <v>5.5300000000000002E-2</v>
      </c>
      <c r="N1107" s="6" t="s">
        <v>5170</v>
      </c>
      <c r="O1107" s="11">
        <v>4000</v>
      </c>
      <c r="P1107" s="11"/>
      <c r="Q1107" s="18">
        <v>500</v>
      </c>
      <c r="R1107" s="19"/>
    </row>
    <row r="1108" spans="1:18" ht="43.2" x14ac:dyDescent="0.3">
      <c r="A1108" s="6" t="s">
        <v>5171</v>
      </c>
      <c r="B1108" s="7" t="s">
        <v>5172</v>
      </c>
      <c r="C1108" s="17" t="s">
        <v>5173</v>
      </c>
      <c r="D1108" s="17"/>
      <c r="E1108" s="8">
        <v>17368</v>
      </c>
      <c r="F1108" s="9">
        <v>75</v>
      </c>
      <c r="G1108" s="6" t="s">
        <v>5174</v>
      </c>
      <c r="H1108" s="7" t="s">
        <v>39</v>
      </c>
      <c r="I1108" s="6" t="s">
        <v>3236</v>
      </c>
      <c r="J1108" s="7" t="s">
        <v>41</v>
      </c>
      <c r="K1108" s="7" t="s">
        <v>26</v>
      </c>
      <c r="L1108" s="9">
        <v>70</v>
      </c>
      <c r="M1108" s="10">
        <v>0.05</v>
      </c>
      <c r="N1108" s="6" t="s">
        <v>5175</v>
      </c>
      <c r="O1108" s="11">
        <v>54400</v>
      </c>
      <c r="P1108" s="11"/>
      <c r="Q1108" s="18">
        <v>6800</v>
      </c>
      <c r="R1108" s="19"/>
    </row>
    <row r="1109" spans="1:18" ht="43.2" hidden="1" x14ac:dyDescent="0.3">
      <c r="A1109" s="6" t="s">
        <v>5176</v>
      </c>
      <c r="B1109" s="7" t="s">
        <v>5177</v>
      </c>
      <c r="C1109" s="17" t="s">
        <v>5178</v>
      </c>
      <c r="D1109" s="17"/>
      <c r="E1109" s="8">
        <v>18276</v>
      </c>
      <c r="F1109" s="9">
        <v>72</v>
      </c>
      <c r="G1109" s="6" t="s">
        <v>5179</v>
      </c>
      <c r="H1109" s="7" t="s">
        <v>39</v>
      </c>
      <c r="I1109" s="6" t="s">
        <v>2646</v>
      </c>
      <c r="J1109" s="7" t="s">
        <v>20</v>
      </c>
      <c r="K1109" s="7" t="s">
        <v>26</v>
      </c>
      <c r="L1109" s="6"/>
      <c r="M1109" s="10">
        <v>5.3999999999999999E-2</v>
      </c>
      <c r="N1109" s="6" t="s">
        <v>5180</v>
      </c>
      <c r="O1109" s="11">
        <v>13600</v>
      </c>
      <c r="P1109" s="11"/>
      <c r="Q1109" s="18">
        <v>1700</v>
      </c>
      <c r="R1109" s="19"/>
    </row>
    <row r="1110" spans="1:18" ht="28.8" hidden="1" x14ac:dyDescent="0.3">
      <c r="A1110" s="6" t="s">
        <v>5181</v>
      </c>
      <c r="B1110" s="7" t="s">
        <v>5182</v>
      </c>
      <c r="C1110" s="17" t="s">
        <v>5183</v>
      </c>
      <c r="D1110" s="17"/>
      <c r="E1110" s="7" t="s">
        <v>5184</v>
      </c>
      <c r="F1110" s="9">
        <v>77</v>
      </c>
      <c r="G1110" s="6" t="s">
        <v>5185</v>
      </c>
      <c r="H1110" s="7" t="s">
        <v>25</v>
      </c>
      <c r="I1110" s="6" t="s">
        <v>19</v>
      </c>
      <c r="J1110" s="7" t="s">
        <v>20</v>
      </c>
      <c r="K1110" s="7" t="s">
        <v>32</v>
      </c>
      <c r="L1110" s="6"/>
      <c r="M1110" s="10">
        <v>6.1699999999999998E-2</v>
      </c>
      <c r="N1110" s="6" t="s">
        <v>5186</v>
      </c>
      <c r="O1110" s="6" t="s">
        <v>19</v>
      </c>
      <c r="P1110" s="6"/>
      <c r="Q1110" s="19" t="s">
        <v>19</v>
      </c>
      <c r="R1110" s="19"/>
    </row>
    <row r="1111" spans="1:18" hidden="1" x14ac:dyDescent="0.3">
      <c r="A1111" s="6" t="s">
        <v>5187</v>
      </c>
      <c r="B1111" s="7" t="s">
        <v>60</v>
      </c>
      <c r="C1111" s="17" t="s">
        <v>5183</v>
      </c>
      <c r="D1111" s="17"/>
      <c r="E1111" s="8">
        <v>16803</v>
      </c>
      <c r="F1111" s="9">
        <v>76</v>
      </c>
      <c r="G1111" s="6" t="s">
        <v>5188</v>
      </c>
      <c r="H1111" s="7" t="s">
        <v>25</v>
      </c>
      <c r="I1111" s="6"/>
      <c r="J1111" s="7" t="s">
        <v>20</v>
      </c>
      <c r="K1111" s="7" t="s">
        <v>32</v>
      </c>
      <c r="L1111" s="6"/>
      <c r="M1111" s="10">
        <v>5.9799999999999999E-2</v>
      </c>
      <c r="N1111" s="6" t="s">
        <v>5189</v>
      </c>
      <c r="O1111" s="11">
        <v>3379.87</v>
      </c>
      <c r="P1111" s="11"/>
      <c r="Q1111" s="18">
        <v>3379.87</v>
      </c>
      <c r="R1111" s="19"/>
    </row>
    <row r="1112" spans="1:18" ht="28.8" hidden="1" x14ac:dyDescent="0.3">
      <c r="A1112" s="6" t="s">
        <v>5190</v>
      </c>
      <c r="B1112" s="7" t="s">
        <v>1288</v>
      </c>
      <c r="C1112" s="17" t="s">
        <v>5191</v>
      </c>
      <c r="D1112" s="17"/>
      <c r="E1112" s="8">
        <v>18540</v>
      </c>
      <c r="F1112" s="9">
        <v>72</v>
      </c>
      <c r="G1112" s="6" t="s">
        <v>5192</v>
      </c>
      <c r="H1112" s="7" t="s">
        <v>39</v>
      </c>
      <c r="I1112" s="6" t="s">
        <v>5193</v>
      </c>
      <c r="J1112" s="7" t="s">
        <v>20</v>
      </c>
      <c r="K1112" s="7" t="s">
        <v>26</v>
      </c>
      <c r="L1112" s="6"/>
      <c r="M1112" s="10">
        <v>5.3999999999999999E-2</v>
      </c>
      <c r="N1112" s="6" t="s">
        <v>5194</v>
      </c>
      <c r="O1112" s="11">
        <v>3000</v>
      </c>
      <c r="P1112" s="11"/>
      <c r="Q1112" s="18">
        <v>375</v>
      </c>
      <c r="R1112" s="19"/>
    </row>
    <row r="1113" spans="1:18" hidden="1" x14ac:dyDescent="0.3">
      <c r="A1113" s="6" t="s">
        <v>5195</v>
      </c>
      <c r="B1113" s="7" t="s">
        <v>830</v>
      </c>
      <c r="C1113" s="17" t="s">
        <v>5196</v>
      </c>
      <c r="D1113" s="17"/>
      <c r="E1113" s="7" t="s">
        <v>5197</v>
      </c>
      <c r="F1113" s="9">
        <v>76</v>
      </c>
      <c r="G1113" s="6" t="s">
        <v>5198</v>
      </c>
      <c r="H1113" s="7" t="s">
        <v>25</v>
      </c>
      <c r="I1113" s="6" t="s">
        <v>19</v>
      </c>
      <c r="J1113" s="7" t="s">
        <v>41</v>
      </c>
      <c r="K1113" s="7" t="s">
        <v>26</v>
      </c>
      <c r="L1113" s="9">
        <v>74</v>
      </c>
      <c r="M1113" s="10">
        <v>5.67E-2</v>
      </c>
      <c r="N1113" s="6" t="s">
        <v>5199</v>
      </c>
      <c r="O1113" s="6" t="s">
        <v>19</v>
      </c>
      <c r="P1113" s="6"/>
      <c r="Q1113" s="19" t="s">
        <v>19</v>
      </c>
      <c r="R1113" s="19"/>
    </row>
    <row r="1114" spans="1:18" ht="43.2" hidden="1" x14ac:dyDescent="0.3">
      <c r="A1114" s="6" t="s">
        <v>5200</v>
      </c>
      <c r="B1114" s="7" t="s">
        <v>2247</v>
      </c>
      <c r="C1114" s="17" t="s">
        <v>5201</v>
      </c>
      <c r="D1114" s="17"/>
      <c r="E1114" s="8">
        <v>18004</v>
      </c>
      <c r="F1114" s="9">
        <v>73</v>
      </c>
      <c r="G1114" s="6" t="s">
        <v>5202</v>
      </c>
      <c r="H1114" s="7" t="s">
        <v>39</v>
      </c>
      <c r="I1114" s="6" t="s">
        <v>267</v>
      </c>
      <c r="J1114" s="7" t="s">
        <v>20</v>
      </c>
      <c r="K1114" s="7" t="s">
        <v>32</v>
      </c>
      <c r="L1114" s="6"/>
      <c r="M1114" s="10">
        <v>5.5300000000000002E-2</v>
      </c>
      <c r="N1114" s="6" t="s">
        <v>5203</v>
      </c>
      <c r="O1114" s="11">
        <v>2200</v>
      </c>
      <c r="P1114" s="11"/>
      <c r="Q1114" s="18">
        <v>2200</v>
      </c>
      <c r="R1114" s="19"/>
    </row>
    <row r="1115" spans="1:18" ht="43.2" x14ac:dyDescent="0.3">
      <c r="A1115" s="6" t="s">
        <v>5204</v>
      </c>
      <c r="B1115" s="7" t="s">
        <v>1579</v>
      </c>
      <c r="C1115" s="17" t="s">
        <v>5205</v>
      </c>
      <c r="D1115" s="17"/>
      <c r="E1115" s="8">
        <v>17855</v>
      </c>
      <c r="F1115" s="9">
        <v>74</v>
      </c>
      <c r="G1115" s="6" t="s">
        <v>5206</v>
      </c>
      <c r="H1115" s="7" t="s">
        <v>39</v>
      </c>
      <c r="I1115" s="6" t="s">
        <v>132</v>
      </c>
      <c r="J1115" s="7" t="s">
        <v>41</v>
      </c>
      <c r="K1115" s="7" t="s">
        <v>26</v>
      </c>
      <c r="L1115" s="9">
        <v>62</v>
      </c>
      <c r="M1115" s="10">
        <v>3.5700000000000003E-2</v>
      </c>
      <c r="N1115" s="6" t="s">
        <v>5207</v>
      </c>
      <c r="O1115" s="11">
        <v>12000</v>
      </c>
      <c r="P1115" s="11"/>
      <c r="Q1115" s="18">
        <v>1500</v>
      </c>
      <c r="R1115" s="19"/>
    </row>
    <row r="1116" spans="1:18" hidden="1" x14ac:dyDescent="0.3">
      <c r="A1116" s="6" t="s">
        <v>5208</v>
      </c>
      <c r="B1116" s="7" t="s">
        <v>1207</v>
      </c>
      <c r="C1116" s="17" t="s">
        <v>5209</v>
      </c>
      <c r="D1116" s="17"/>
      <c r="E1116" s="7" t="s">
        <v>2339</v>
      </c>
      <c r="F1116" s="9">
        <v>74</v>
      </c>
      <c r="G1116" s="6" t="s">
        <v>5210</v>
      </c>
      <c r="H1116" s="7" t="s">
        <v>25</v>
      </c>
      <c r="I1116" s="6" t="s">
        <v>19</v>
      </c>
      <c r="J1116" s="7" t="s">
        <v>20</v>
      </c>
      <c r="K1116" s="7" t="s">
        <v>32</v>
      </c>
      <c r="L1116" s="6"/>
      <c r="M1116" s="10">
        <v>5.67E-2</v>
      </c>
      <c r="N1116" s="6" t="s">
        <v>5211</v>
      </c>
      <c r="O1116" s="6" t="s">
        <v>19</v>
      </c>
      <c r="P1116" s="6"/>
      <c r="Q1116" s="19" t="s">
        <v>19</v>
      </c>
      <c r="R1116" s="19"/>
    </row>
    <row r="1117" spans="1:18" ht="43.2" x14ac:dyDescent="0.3">
      <c r="A1117" s="6" t="s">
        <v>5212</v>
      </c>
      <c r="B1117" s="7" t="s">
        <v>406</v>
      </c>
      <c r="C1117" s="17" t="s">
        <v>5213</v>
      </c>
      <c r="D1117" s="17"/>
      <c r="E1117" s="8">
        <v>17320</v>
      </c>
      <c r="F1117" s="9">
        <v>75</v>
      </c>
      <c r="G1117" s="6" t="s">
        <v>5214</v>
      </c>
      <c r="H1117" s="7" t="s">
        <v>39</v>
      </c>
      <c r="I1117" s="6" t="s">
        <v>745</v>
      </c>
      <c r="J1117" s="7" t="s">
        <v>41</v>
      </c>
      <c r="K1117" s="7" t="s">
        <v>26</v>
      </c>
      <c r="L1117" s="9">
        <v>71</v>
      </c>
      <c r="M1117" s="10">
        <v>5.28E-2</v>
      </c>
      <c r="N1117" s="6" t="s">
        <v>5215</v>
      </c>
      <c r="O1117" s="11">
        <v>11200</v>
      </c>
      <c r="P1117" s="11"/>
      <c r="Q1117" s="18">
        <v>1400</v>
      </c>
      <c r="R1117" s="19"/>
    </row>
    <row r="1118" spans="1:18" ht="43.2" hidden="1" x14ac:dyDescent="0.3">
      <c r="A1118" s="6" t="s">
        <v>5216</v>
      </c>
      <c r="B1118" s="7" t="s">
        <v>29</v>
      </c>
      <c r="C1118" s="17" t="s">
        <v>5217</v>
      </c>
      <c r="D1118" s="17"/>
      <c r="E1118" s="8">
        <v>18555</v>
      </c>
      <c r="F1118" s="9">
        <v>72</v>
      </c>
      <c r="G1118" s="6" t="s">
        <v>5218</v>
      </c>
      <c r="H1118" s="7" t="s">
        <v>39</v>
      </c>
      <c r="I1118" s="6" t="s">
        <v>144</v>
      </c>
      <c r="J1118" s="7" t="s">
        <v>20</v>
      </c>
      <c r="K1118" s="7" t="s">
        <v>26</v>
      </c>
      <c r="L1118" s="6"/>
      <c r="M1118" s="10">
        <v>5.3999999999999999E-2</v>
      </c>
      <c r="N1118" s="6" t="s">
        <v>5219</v>
      </c>
      <c r="O1118" s="11">
        <v>60000</v>
      </c>
      <c r="P1118" s="11"/>
      <c r="Q1118" s="18">
        <v>5000</v>
      </c>
      <c r="R1118" s="19"/>
    </row>
    <row r="1119" spans="1:18" hidden="1" x14ac:dyDescent="0.3">
      <c r="A1119" s="6" t="s">
        <v>5220</v>
      </c>
      <c r="B1119" s="7" t="s">
        <v>640</v>
      </c>
      <c r="C1119" s="17" t="s">
        <v>5221</v>
      </c>
      <c r="D1119" s="17"/>
      <c r="E1119" s="8">
        <v>17055</v>
      </c>
      <c r="F1119" s="9">
        <v>76</v>
      </c>
      <c r="G1119" s="6" t="s">
        <v>5222</v>
      </c>
      <c r="H1119" s="7" t="s">
        <v>25</v>
      </c>
      <c r="I1119" s="6"/>
      <c r="J1119" s="7" t="s">
        <v>20</v>
      </c>
      <c r="K1119" s="7" t="s">
        <v>26</v>
      </c>
      <c r="L1119" s="6"/>
      <c r="M1119" s="10">
        <v>5.9799999999999999E-2</v>
      </c>
      <c r="N1119" s="6" t="s">
        <v>5223</v>
      </c>
      <c r="O1119" s="11">
        <v>30407.84</v>
      </c>
      <c r="P1119" s="11"/>
      <c r="Q1119" s="18">
        <v>2919.08</v>
      </c>
      <c r="R1119" s="19"/>
    </row>
    <row r="1120" spans="1:18" ht="43.2" x14ac:dyDescent="0.3">
      <c r="A1120" s="6" t="s">
        <v>5224</v>
      </c>
      <c r="B1120" s="7" t="s">
        <v>598</v>
      </c>
      <c r="C1120" s="17" t="s">
        <v>5225</v>
      </c>
      <c r="D1120" s="17"/>
      <c r="E1120" s="8">
        <v>18476</v>
      </c>
      <c r="F1120" s="9">
        <v>72</v>
      </c>
      <c r="G1120" s="6" t="s">
        <v>5226</v>
      </c>
      <c r="H1120" s="7" t="s">
        <v>39</v>
      </c>
      <c r="I1120" s="6" t="s">
        <v>122</v>
      </c>
      <c r="J1120" s="7" t="s">
        <v>41</v>
      </c>
      <c r="K1120" s="7" t="s">
        <v>26</v>
      </c>
      <c r="L1120" s="9">
        <v>62</v>
      </c>
      <c r="M1120" s="10">
        <v>3.5700000000000003E-2</v>
      </c>
      <c r="N1120" s="6" t="s">
        <v>5227</v>
      </c>
      <c r="O1120" s="11">
        <v>16000</v>
      </c>
      <c r="P1120" s="11"/>
      <c r="Q1120" s="18">
        <v>2000</v>
      </c>
      <c r="R1120" s="19"/>
    </row>
    <row r="1121" spans="1:18" ht="28.8" hidden="1" x14ac:dyDescent="0.3">
      <c r="A1121" s="6" t="s">
        <v>5228</v>
      </c>
      <c r="B1121" s="7" t="s">
        <v>2456</v>
      </c>
      <c r="C1121" s="17" t="s">
        <v>5225</v>
      </c>
      <c r="D1121" s="17"/>
      <c r="E1121" s="8">
        <v>16700</v>
      </c>
      <c r="F1121" s="9">
        <v>77</v>
      </c>
      <c r="G1121" s="6" t="s">
        <v>5229</v>
      </c>
      <c r="H1121" s="7" t="s">
        <v>39</v>
      </c>
      <c r="I1121" s="6" t="s">
        <v>67</v>
      </c>
      <c r="J1121" s="7" t="s">
        <v>20</v>
      </c>
      <c r="K1121" s="7" t="s">
        <v>26</v>
      </c>
      <c r="L1121" s="6"/>
      <c r="M1121" s="10">
        <v>6.1699999999999998E-2</v>
      </c>
      <c r="N1121" s="6" t="s">
        <v>5230</v>
      </c>
      <c r="O1121" s="11">
        <v>2000</v>
      </c>
      <c r="P1121" s="11"/>
      <c r="Q1121" s="18">
        <v>189.38</v>
      </c>
      <c r="R1121" s="19"/>
    </row>
    <row r="1122" spans="1:18" hidden="1" x14ac:dyDescent="0.3">
      <c r="A1122" s="6" t="s">
        <v>5231</v>
      </c>
      <c r="B1122" s="7" t="s">
        <v>140</v>
      </c>
      <c r="C1122" s="17" t="s">
        <v>5225</v>
      </c>
      <c r="D1122" s="17"/>
      <c r="E1122" s="7" t="s">
        <v>5232</v>
      </c>
      <c r="F1122" s="9">
        <v>72</v>
      </c>
      <c r="G1122" s="6" t="s">
        <v>5233</v>
      </c>
      <c r="H1122" s="7" t="s">
        <v>25</v>
      </c>
      <c r="I1122" s="6" t="s">
        <v>19</v>
      </c>
      <c r="J1122" s="7" t="s">
        <v>41</v>
      </c>
      <c r="K1122" s="7" t="s">
        <v>26</v>
      </c>
      <c r="L1122" s="9">
        <v>68</v>
      </c>
      <c r="M1122" s="10">
        <v>4.5499999999999999E-2</v>
      </c>
      <c r="N1122" s="6" t="s">
        <v>5234</v>
      </c>
      <c r="O1122" s="6" t="s">
        <v>19</v>
      </c>
      <c r="P1122" s="6"/>
      <c r="Q1122" s="19" t="s">
        <v>19</v>
      </c>
      <c r="R1122" s="19"/>
    </row>
    <row r="1123" spans="1:18" ht="43.2" hidden="1" x14ac:dyDescent="0.3">
      <c r="A1123" s="6" t="s">
        <v>5235</v>
      </c>
      <c r="B1123" s="7" t="s">
        <v>135</v>
      </c>
      <c r="C1123" s="17" t="s">
        <v>5225</v>
      </c>
      <c r="D1123" s="17"/>
      <c r="E1123" s="8">
        <v>18363</v>
      </c>
      <c r="F1123" s="9">
        <v>72</v>
      </c>
      <c r="G1123" s="6" t="s">
        <v>5236</v>
      </c>
      <c r="H1123" s="7" t="s">
        <v>39</v>
      </c>
      <c r="I1123" s="6" t="s">
        <v>47</v>
      </c>
      <c r="J1123" s="7" t="s">
        <v>20</v>
      </c>
      <c r="K1123" s="7" t="s">
        <v>26</v>
      </c>
      <c r="L1123" s="6"/>
      <c r="M1123" s="10">
        <v>5.3999999999999999E-2</v>
      </c>
      <c r="N1123" s="6" t="s">
        <v>5237</v>
      </c>
      <c r="O1123" s="11">
        <v>7600</v>
      </c>
      <c r="P1123" s="11"/>
      <c r="Q1123" s="18">
        <v>1000</v>
      </c>
      <c r="R1123" s="19"/>
    </row>
    <row r="1124" spans="1:18" ht="43.2" hidden="1" x14ac:dyDescent="0.3">
      <c r="A1124" s="6" t="s">
        <v>5238</v>
      </c>
      <c r="B1124" s="7" t="s">
        <v>125</v>
      </c>
      <c r="C1124" s="17" t="s">
        <v>5239</v>
      </c>
      <c r="D1124" s="17"/>
      <c r="E1124" s="8">
        <v>17069</v>
      </c>
      <c r="F1124" s="9">
        <v>76</v>
      </c>
      <c r="G1124" s="6" t="s">
        <v>5240</v>
      </c>
      <c r="H1124" s="7" t="s">
        <v>39</v>
      </c>
      <c r="I1124" s="6" t="s">
        <v>1105</v>
      </c>
      <c r="J1124" s="7" t="s">
        <v>20</v>
      </c>
      <c r="K1124" s="7" t="s">
        <v>26</v>
      </c>
      <c r="L1124" s="6"/>
      <c r="M1124" s="10">
        <v>5.9799999999999999E-2</v>
      </c>
      <c r="N1124" s="6" t="s">
        <v>5241</v>
      </c>
      <c r="O1124" s="11">
        <v>10400</v>
      </c>
      <c r="P1124" s="11"/>
      <c r="Q1124" s="18">
        <v>1300</v>
      </c>
      <c r="R1124" s="19"/>
    </row>
    <row r="1125" spans="1:18" ht="28.8" x14ac:dyDescent="0.3">
      <c r="A1125" s="6" t="s">
        <v>5242</v>
      </c>
      <c r="B1125" s="7" t="s">
        <v>412</v>
      </c>
      <c r="C1125" s="17" t="s">
        <v>5243</v>
      </c>
      <c r="D1125" s="17"/>
      <c r="E1125" s="8">
        <v>17208</v>
      </c>
      <c r="F1125" s="9">
        <v>75</v>
      </c>
      <c r="G1125" s="6" t="s">
        <v>5244</v>
      </c>
      <c r="H1125" s="7" t="s">
        <v>39</v>
      </c>
      <c r="I1125" s="6" t="s">
        <v>176</v>
      </c>
      <c r="J1125" s="7" t="s">
        <v>41</v>
      </c>
      <c r="K1125" s="7" t="s">
        <v>26</v>
      </c>
      <c r="L1125" s="9">
        <v>74</v>
      </c>
      <c r="M1125" s="10">
        <v>5.67E-2</v>
      </c>
      <c r="N1125" s="6" t="s">
        <v>5245</v>
      </c>
      <c r="O1125" s="11">
        <v>4800</v>
      </c>
      <c r="P1125" s="11"/>
      <c r="Q1125" s="18">
        <v>600</v>
      </c>
      <c r="R1125" s="19"/>
    </row>
    <row r="1126" spans="1:18" ht="43.2" hidden="1" x14ac:dyDescent="0.3">
      <c r="A1126" s="6" t="s">
        <v>5246</v>
      </c>
      <c r="B1126" s="7" t="s">
        <v>195</v>
      </c>
      <c r="C1126" s="17" t="s">
        <v>5247</v>
      </c>
      <c r="D1126" s="17"/>
      <c r="E1126" s="8">
        <v>18147</v>
      </c>
      <c r="F1126" s="9">
        <v>73</v>
      </c>
      <c r="G1126" s="6" t="s">
        <v>5248</v>
      </c>
      <c r="H1126" s="7" t="s">
        <v>39</v>
      </c>
      <c r="I1126" s="6" t="s">
        <v>2646</v>
      </c>
      <c r="J1126" s="7" t="s">
        <v>20</v>
      </c>
      <c r="K1126" s="7" t="s">
        <v>26</v>
      </c>
      <c r="L1126" s="6"/>
      <c r="M1126" s="10">
        <v>5.5300000000000002E-2</v>
      </c>
      <c r="N1126" s="6" t="s">
        <v>5249</v>
      </c>
      <c r="O1126" s="11">
        <v>13600</v>
      </c>
      <c r="P1126" s="11"/>
      <c r="Q1126" s="18">
        <v>1700</v>
      </c>
      <c r="R1126" s="19"/>
    </row>
    <row r="1127" spans="1:18" ht="43.2" hidden="1" x14ac:dyDescent="0.3">
      <c r="A1127" s="6" t="s">
        <v>5250</v>
      </c>
      <c r="B1127" s="7" t="s">
        <v>830</v>
      </c>
      <c r="C1127" s="17" t="s">
        <v>5251</v>
      </c>
      <c r="D1127" s="17"/>
      <c r="E1127" s="8">
        <v>18182</v>
      </c>
      <c r="F1127" s="9">
        <v>73</v>
      </c>
      <c r="G1127" s="6" t="s">
        <v>5252</v>
      </c>
      <c r="H1127" s="7" t="s">
        <v>39</v>
      </c>
      <c r="I1127" s="6" t="s">
        <v>40</v>
      </c>
      <c r="J1127" s="7" t="s">
        <v>20</v>
      </c>
      <c r="K1127" s="7" t="s">
        <v>26</v>
      </c>
      <c r="L1127" s="6"/>
      <c r="M1127" s="10">
        <v>5.5300000000000002E-2</v>
      </c>
      <c r="N1127" s="6" t="s">
        <v>5253</v>
      </c>
      <c r="O1127" s="11">
        <v>24000</v>
      </c>
      <c r="P1127" s="11"/>
      <c r="Q1127" s="18">
        <v>128.16999999999999</v>
      </c>
      <c r="R1127" s="19"/>
    </row>
    <row r="1128" spans="1:18" ht="43.2" hidden="1" x14ac:dyDescent="0.3">
      <c r="A1128" s="6" t="s">
        <v>5254</v>
      </c>
      <c r="B1128" s="7" t="s">
        <v>748</v>
      </c>
      <c r="C1128" s="17" t="s">
        <v>5255</v>
      </c>
      <c r="D1128" s="17"/>
      <c r="E1128" s="8">
        <v>17972</v>
      </c>
      <c r="F1128" s="9">
        <v>73</v>
      </c>
      <c r="G1128" s="6" t="s">
        <v>5256</v>
      </c>
      <c r="H1128" s="7" t="s">
        <v>39</v>
      </c>
      <c r="I1128" s="6" t="s">
        <v>40</v>
      </c>
      <c r="J1128" s="7" t="s">
        <v>20</v>
      </c>
      <c r="K1128" s="7" t="s">
        <v>26</v>
      </c>
      <c r="L1128" s="6"/>
      <c r="M1128" s="10">
        <v>5.5300000000000002E-2</v>
      </c>
      <c r="N1128" s="6" t="s">
        <v>5257</v>
      </c>
      <c r="O1128" s="11">
        <v>24000</v>
      </c>
      <c r="P1128" s="11"/>
      <c r="Q1128" s="18">
        <v>3000</v>
      </c>
      <c r="R1128" s="19"/>
    </row>
    <row r="1129" spans="1:18" ht="28.8" hidden="1" x14ac:dyDescent="0.3">
      <c r="A1129" s="6" t="s">
        <v>5258</v>
      </c>
      <c r="B1129" s="7" t="s">
        <v>2154</v>
      </c>
      <c r="C1129" s="17" t="s">
        <v>2224</v>
      </c>
      <c r="D1129" s="17"/>
      <c r="E1129" s="8">
        <v>16565</v>
      </c>
      <c r="F1129" s="9">
        <v>77</v>
      </c>
      <c r="G1129" s="6" t="s">
        <v>5259</v>
      </c>
      <c r="H1129" s="7" t="s">
        <v>39</v>
      </c>
      <c r="I1129" s="6" t="s">
        <v>67</v>
      </c>
      <c r="J1129" s="7" t="s">
        <v>20</v>
      </c>
      <c r="K1129" s="7" t="s">
        <v>26</v>
      </c>
      <c r="L1129" s="6"/>
      <c r="M1129" s="10">
        <v>6.1699999999999998E-2</v>
      </c>
      <c r="N1129" s="6" t="s">
        <v>5260</v>
      </c>
      <c r="O1129" s="11">
        <v>6400</v>
      </c>
      <c r="P1129" s="11"/>
      <c r="Q1129" s="18">
        <v>800</v>
      </c>
      <c r="R1129" s="19"/>
    </row>
    <row r="1130" spans="1:18" ht="43.2" hidden="1" x14ac:dyDescent="0.3">
      <c r="A1130" s="6" t="s">
        <v>5261</v>
      </c>
      <c r="B1130" s="7" t="s">
        <v>707</v>
      </c>
      <c r="C1130" s="17" t="s">
        <v>5262</v>
      </c>
      <c r="D1130" s="17"/>
      <c r="E1130" s="8">
        <v>18382</v>
      </c>
      <c r="F1130" s="9">
        <v>72</v>
      </c>
      <c r="G1130" s="6" t="s">
        <v>5263</v>
      </c>
      <c r="H1130" s="7" t="s">
        <v>39</v>
      </c>
      <c r="I1130" s="6" t="s">
        <v>2277</v>
      </c>
      <c r="J1130" s="7" t="s">
        <v>20</v>
      </c>
      <c r="K1130" s="7" t="s">
        <v>26</v>
      </c>
      <c r="L1130" s="6"/>
      <c r="M1130" s="10">
        <v>5.3999999999999999E-2</v>
      </c>
      <c r="N1130" s="6" t="s">
        <v>5264</v>
      </c>
      <c r="O1130" s="11">
        <v>27200</v>
      </c>
      <c r="P1130" s="11"/>
      <c r="Q1130" s="18">
        <v>3400</v>
      </c>
      <c r="R1130" s="19"/>
    </row>
    <row r="1131" spans="1:18" ht="43.2" hidden="1" x14ac:dyDescent="0.3">
      <c r="A1131" s="6" t="s">
        <v>5265</v>
      </c>
      <c r="B1131" s="7" t="s">
        <v>5266</v>
      </c>
      <c r="C1131" s="17" t="s">
        <v>5267</v>
      </c>
      <c r="D1131" s="17"/>
      <c r="E1131" s="8">
        <v>18475</v>
      </c>
      <c r="F1131" s="9">
        <v>72</v>
      </c>
      <c r="G1131" s="6" t="s">
        <v>5268</v>
      </c>
      <c r="H1131" s="7" t="s">
        <v>39</v>
      </c>
      <c r="I1131" s="6" t="s">
        <v>47</v>
      </c>
      <c r="J1131" s="7" t="s">
        <v>20</v>
      </c>
      <c r="K1131" s="7" t="s">
        <v>26</v>
      </c>
      <c r="L1131" s="6"/>
      <c r="M1131" s="10">
        <v>5.3999999999999999E-2</v>
      </c>
      <c r="N1131" s="6" t="s">
        <v>5269</v>
      </c>
      <c r="O1131" s="11">
        <v>8000</v>
      </c>
      <c r="P1131" s="11"/>
      <c r="Q1131" s="18">
        <v>532.25</v>
      </c>
      <c r="R1131" s="19"/>
    </row>
    <row r="1132" spans="1:18" ht="43.2" hidden="1" x14ac:dyDescent="0.3">
      <c r="A1132" s="6" t="s">
        <v>5270</v>
      </c>
      <c r="B1132" s="7" t="s">
        <v>4622</v>
      </c>
      <c r="C1132" s="17" t="s">
        <v>5271</v>
      </c>
      <c r="D1132" s="17"/>
      <c r="E1132" s="8">
        <v>18625</v>
      </c>
      <c r="F1132" s="9">
        <v>72</v>
      </c>
      <c r="G1132" s="6" t="s">
        <v>5272</v>
      </c>
      <c r="H1132" s="7" t="s">
        <v>39</v>
      </c>
      <c r="I1132" s="6" t="s">
        <v>122</v>
      </c>
      <c r="J1132" s="7" t="s">
        <v>20</v>
      </c>
      <c r="K1132" s="7" t="s">
        <v>26</v>
      </c>
      <c r="L1132" s="6"/>
      <c r="M1132" s="10">
        <v>5.3999999999999999E-2</v>
      </c>
      <c r="N1132" s="6" t="s">
        <v>5273</v>
      </c>
      <c r="O1132" s="11">
        <v>16000</v>
      </c>
      <c r="P1132" s="11"/>
      <c r="Q1132" s="18">
        <v>2000</v>
      </c>
      <c r="R1132" s="19"/>
    </row>
    <row r="1133" spans="1:18" hidden="1" x14ac:dyDescent="0.3">
      <c r="A1133" s="6" t="s">
        <v>5274</v>
      </c>
      <c r="B1133" s="7" t="s">
        <v>3277</v>
      </c>
      <c r="C1133" s="17" t="s">
        <v>5275</v>
      </c>
      <c r="D1133" s="17"/>
      <c r="E1133" s="7" t="s">
        <v>5276</v>
      </c>
      <c r="F1133" s="9">
        <v>78</v>
      </c>
      <c r="G1133" s="6" t="s">
        <v>5277</v>
      </c>
      <c r="H1133" s="7" t="s">
        <v>25</v>
      </c>
      <c r="I1133" s="6" t="s">
        <v>19</v>
      </c>
      <c r="J1133" s="7" t="s">
        <v>20</v>
      </c>
      <c r="K1133" s="7" t="s">
        <v>32</v>
      </c>
      <c r="L1133" s="6"/>
      <c r="M1133" s="10">
        <v>6.3600000000000004E-2</v>
      </c>
      <c r="N1133" s="6" t="s">
        <v>5278</v>
      </c>
      <c r="O1133" s="6" t="s">
        <v>19</v>
      </c>
      <c r="P1133" s="6"/>
      <c r="Q1133" s="19" t="s">
        <v>19</v>
      </c>
      <c r="R1133" s="19"/>
    </row>
    <row r="1134" spans="1:18" ht="43.2" hidden="1" x14ac:dyDescent="0.3">
      <c r="A1134" s="6" t="s">
        <v>5279</v>
      </c>
      <c r="B1134" s="7" t="s">
        <v>5280</v>
      </c>
      <c r="C1134" s="17" t="s">
        <v>5281</v>
      </c>
      <c r="D1134" s="17"/>
      <c r="E1134" s="8">
        <v>16940</v>
      </c>
      <c r="F1134" s="9">
        <v>76</v>
      </c>
      <c r="G1134" s="6" t="s">
        <v>5282</v>
      </c>
      <c r="H1134" s="7" t="s">
        <v>39</v>
      </c>
      <c r="I1134" s="6" t="s">
        <v>432</v>
      </c>
      <c r="J1134" s="7" t="s">
        <v>20</v>
      </c>
      <c r="K1134" s="7" t="s">
        <v>26</v>
      </c>
      <c r="L1134" s="6"/>
      <c r="M1134" s="10">
        <v>5.9799999999999999E-2</v>
      </c>
      <c r="N1134" s="6" t="s">
        <v>5283</v>
      </c>
      <c r="O1134" s="11">
        <v>19200</v>
      </c>
      <c r="P1134" s="11"/>
      <c r="Q1134" s="18">
        <v>2400</v>
      </c>
      <c r="R1134" s="19"/>
    </row>
    <row r="1135" spans="1:18" ht="43.2" hidden="1" x14ac:dyDescent="0.3">
      <c r="A1135" s="6" t="s">
        <v>5284</v>
      </c>
      <c r="B1135" s="7" t="s">
        <v>707</v>
      </c>
      <c r="C1135" s="17" t="s">
        <v>5281</v>
      </c>
      <c r="D1135" s="17"/>
      <c r="E1135" s="8">
        <v>17882</v>
      </c>
      <c r="F1135" s="9">
        <v>74</v>
      </c>
      <c r="G1135" s="6" t="s">
        <v>5285</v>
      </c>
      <c r="H1135" s="7" t="s">
        <v>39</v>
      </c>
      <c r="I1135" s="6" t="s">
        <v>132</v>
      </c>
      <c r="J1135" s="7" t="s">
        <v>20</v>
      </c>
      <c r="K1135" s="7" t="s">
        <v>26</v>
      </c>
      <c r="L1135" s="6"/>
      <c r="M1135" s="10">
        <v>5.67E-2</v>
      </c>
      <c r="N1135" s="6" t="s">
        <v>5286</v>
      </c>
      <c r="O1135" s="11">
        <v>12000</v>
      </c>
      <c r="P1135" s="11"/>
      <c r="Q1135" s="18">
        <v>332.65</v>
      </c>
      <c r="R1135" s="19"/>
    </row>
    <row r="1136" spans="1:18" ht="43.2" hidden="1" x14ac:dyDescent="0.3">
      <c r="A1136" s="6" t="s">
        <v>5287</v>
      </c>
      <c r="B1136" s="7" t="s">
        <v>3925</v>
      </c>
      <c r="C1136" s="17" t="s">
        <v>5288</v>
      </c>
      <c r="D1136" s="17"/>
      <c r="E1136" s="8">
        <v>18624</v>
      </c>
      <c r="F1136" s="9">
        <v>72</v>
      </c>
      <c r="G1136" s="6" t="s">
        <v>5289</v>
      </c>
      <c r="H1136" s="7" t="s">
        <v>39</v>
      </c>
      <c r="I1136" s="6" t="s">
        <v>1350</v>
      </c>
      <c r="J1136" s="7" t="s">
        <v>20</v>
      </c>
      <c r="K1136" s="7" t="s">
        <v>26</v>
      </c>
      <c r="L1136" s="6"/>
      <c r="M1136" s="10">
        <v>5.3999999999999999E-2</v>
      </c>
      <c r="N1136" s="6" t="s">
        <v>5290</v>
      </c>
      <c r="O1136" s="11">
        <v>44000</v>
      </c>
      <c r="P1136" s="11"/>
      <c r="Q1136" s="18">
        <v>292.49</v>
      </c>
      <c r="R1136" s="19"/>
    </row>
    <row r="1137" spans="1:18" hidden="1" x14ac:dyDescent="0.3">
      <c r="A1137" s="6" t="s">
        <v>5291</v>
      </c>
      <c r="B1137" s="7" t="s">
        <v>4374</v>
      </c>
      <c r="C1137" s="17" t="s">
        <v>5292</v>
      </c>
      <c r="D1137" s="17"/>
      <c r="E1137" s="7" t="s">
        <v>5293</v>
      </c>
      <c r="F1137" s="9">
        <v>74</v>
      </c>
      <c r="G1137" s="6" t="s">
        <v>5294</v>
      </c>
      <c r="H1137" s="7" t="s">
        <v>25</v>
      </c>
      <c r="I1137" s="6" t="s">
        <v>19</v>
      </c>
      <c r="J1137" s="7" t="s">
        <v>20</v>
      </c>
      <c r="K1137" s="7" t="s">
        <v>26</v>
      </c>
      <c r="L1137" s="6"/>
      <c r="M1137" s="10">
        <v>5.67E-2</v>
      </c>
      <c r="N1137" s="6" t="s">
        <v>5295</v>
      </c>
      <c r="O1137" s="6" t="s">
        <v>19</v>
      </c>
      <c r="P1137" s="6"/>
      <c r="Q1137" s="19" t="s">
        <v>19</v>
      </c>
      <c r="R1137" s="19"/>
    </row>
    <row r="1138" spans="1:18" ht="43.2" hidden="1" x14ac:dyDescent="0.3">
      <c r="A1138" s="6" t="s">
        <v>5296</v>
      </c>
      <c r="B1138" s="7" t="s">
        <v>655</v>
      </c>
      <c r="C1138" s="17" t="s">
        <v>5297</v>
      </c>
      <c r="D1138" s="17"/>
      <c r="E1138" s="8">
        <v>18491</v>
      </c>
      <c r="F1138" s="9">
        <v>72</v>
      </c>
      <c r="G1138" s="6" t="s">
        <v>5298</v>
      </c>
      <c r="H1138" s="7" t="s">
        <v>39</v>
      </c>
      <c r="I1138" s="6" t="s">
        <v>122</v>
      </c>
      <c r="J1138" s="7" t="s">
        <v>20</v>
      </c>
      <c r="K1138" s="7" t="s">
        <v>26</v>
      </c>
      <c r="L1138" s="6"/>
      <c r="M1138" s="10">
        <v>5.3999999999999999E-2</v>
      </c>
      <c r="N1138" s="6" t="s">
        <v>5299</v>
      </c>
      <c r="O1138" s="11">
        <v>16000</v>
      </c>
      <c r="P1138" s="11"/>
      <c r="Q1138" s="18">
        <v>2000</v>
      </c>
      <c r="R1138" s="19"/>
    </row>
    <row r="1139" spans="1:18" ht="43.2" hidden="1" x14ac:dyDescent="0.3">
      <c r="A1139" s="6" t="s">
        <v>5300</v>
      </c>
      <c r="B1139" s="7" t="s">
        <v>1157</v>
      </c>
      <c r="C1139" s="17" t="s">
        <v>5301</v>
      </c>
      <c r="D1139" s="17"/>
      <c r="E1139" s="8">
        <v>17810</v>
      </c>
      <c r="F1139" s="9">
        <v>74</v>
      </c>
      <c r="G1139" s="6" t="s">
        <v>5302</v>
      </c>
      <c r="H1139" s="7" t="s">
        <v>39</v>
      </c>
      <c r="I1139" s="6" t="s">
        <v>151</v>
      </c>
      <c r="J1139" s="7" t="s">
        <v>20</v>
      </c>
      <c r="K1139" s="7" t="s">
        <v>26</v>
      </c>
      <c r="L1139" s="6"/>
      <c r="M1139" s="10">
        <v>5.67E-2</v>
      </c>
      <c r="N1139" s="6" t="s">
        <v>5303</v>
      </c>
      <c r="O1139" s="11">
        <v>51500</v>
      </c>
      <c r="P1139" s="11"/>
      <c r="Q1139" s="18">
        <v>2500</v>
      </c>
      <c r="R1139" s="19"/>
    </row>
    <row r="1140" spans="1:18" ht="43.2" hidden="1" x14ac:dyDescent="0.3">
      <c r="A1140" s="6" t="s">
        <v>5304</v>
      </c>
      <c r="B1140" s="7" t="s">
        <v>135</v>
      </c>
      <c r="C1140" s="17" t="s">
        <v>5305</v>
      </c>
      <c r="D1140" s="17"/>
      <c r="E1140" s="8">
        <v>18410</v>
      </c>
      <c r="F1140" s="9">
        <v>72</v>
      </c>
      <c r="G1140" s="6" t="s">
        <v>5306</v>
      </c>
      <c r="H1140" s="7" t="s">
        <v>39</v>
      </c>
      <c r="I1140" s="6" t="s">
        <v>728</v>
      </c>
      <c r="J1140" s="7" t="s">
        <v>20</v>
      </c>
      <c r="K1140" s="7" t="s">
        <v>26</v>
      </c>
      <c r="L1140" s="6"/>
      <c r="M1140" s="10">
        <v>5.3999999999999999E-2</v>
      </c>
      <c r="N1140" s="6" t="s">
        <v>5307</v>
      </c>
      <c r="O1140" s="11">
        <v>28000</v>
      </c>
      <c r="P1140" s="11"/>
      <c r="Q1140" s="18">
        <v>3500</v>
      </c>
      <c r="R1140" s="19"/>
    </row>
    <row r="1141" spans="1:18" ht="43.2" hidden="1" x14ac:dyDescent="0.3">
      <c r="A1141" s="6" t="s">
        <v>5308</v>
      </c>
      <c r="B1141" s="7" t="s">
        <v>1273</v>
      </c>
      <c r="C1141" s="17" t="s">
        <v>5309</v>
      </c>
      <c r="D1141" s="17"/>
      <c r="E1141" s="7" t="s">
        <v>5310</v>
      </c>
      <c r="F1141" s="9">
        <v>82</v>
      </c>
      <c r="G1141" s="6" t="s">
        <v>5311</v>
      </c>
      <c r="H1141" s="7" t="s">
        <v>39</v>
      </c>
      <c r="I1141" s="6" t="s">
        <v>47</v>
      </c>
      <c r="J1141" s="7" t="s">
        <v>20</v>
      </c>
      <c r="K1141" s="7" t="s">
        <v>26</v>
      </c>
      <c r="L1141" s="6"/>
      <c r="M1141" s="10">
        <v>7.3800000000000004E-2</v>
      </c>
      <c r="N1141" s="6" t="s">
        <v>5312</v>
      </c>
      <c r="O1141" s="6" t="s">
        <v>19</v>
      </c>
      <c r="P1141" s="6"/>
      <c r="Q1141" s="19" t="s">
        <v>19</v>
      </c>
      <c r="R1141" s="19"/>
    </row>
    <row r="1142" spans="1:18" hidden="1" x14ac:dyDescent="0.3">
      <c r="A1142" s="6" t="s">
        <v>5313</v>
      </c>
      <c r="B1142" s="7" t="s">
        <v>5314</v>
      </c>
      <c r="C1142" s="17" t="s">
        <v>5315</v>
      </c>
      <c r="D1142" s="17"/>
      <c r="E1142" s="8">
        <v>15993</v>
      </c>
      <c r="F1142" s="9">
        <v>79</v>
      </c>
      <c r="G1142" s="6" t="s">
        <v>5316</v>
      </c>
      <c r="H1142" s="7" t="s">
        <v>25</v>
      </c>
      <c r="I1142" s="6"/>
      <c r="J1142" s="7" t="s">
        <v>20</v>
      </c>
      <c r="K1142" s="7" t="s">
        <v>26</v>
      </c>
      <c r="L1142" s="6"/>
      <c r="M1142" s="10">
        <v>6.5799999999999997E-2</v>
      </c>
      <c r="N1142" s="6" t="s">
        <v>5317</v>
      </c>
      <c r="O1142" s="11">
        <v>17985.84</v>
      </c>
      <c r="P1142" s="11"/>
      <c r="Q1142" s="18">
        <v>2248.23</v>
      </c>
      <c r="R1142" s="19"/>
    </row>
    <row r="1143" spans="1:18" ht="43.2" hidden="1" x14ac:dyDescent="0.3">
      <c r="A1143" s="6" t="s">
        <v>5318</v>
      </c>
      <c r="B1143" s="7" t="s">
        <v>1923</v>
      </c>
      <c r="C1143" s="17" t="s">
        <v>5319</v>
      </c>
      <c r="D1143" s="17"/>
      <c r="E1143" s="8">
        <v>18386</v>
      </c>
      <c r="F1143" s="9">
        <v>72</v>
      </c>
      <c r="G1143" s="6" t="s">
        <v>5320</v>
      </c>
      <c r="H1143" s="7" t="s">
        <v>39</v>
      </c>
      <c r="I1143" s="6" t="s">
        <v>40</v>
      </c>
      <c r="J1143" s="7" t="s">
        <v>20</v>
      </c>
      <c r="K1143" s="7" t="s">
        <v>26</v>
      </c>
      <c r="L1143" s="6"/>
      <c r="M1143" s="10">
        <v>5.3999999999999999E-2</v>
      </c>
      <c r="N1143" s="6" t="s">
        <v>5321</v>
      </c>
      <c r="O1143" s="11">
        <v>25800</v>
      </c>
      <c r="P1143" s="11"/>
      <c r="Q1143" s="18">
        <v>3000</v>
      </c>
      <c r="R1143" s="19"/>
    </row>
    <row r="1144" spans="1:18" hidden="1" x14ac:dyDescent="0.3">
      <c r="A1144" s="6" t="s">
        <v>5322</v>
      </c>
      <c r="B1144" s="7" t="s">
        <v>678</v>
      </c>
      <c r="C1144" s="17" t="s">
        <v>5323</v>
      </c>
      <c r="D1144" s="17"/>
      <c r="E1144" s="8">
        <v>17192</v>
      </c>
      <c r="F1144" s="9">
        <v>75</v>
      </c>
      <c r="G1144" s="6" t="s">
        <v>5324</v>
      </c>
      <c r="H1144" s="7" t="s">
        <v>25</v>
      </c>
      <c r="I1144" s="6"/>
      <c r="J1144" s="7" t="s">
        <v>20</v>
      </c>
      <c r="K1144" s="7" t="s">
        <v>26</v>
      </c>
      <c r="L1144" s="6"/>
      <c r="M1144" s="10">
        <v>5.8200000000000002E-2</v>
      </c>
      <c r="N1144" s="6" t="s">
        <v>5325</v>
      </c>
      <c r="O1144" s="11">
        <v>11375.44</v>
      </c>
      <c r="P1144" s="11"/>
      <c r="Q1144" s="18">
        <v>434.48</v>
      </c>
      <c r="R1144" s="19"/>
    </row>
    <row r="1145" spans="1:18" ht="43.2" hidden="1" x14ac:dyDescent="0.3">
      <c r="A1145" s="6" t="s">
        <v>5326</v>
      </c>
      <c r="B1145" s="7" t="s">
        <v>830</v>
      </c>
      <c r="C1145" s="17" t="s">
        <v>5327</v>
      </c>
      <c r="D1145" s="17"/>
      <c r="E1145" s="8">
        <v>17282</v>
      </c>
      <c r="F1145" s="9">
        <v>75</v>
      </c>
      <c r="G1145" s="6" t="s">
        <v>5328</v>
      </c>
      <c r="H1145" s="7" t="s">
        <v>39</v>
      </c>
      <c r="I1145" s="6" t="s">
        <v>5329</v>
      </c>
      <c r="J1145" s="7" t="s">
        <v>20</v>
      </c>
      <c r="K1145" s="7" t="s">
        <v>26</v>
      </c>
      <c r="L1145" s="6"/>
      <c r="M1145" s="10">
        <v>5.8200000000000002E-2</v>
      </c>
      <c r="N1145" s="6" t="s">
        <v>5330</v>
      </c>
      <c r="O1145" s="11">
        <v>34680</v>
      </c>
      <c r="P1145" s="11"/>
      <c r="Q1145" s="18">
        <v>4335</v>
      </c>
      <c r="R1145" s="19"/>
    </row>
    <row r="1146" spans="1:18" ht="43.2" x14ac:dyDescent="0.3">
      <c r="A1146" s="6" t="s">
        <v>5331</v>
      </c>
      <c r="B1146" s="7" t="s">
        <v>140</v>
      </c>
      <c r="C1146" s="17" t="s">
        <v>5332</v>
      </c>
      <c r="D1146" s="17"/>
      <c r="E1146" s="8">
        <v>16943</v>
      </c>
      <c r="F1146" s="9">
        <v>76</v>
      </c>
      <c r="G1146" s="6" t="s">
        <v>5333</v>
      </c>
      <c r="H1146" s="7" t="s">
        <v>39</v>
      </c>
      <c r="I1146" s="6" t="s">
        <v>122</v>
      </c>
      <c r="J1146" s="7" t="s">
        <v>41</v>
      </c>
      <c r="K1146" s="7" t="s">
        <v>26</v>
      </c>
      <c r="L1146" s="9">
        <v>71</v>
      </c>
      <c r="M1146" s="10">
        <v>5.28E-2</v>
      </c>
      <c r="N1146" s="6" t="s">
        <v>5334</v>
      </c>
      <c r="O1146" s="11">
        <v>16000</v>
      </c>
      <c r="P1146" s="11"/>
      <c r="Q1146" s="18">
        <v>2000</v>
      </c>
      <c r="R1146" s="19"/>
    </row>
    <row r="1147" spans="1:18" hidden="1" x14ac:dyDescent="0.3">
      <c r="A1147" s="6" t="s">
        <v>5335</v>
      </c>
      <c r="B1147" s="7" t="s">
        <v>5336</v>
      </c>
      <c r="C1147" s="17" t="s">
        <v>5332</v>
      </c>
      <c r="D1147" s="17"/>
      <c r="E1147" s="7" t="s">
        <v>5337</v>
      </c>
      <c r="F1147" s="9">
        <v>80</v>
      </c>
      <c r="G1147" s="6" t="s">
        <v>5338</v>
      </c>
      <c r="H1147" s="7" t="s">
        <v>25</v>
      </c>
      <c r="I1147" s="6" t="s">
        <v>19</v>
      </c>
      <c r="J1147" s="7" t="s">
        <v>20</v>
      </c>
      <c r="K1147" s="7" t="s">
        <v>32</v>
      </c>
      <c r="L1147" s="6"/>
      <c r="M1147" s="10">
        <v>6.8199999999999997E-2</v>
      </c>
      <c r="N1147" s="6" t="s">
        <v>5339</v>
      </c>
      <c r="O1147" s="6" t="s">
        <v>19</v>
      </c>
      <c r="P1147" s="6"/>
      <c r="Q1147" s="19" t="s">
        <v>19</v>
      </c>
      <c r="R1147" s="19"/>
    </row>
    <row r="1148" spans="1:18" hidden="1" x14ac:dyDescent="0.3">
      <c r="A1148" s="6" t="s">
        <v>5340</v>
      </c>
      <c r="B1148" s="7" t="s">
        <v>830</v>
      </c>
      <c r="C1148" s="17" t="s">
        <v>5341</v>
      </c>
      <c r="D1148" s="17"/>
      <c r="E1148" s="7" t="s">
        <v>5342</v>
      </c>
      <c r="F1148" s="9">
        <v>75</v>
      </c>
      <c r="G1148" s="6" t="s">
        <v>5343</v>
      </c>
      <c r="H1148" s="7" t="s">
        <v>25</v>
      </c>
      <c r="I1148" s="6" t="s">
        <v>19</v>
      </c>
      <c r="J1148" s="7" t="s">
        <v>20</v>
      </c>
      <c r="K1148" s="7" t="s">
        <v>26</v>
      </c>
      <c r="L1148" s="6"/>
      <c r="M1148" s="10">
        <v>5.8200000000000002E-2</v>
      </c>
      <c r="N1148" s="6" t="s">
        <v>5344</v>
      </c>
      <c r="O1148" s="6" t="s">
        <v>19</v>
      </c>
      <c r="P1148" s="6"/>
      <c r="Q1148" s="19" t="s">
        <v>19</v>
      </c>
      <c r="R1148" s="19"/>
    </row>
    <row r="1149" spans="1:18" ht="43.2" hidden="1" x14ac:dyDescent="0.3">
      <c r="A1149" s="6" t="s">
        <v>5345</v>
      </c>
      <c r="B1149" s="7" t="s">
        <v>5346</v>
      </c>
      <c r="C1149" s="17" t="s">
        <v>5347</v>
      </c>
      <c r="D1149" s="17"/>
      <c r="E1149" s="8">
        <v>17982</v>
      </c>
      <c r="F1149" s="9">
        <v>73</v>
      </c>
      <c r="G1149" s="6" t="s">
        <v>5348</v>
      </c>
      <c r="H1149" s="7" t="s">
        <v>39</v>
      </c>
      <c r="I1149" s="6" t="s">
        <v>122</v>
      </c>
      <c r="J1149" s="7" t="s">
        <v>20</v>
      </c>
      <c r="K1149" s="7" t="s">
        <v>26</v>
      </c>
      <c r="L1149" s="6"/>
      <c r="M1149" s="10">
        <v>5.5300000000000002E-2</v>
      </c>
      <c r="N1149" s="6" t="s">
        <v>5349</v>
      </c>
      <c r="O1149" s="11">
        <v>16000</v>
      </c>
      <c r="P1149" s="11"/>
      <c r="Q1149" s="18">
        <v>2000</v>
      </c>
      <c r="R1149" s="19"/>
    </row>
    <row r="1150" spans="1:18" hidden="1" x14ac:dyDescent="0.3">
      <c r="A1150" s="6" t="s">
        <v>5350</v>
      </c>
      <c r="B1150" s="7" t="s">
        <v>3038</v>
      </c>
      <c r="C1150" s="17" t="s">
        <v>5351</v>
      </c>
      <c r="D1150" s="17"/>
      <c r="E1150" s="7" t="s">
        <v>5352</v>
      </c>
      <c r="F1150" s="9">
        <v>74</v>
      </c>
      <c r="G1150" s="6" t="s">
        <v>5353</v>
      </c>
      <c r="H1150" s="7" t="s">
        <v>25</v>
      </c>
      <c r="I1150" s="6" t="s">
        <v>19</v>
      </c>
      <c r="J1150" s="7" t="s">
        <v>41</v>
      </c>
      <c r="K1150" s="7" t="s">
        <v>32</v>
      </c>
      <c r="L1150" s="9">
        <v>71</v>
      </c>
      <c r="M1150" s="10">
        <v>5.28E-2</v>
      </c>
      <c r="N1150" s="6" t="s">
        <v>5354</v>
      </c>
      <c r="O1150" s="6" t="s">
        <v>19</v>
      </c>
      <c r="P1150" s="6"/>
      <c r="Q1150" s="19" t="s">
        <v>19</v>
      </c>
      <c r="R1150" s="19"/>
    </row>
    <row r="1151" spans="1:18" hidden="1" x14ac:dyDescent="0.3">
      <c r="A1151" s="6" t="s">
        <v>5355</v>
      </c>
      <c r="B1151" s="7" t="s">
        <v>1193</v>
      </c>
      <c r="C1151" s="17" t="s">
        <v>5356</v>
      </c>
      <c r="D1151" s="17"/>
      <c r="E1151" s="7" t="s">
        <v>5357</v>
      </c>
      <c r="F1151" s="9">
        <v>76</v>
      </c>
      <c r="G1151" s="6" t="s">
        <v>5358</v>
      </c>
      <c r="H1151" s="7" t="s">
        <v>25</v>
      </c>
      <c r="I1151" s="6" t="s">
        <v>19</v>
      </c>
      <c r="J1151" s="7" t="s">
        <v>20</v>
      </c>
      <c r="K1151" s="7" t="s">
        <v>32</v>
      </c>
      <c r="L1151" s="6"/>
      <c r="M1151" s="10">
        <v>5.9799999999999999E-2</v>
      </c>
      <c r="N1151" s="6" t="s">
        <v>5359</v>
      </c>
      <c r="O1151" s="6" t="s">
        <v>19</v>
      </c>
      <c r="P1151" s="6"/>
      <c r="Q1151" s="19" t="s">
        <v>19</v>
      </c>
      <c r="R1151" s="19"/>
    </row>
    <row r="1152" spans="1:18" ht="28.8" hidden="1" x14ac:dyDescent="0.3">
      <c r="A1152" s="6" t="s">
        <v>5360</v>
      </c>
      <c r="B1152" s="7" t="s">
        <v>3171</v>
      </c>
      <c r="C1152" s="17" t="s">
        <v>5356</v>
      </c>
      <c r="D1152" s="17"/>
      <c r="E1152" s="8">
        <v>17136</v>
      </c>
      <c r="F1152" s="9">
        <v>76</v>
      </c>
      <c r="G1152" s="6" t="s">
        <v>5361</v>
      </c>
      <c r="H1152" s="7" t="s">
        <v>39</v>
      </c>
      <c r="I1152" s="6" t="s">
        <v>176</v>
      </c>
      <c r="J1152" s="7" t="s">
        <v>20</v>
      </c>
      <c r="K1152" s="7" t="s">
        <v>26</v>
      </c>
      <c r="L1152" s="6"/>
      <c r="M1152" s="10">
        <v>5.9799999999999999E-2</v>
      </c>
      <c r="N1152" s="6" t="s">
        <v>5362</v>
      </c>
      <c r="O1152" s="11">
        <v>4800</v>
      </c>
      <c r="P1152" s="11"/>
      <c r="Q1152" s="18">
        <v>600</v>
      </c>
      <c r="R1152" s="19"/>
    </row>
    <row r="1153" spans="1:18" ht="43.2" hidden="1" x14ac:dyDescent="0.3">
      <c r="A1153" s="6" t="s">
        <v>5363</v>
      </c>
      <c r="B1153" s="7" t="s">
        <v>1712</v>
      </c>
      <c r="C1153" s="17" t="s">
        <v>5364</v>
      </c>
      <c r="D1153" s="17"/>
      <c r="E1153" s="8">
        <v>17756</v>
      </c>
      <c r="F1153" s="9">
        <v>74</v>
      </c>
      <c r="G1153" s="6" t="s">
        <v>5365</v>
      </c>
      <c r="H1153" s="7" t="s">
        <v>39</v>
      </c>
      <c r="I1153" s="6" t="s">
        <v>40</v>
      </c>
      <c r="J1153" s="7" t="s">
        <v>20</v>
      </c>
      <c r="K1153" s="7" t="s">
        <v>26</v>
      </c>
      <c r="L1153" s="6"/>
      <c r="M1153" s="10">
        <v>5.67E-2</v>
      </c>
      <c r="N1153" s="6" t="s">
        <v>5366</v>
      </c>
      <c r="O1153" s="11">
        <v>24000</v>
      </c>
      <c r="P1153" s="11"/>
      <c r="Q1153" s="18">
        <v>3000</v>
      </c>
      <c r="R1153" s="19"/>
    </row>
    <row r="1154" spans="1:18" ht="43.2" hidden="1" x14ac:dyDescent="0.3">
      <c r="A1154" s="6" t="s">
        <v>5367</v>
      </c>
      <c r="B1154" s="7" t="s">
        <v>5368</v>
      </c>
      <c r="C1154" s="17" t="s">
        <v>5369</v>
      </c>
      <c r="D1154" s="17"/>
      <c r="E1154" s="8">
        <v>16879</v>
      </c>
      <c r="F1154" s="9">
        <v>76</v>
      </c>
      <c r="G1154" s="6" t="s">
        <v>5370</v>
      </c>
      <c r="H1154" s="7" t="s">
        <v>39</v>
      </c>
      <c r="I1154" s="6" t="s">
        <v>5371</v>
      </c>
      <c r="J1154" s="7" t="s">
        <v>20</v>
      </c>
      <c r="K1154" s="7" t="s">
        <v>26</v>
      </c>
      <c r="L1154" s="6"/>
      <c r="M1154" s="10">
        <v>5.9799999999999999E-2</v>
      </c>
      <c r="N1154" s="6" t="s">
        <v>5372</v>
      </c>
      <c r="O1154" s="11">
        <v>39200</v>
      </c>
      <c r="P1154" s="11"/>
      <c r="Q1154" s="18">
        <v>4900</v>
      </c>
      <c r="R1154" s="19"/>
    </row>
    <row r="1155" spans="1:18" ht="28.8" hidden="1" x14ac:dyDescent="0.3">
      <c r="A1155" s="6" t="s">
        <v>5373</v>
      </c>
      <c r="B1155" s="7" t="s">
        <v>1565</v>
      </c>
      <c r="C1155" s="17" t="s">
        <v>5374</v>
      </c>
      <c r="D1155" s="17"/>
      <c r="E1155" s="8">
        <v>15670</v>
      </c>
      <c r="F1155" s="9">
        <v>80</v>
      </c>
      <c r="G1155" s="6" t="s">
        <v>5375</v>
      </c>
      <c r="H1155" s="7" t="s">
        <v>39</v>
      </c>
      <c r="I1155" s="6" t="s">
        <v>249</v>
      </c>
      <c r="J1155" s="7" t="s">
        <v>20</v>
      </c>
      <c r="K1155" s="7" t="s">
        <v>26</v>
      </c>
      <c r="L1155" s="6"/>
      <c r="M1155" s="10">
        <v>6.8199999999999997E-2</v>
      </c>
      <c r="N1155" s="6" t="s">
        <v>5376</v>
      </c>
      <c r="O1155" s="11">
        <v>1600</v>
      </c>
      <c r="P1155" s="11"/>
      <c r="Q1155" s="18">
        <v>200</v>
      </c>
      <c r="R1155" s="19"/>
    </row>
    <row r="1156" spans="1:18" hidden="1" x14ac:dyDescent="0.3">
      <c r="A1156" s="6" t="s">
        <v>5377</v>
      </c>
      <c r="B1156" s="7" t="s">
        <v>5378</v>
      </c>
      <c r="C1156" s="17" t="s">
        <v>5379</v>
      </c>
      <c r="D1156" s="17"/>
      <c r="E1156" s="8">
        <v>17908</v>
      </c>
      <c r="F1156" s="9">
        <v>73</v>
      </c>
      <c r="G1156" s="6" t="s">
        <v>5380</v>
      </c>
      <c r="H1156" s="7" t="s">
        <v>25</v>
      </c>
      <c r="I1156" s="6"/>
      <c r="J1156" s="7" t="s">
        <v>20</v>
      </c>
      <c r="K1156" s="7" t="s">
        <v>26</v>
      </c>
      <c r="L1156" s="6"/>
      <c r="M1156" s="10">
        <v>5.5300000000000002E-2</v>
      </c>
      <c r="N1156" s="6" t="s">
        <v>5381</v>
      </c>
      <c r="O1156" s="11">
        <v>35000</v>
      </c>
      <c r="P1156" s="11"/>
      <c r="Q1156" s="18">
        <v>35000</v>
      </c>
      <c r="R1156" s="19"/>
    </row>
    <row r="1157" spans="1:18" hidden="1" x14ac:dyDescent="0.3">
      <c r="A1157" s="6" t="s">
        <v>5382</v>
      </c>
      <c r="B1157" s="7" t="s">
        <v>276</v>
      </c>
      <c r="C1157" s="17" t="s">
        <v>5383</v>
      </c>
      <c r="D1157" s="17"/>
      <c r="E1157" s="8">
        <v>17179</v>
      </c>
      <c r="F1157" s="9">
        <v>75</v>
      </c>
      <c r="G1157" s="6" t="s">
        <v>5384</v>
      </c>
      <c r="H1157" s="7" t="s">
        <v>25</v>
      </c>
      <c r="I1157" s="6"/>
      <c r="J1157" s="7" t="s">
        <v>20</v>
      </c>
      <c r="K1157" s="7" t="s">
        <v>26</v>
      </c>
      <c r="L1157" s="6"/>
      <c r="M1157" s="10">
        <v>5.8200000000000002E-2</v>
      </c>
      <c r="N1157" s="6" t="s">
        <v>5385</v>
      </c>
      <c r="O1157" s="11">
        <v>49172.4</v>
      </c>
      <c r="P1157" s="11"/>
      <c r="Q1157" s="18">
        <v>6146.55</v>
      </c>
      <c r="R1157" s="19"/>
    </row>
    <row r="1158" spans="1:18" ht="43.2" x14ac:dyDescent="0.3">
      <c r="A1158" s="6" t="s">
        <v>5386</v>
      </c>
      <c r="B1158" s="7" t="s">
        <v>342</v>
      </c>
      <c r="C1158" s="17" t="s">
        <v>5387</v>
      </c>
      <c r="D1158" s="17"/>
      <c r="E1158" s="8">
        <v>17203</v>
      </c>
      <c r="F1158" s="9">
        <v>75</v>
      </c>
      <c r="G1158" s="6" t="s">
        <v>5388</v>
      </c>
      <c r="H1158" s="7" t="s">
        <v>39</v>
      </c>
      <c r="I1158" s="6" t="s">
        <v>122</v>
      </c>
      <c r="J1158" s="7" t="s">
        <v>41</v>
      </c>
      <c r="K1158" s="7" t="s">
        <v>26</v>
      </c>
      <c r="L1158" s="9">
        <v>70</v>
      </c>
      <c r="M1158" s="10">
        <v>0.05</v>
      </c>
      <c r="N1158" s="6" t="s">
        <v>5389</v>
      </c>
      <c r="O1158" s="11">
        <v>16000</v>
      </c>
      <c r="P1158" s="11"/>
      <c r="Q1158" s="18">
        <v>2000</v>
      </c>
      <c r="R1158" s="19"/>
    </row>
    <row r="1159" spans="1:18" hidden="1" x14ac:dyDescent="0.3">
      <c r="A1159" s="6" t="s">
        <v>5390</v>
      </c>
      <c r="B1159" s="7" t="s">
        <v>5391</v>
      </c>
      <c r="C1159" s="17" t="s">
        <v>5392</v>
      </c>
      <c r="D1159" s="17"/>
      <c r="E1159" s="8">
        <v>17731</v>
      </c>
      <c r="F1159" s="9">
        <v>74</v>
      </c>
      <c r="G1159" s="6" t="s">
        <v>5393</v>
      </c>
      <c r="H1159" s="7" t="s">
        <v>25</v>
      </c>
      <c r="I1159" s="6"/>
      <c r="J1159" s="7" t="s">
        <v>20</v>
      </c>
      <c r="K1159" s="7" t="s">
        <v>26</v>
      </c>
      <c r="L1159" s="6"/>
      <c r="M1159" s="10">
        <v>5.67E-2</v>
      </c>
      <c r="N1159" s="6" t="s">
        <v>5394</v>
      </c>
      <c r="O1159" s="11">
        <v>41383.919999999998</v>
      </c>
      <c r="P1159" s="11"/>
      <c r="Q1159" s="18">
        <v>5172.99</v>
      </c>
      <c r="R1159" s="19"/>
    </row>
    <row r="1160" spans="1:18" hidden="1" x14ac:dyDescent="0.3">
      <c r="A1160" s="6" t="s">
        <v>5395</v>
      </c>
      <c r="B1160" s="7" t="s">
        <v>493</v>
      </c>
      <c r="C1160" s="17" t="s">
        <v>5396</v>
      </c>
      <c r="D1160" s="17"/>
      <c r="E1160" s="7" t="s">
        <v>5397</v>
      </c>
      <c r="F1160" s="9">
        <v>76</v>
      </c>
      <c r="G1160" s="6" t="s">
        <v>5398</v>
      </c>
      <c r="H1160" s="7" t="s">
        <v>25</v>
      </c>
      <c r="I1160" s="6" t="s">
        <v>19</v>
      </c>
      <c r="J1160" s="7" t="s">
        <v>20</v>
      </c>
      <c r="K1160" s="7" t="s">
        <v>32</v>
      </c>
      <c r="L1160" s="6"/>
      <c r="M1160" s="10">
        <v>5.9799999999999999E-2</v>
      </c>
      <c r="N1160" s="6" t="s">
        <v>5399</v>
      </c>
      <c r="O1160" s="6" t="s">
        <v>19</v>
      </c>
      <c r="P1160" s="6"/>
      <c r="Q1160" s="19" t="s">
        <v>19</v>
      </c>
      <c r="R1160" s="19"/>
    </row>
    <row r="1161" spans="1:18" ht="43.2" hidden="1" x14ac:dyDescent="0.3">
      <c r="A1161" s="6" t="s">
        <v>5400</v>
      </c>
      <c r="B1161" s="7" t="s">
        <v>210</v>
      </c>
      <c r="C1161" s="17" t="s">
        <v>5396</v>
      </c>
      <c r="D1161" s="17"/>
      <c r="E1161" s="8">
        <v>17151</v>
      </c>
      <c r="F1161" s="9">
        <v>76</v>
      </c>
      <c r="G1161" s="6" t="s">
        <v>5401</v>
      </c>
      <c r="H1161" s="7" t="s">
        <v>39</v>
      </c>
      <c r="I1161" s="6" t="s">
        <v>4420</v>
      </c>
      <c r="J1161" s="7" t="s">
        <v>20</v>
      </c>
      <c r="K1161" s="7" t="s">
        <v>26</v>
      </c>
      <c r="L1161" s="6"/>
      <c r="M1161" s="10">
        <v>5.9799999999999999E-2</v>
      </c>
      <c r="N1161" s="6" t="s">
        <v>5402</v>
      </c>
      <c r="O1161" s="11">
        <v>26800</v>
      </c>
      <c r="P1161" s="11"/>
      <c r="Q1161" s="18">
        <v>3350</v>
      </c>
      <c r="R1161" s="19"/>
    </row>
    <row r="1162" spans="1:18" ht="28.8" hidden="1" x14ac:dyDescent="0.3">
      <c r="A1162" s="6" t="s">
        <v>5403</v>
      </c>
      <c r="B1162" s="7" t="s">
        <v>4291</v>
      </c>
      <c r="C1162" s="17" t="s">
        <v>5404</v>
      </c>
      <c r="D1162" s="17"/>
      <c r="E1162" s="8">
        <v>16533</v>
      </c>
      <c r="F1162" s="9">
        <v>77</v>
      </c>
      <c r="G1162" s="6" t="s">
        <v>5405</v>
      </c>
      <c r="H1162" s="7" t="s">
        <v>39</v>
      </c>
      <c r="I1162" s="6" t="s">
        <v>5406</v>
      </c>
      <c r="J1162" s="7" t="s">
        <v>20</v>
      </c>
      <c r="K1162" s="7" t="s">
        <v>26</v>
      </c>
      <c r="L1162" s="6"/>
      <c r="M1162" s="10">
        <v>6.1699999999999998E-2</v>
      </c>
      <c r="N1162" s="6" t="s">
        <v>5407</v>
      </c>
      <c r="O1162" s="11">
        <v>1920</v>
      </c>
      <c r="P1162" s="11"/>
      <c r="Q1162" s="18">
        <v>240</v>
      </c>
      <c r="R1162" s="19"/>
    </row>
    <row r="1163" spans="1:18" hidden="1" x14ac:dyDescent="0.3">
      <c r="A1163" s="6" t="s">
        <v>5408</v>
      </c>
      <c r="B1163" s="7" t="s">
        <v>3620</v>
      </c>
      <c r="C1163" s="17" t="s">
        <v>5409</v>
      </c>
      <c r="D1163" s="17"/>
      <c r="E1163" s="7" t="s">
        <v>2329</v>
      </c>
      <c r="F1163" s="9">
        <v>72</v>
      </c>
      <c r="G1163" s="6" t="s">
        <v>5410</v>
      </c>
      <c r="H1163" s="7" t="s">
        <v>19</v>
      </c>
      <c r="I1163" s="6" t="s">
        <v>19</v>
      </c>
      <c r="J1163" s="7" t="s">
        <v>20</v>
      </c>
      <c r="K1163" s="7"/>
      <c r="L1163" s="6"/>
      <c r="M1163" s="10">
        <v>5.3999999999999999E-2</v>
      </c>
      <c r="N1163" s="6" t="s">
        <v>5411</v>
      </c>
      <c r="O1163" s="6" t="s">
        <v>19</v>
      </c>
      <c r="P1163" s="6"/>
      <c r="Q1163" s="19" t="s">
        <v>19</v>
      </c>
      <c r="R1163" s="19"/>
    </row>
    <row r="1164" spans="1:18" ht="43.2" hidden="1" x14ac:dyDescent="0.3">
      <c r="A1164" s="6" t="s">
        <v>5412</v>
      </c>
      <c r="B1164" s="7" t="s">
        <v>859</v>
      </c>
      <c r="C1164" s="17" t="s">
        <v>5413</v>
      </c>
      <c r="D1164" s="17"/>
      <c r="E1164" s="8">
        <v>18074</v>
      </c>
      <c r="F1164" s="9">
        <v>73</v>
      </c>
      <c r="G1164" s="6" t="s">
        <v>5414</v>
      </c>
      <c r="H1164" s="7" t="s">
        <v>39</v>
      </c>
      <c r="I1164" s="6" t="s">
        <v>122</v>
      </c>
      <c r="J1164" s="7" t="s">
        <v>20</v>
      </c>
      <c r="K1164" s="7" t="s">
        <v>26</v>
      </c>
      <c r="L1164" s="6"/>
      <c r="M1164" s="10">
        <v>5.5300000000000002E-2</v>
      </c>
      <c r="N1164" s="6" t="s">
        <v>5415</v>
      </c>
      <c r="O1164" s="11">
        <v>16000</v>
      </c>
      <c r="P1164" s="11"/>
      <c r="Q1164" s="18">
        <v>2000</v>
      </c>
      <c r="R1164" s="19"/>
    </row>
    <row r="1165" spans="1:18" ht="28.8" hidden="1" x14ac:dyDescent="0.3">
      <c r="A1165" s="6" t="s">
        <v>5416</v>
      </c>
      <c r="B1165" s="7" t="s">
        <v>5417</v>
      </c>
      <c r="C1165" s="17" t="s">
        <v>5418</v>
      </c>
      <c r="D1165" s="17"/>
      <c r="E1165" s="8">
        <v>18319</v>
      </c>
      <c r="F1165" s="9">
        <v>72</v>
      </c>
      <c r="G1165" s="6" t="s">
        <v>5419</v>
      </c>
      <c r="H1165" s="7" t="s">
        <v>39</v>
      </c>
      <c r="I1165" s="6" t="s">
        <v>249</v>
      </c>
      <c r="J1165" s="7" t="s">
        <v>20</v>
      </c>
      <c r="K1165" s="7" t="s">
        <v>26</v>
      </c>
      <c r="L1165" s="6"/>
      <c r="M1165" s="10">
        <v>5.3999999999999999E-2</v>
      </c>
      <c r="N1165" s="6" t="s">
        <v>5420</v>
      </c>
      <c r="O1165" s="11">
        <v>7600</v>
      </c>
      <c r="P1165" s="11"/>
      <c r="Q1165" s="18">
        <v>200</v>
      </c>
      <c r="R1165" s="19"/>
    </row>
    <row r="1166" spans="1:18" hidden="1" x14ac:dyDescent="0.3">
      <c r="A1166" s="6" t="s">
        <v>5421</v>
      </c>
      <c r="B1166" s="7" t="s">
        <v>129</v>
      </c>
      <c r="C1166" s="17" t="s">
        <v>5422</v>
      </c>
      <c r="D1166" s="17"/>
      <c r="E1166" s="8">
        <v>16614</v>
      </c>
      <c r="F1166" s="9">
        <v>77</v>
      </c>
      <c r="G1166" s="6" t="s">
        <v>5423</v>
      </c>
      <c r="H1166" s="7" t="s">
        <v>25</v>
      </c>
      <c r="I1166" s="6"/>
      <c r="J1166" s="7" t="s">
        <v>20</v>
      </c>
      <c r="K1166" s="7" t="s">
        <v>32</v>
      </c>
      <c r="L1166" s="6"/>
      <c r="M1166" s="10">
        <v>6.1699999999999998E-2</v>
      </c>
      <c r="N1166" s="6" t="s">
        <v>5424</v>
      </c>
      <c r="O1166" s="11">
        <v>2000</v>
      </c>
      <c r="P1166" s="11"/>
      <c r="Q1166" s="18">
        <v>1000</v>
      </c>
      <c r="R1166" s="19"/>
    </row>
    <row r="1167" spans="1:18" hidden="1" x14ac:dyDescent="0.3">
      <c r="A1167" s="6" t="s">
        <v>5425</v>
      </c>
      <c r="B1167" s="7" t="s">
        <v>140</v>
      </c>
      <c r="C1167" s="17" t="s">
        <v>5422</v>
      </c>
      <c r="D1167" s="17"/>
      <c r="E1167" s="7" t="s">
        <v>1971</v>
      </c>
      <c r="F1167" s="9">
        <v>75</v>
      </c>
      <c r="G1167" s="6" t="s">
        <v>5426</v>
      </c>
      <c r="H1167" s="7" t="s">
        <v>25</v>
      </c>
      <c r="I1167" s="6" t="s">
        <v>19</v>
      </c>
      <c r="J1167" s="7" t="s">
        <v>41</v>
      </c>
      <c r="K1167" s="7" t="s">
        <v>32</v>
      </c>
      <c r="L1167" s="9">
        <v>69</v>
      </c>
      <c r="M1167" s="10">
        <v>4.7600000000000003E-2</v>
      </c>
      <c r="N1167" s="6" t="s">
        <v>5427</v>
      </c>
      <c r="O1167" s="6" t="s">
        <v>19</v>
      </c>
      <c r="P1167" s="6"/>
      <c r="Q1167" s="19" t="s">
        <v>19</v>
      </c>
      <c r="R1167" s="19"/>
    </row>
    <row r="1168" spans="1:18" hidden="1" x14ac:dyDescent="0.3">
      <c r="A1168" s="6" t="s">
        <v>5428</v>
      </c>
      <c r="B1168" s="7" t="s">
        <v>5429</v>
      </c>
      <c r="C1168" s="17" t="s">
        <v>5430</v>
      </c>
      <c r="D1168" s="17"/>
      <c r="E1168" s="7" t="s">
        <v>5431</v>
      </c>
      <c r="F1168" s="9">
        <v>73</v>
      </c>
      <c r="G1168" s="6" t="s">
        <v>5432</v>
      </c>
      <c r="H1168" s="7" t="s">
        <v>25</v>
      </c>
      <c r="I1168" s="6" t="s">
        <v>19</v>
      </c>
      <c r="J1168" s="7" t="s">
        <v>20</v>
      </c>
      <c r="K1168" s="7" t="s">
        <v>26</v>
      </c>
      <c r="L1168" s="6"/>
      <c r="M1168" s="10">
        <v>5.5300000000000002E-2</v>
      </c>
      <c r="N1168" s="6" t="s">
        <v>5433</v>
      </c>
      <c r="O1168" s="6" t="s">
        <v>19</v>
      </c>
      <c r="P1168" s="6"/>
      <c r="Q1168" s="19" t="s">
        <v>19</v>
      </c>
      <c r="R1168" s="19"/>
    </row>
    <row r="1169" spans="1:18" ht="43.2" hidden="1" x14ac:dyDescent="0.3">
      <c r="A1169" s="6" t="s">
        <v>5434</v>
      </c>
      <c r="B1169" s="7" t="s">
        <v>1822</v>
      </c>
      <c r="C1169" s="17" t="s">
        <v>5435</v>
      </c>
      <c r="D1169" s="17"/>
      <c r="E1169" s="8">
        <v>18077</v>
      </c>
      <c r="F1169" s="9">
        <v>73</v>
      </c>
      <c r="G1169" s="6" t="s">
        <v>5436</v>
      </c>
      <c r="H1169" s="7" t="s">
        <v>39</v>
      </c>
      <c r="I1169" s="6" t="s">
        <v>100</v>
      </c>
      <c r="J1169" s="7" t="s">
        <v>20</v>
      </c>
      <c r="K1169" s="7" t="s">
        <v>26</v>
      </c>
      <c r="L1169" s="6"/>
      <c r="M1169" s="10">
        <v>5.5300000000000002E-2</v>
      </c>
      <c r="N1169" s="6" t="s">
        <v>5437</v>
      </c>
      <c r="O1169" s="11">
        <v>6000</v>
      </c>
      <c r="P1169" s="11"/>
      <c r="Q1169" s="18">
        <v>6000</v>
      </c>
      <c r="R1169" s="19"/>
    </row>
    <row r="1170" spans="1:18" ht="43.2" x14ac:dyDescent="0.3">
      <c r="A1170" s="6" t="s">
        <v>5438</v>
      </c>
      <c r="B1170" s="7" t="s">
        <v>2735</v>
      </c>
      <c r="C1170" s="17" t="s">
        <v>5439</v>
      </c>
      <c r="D1170" s="17"/>
      <c r="E1170" s="8">
        <v>17959</v>
      </c>
      <c r="F1170" s="9">
        <v>73</v>
      </c>
      <c r="G1170" s="6" t="s">
        <v>5440</v>
      </c>
      <c r="H1170" s="7" t="s">
        <v>39</v>
      </c>
      <c r="I1170" s="6" t="s">
        <v>5441</v>
      </c>
      <c r="J1170" s="7" t="s">
        <v>41</v>
      </c>
      <c r="K1170" s="7" t="s">
        <v>26</v>
      </c>
      <c r="L1170" s="9">
        <v>68</v>
      </c>
      <c r="M1170" s="10">
        <v>4.5499999999999999E-2</v>
      </c>
      <c r="N1170" s="6" t="s">
        <v>5442</v>
      </c>
      <c r="O1170" s="11">
        <v>28200</v>
      </c>
      <c r="P1170" s="11"/>
      <c r="Q1170" s="18">
        <v>3525</v>
      </c>
      <c r="R1170" s="19"/>
    </row>
    <row r="1171" spans="1:18" ht="43.2" hidden="1" x14ac:dyDescent="0.3">
      <c r="A1171" s="6" t="s">
        <v>5443</v>
      </c>
      <c r="B1171" s="7" t="s">
        <v>2405</v>
      </c>
      <c r="C1171" s="17" t="s">
        <v>5439</v>
      </c>
      <c r="D1171" s="17"/>
      <c r="E1171" s="8">
        <v>17735</v>
      </c>
      <c r="F1171" s="9">
        <v>74</v>
      </c>
      <c r="G1171" s="6" t="s">
        <v>5444</v>
      </c>
      <c r="H1171" s="7" t="s">
        <v>39</v>
      </c>
      <c r="I1171" s="6" t="s">
        <v>106</v>
      </c>
      <c r="J1171" s="7" t="s">
        <v>20</v>
      </c>
      <c r="K1171" s="7" t="s">
        <v>26</v>
      </c>
      <c r="L1171" s="6"/>
      <c r="M1171" s="10">
        <v>5.67E-2</v>
      </c>
      <c r="N1171" s="6" t="s">
        <v>5445</v>
      </c>
      <c r="O1171" s="11">
        <v>32000</v>
      </c>
      <c r="P1171" s="11"/>
      <c r="Q1171" s="18">
        <v>4000</v>
      </c>
      <c r="R1171" s="19"/>
    </row>
    <row r="1172" spans="1:18" hidden="1" x14ac:dyDescent="0.3">
      <c r="A1172" s="6" t="s">
        <v>5446</v>
      </c>
      <c r="B1172" s="7" t="s">
        <v>2930</v>
      </c>
      <c r="C1172" s="17" t="s">
        <v>5447</v>
      </c>
      <c r="D1172" s="17"/>
      <c r="E1172" s="8">
        <v>18316</v>
      </c>
      <c r="F1172" s="9">
        <v>72</v>
      </c>
      <c r="G1172" s="6" t="s">
        <v>5448</v>
      </c>
      <c r="H1172" s="7" t="s">
        <v>25</v>
      </c>
      <c r="I1172" s="6"/>
      <c r="J1172" s="7" t="s">
        <v>20</v>
      </c>
      <c r="K1172" s="7" t="s">
        <v>32</v>
      </c>
      <c r="L1172" s="6"/>
      <c r="M1172" s="10">
        <v>5.3999999999999999E-2</v>
      </c>
      <c r="N1172" s="6" t="s">
        <v>5449</v>
      </c>
      <c r="O1172" s="11">
        <v>4134.26</v>
      </c>
      <c r="P1172" s="11"/>
      <c r="Q1172" s="18">
        <v>4134.26</v>
      </c>
      <c r="R1172" s="19"/>
    </row>
    <row r="1173" spans="1:18" ht="43.2" hidden="1" x14ac:dyDescent="0.3">
      <c r="A1173" s="6" t="s">
        <v>5450</v>
      </c>
      <c r="B1173" s="7" t="s">
        <v>2197</v>
      </c>
      <c r="C1173" s="17" t="s">
        <v>5447</v>
      </c>
      <c r="D1173" s="17"/>
      <c r="E1173" s="8">
        <v>18597</v>
      </c>
      <c r="F1173" s="9">
        <v>72</v>
      </c>
      <c r="G1173" s="6" t="s">
        <v>5451</v>
      </c>
      <c r="H1173" s="7" t="s">
        <v>39</v>
      </c>
      <c r="I1173" s="6" t="s">
        <v>227</v>
      </c>
      <c r="J1173" s="7" t="s">
        <v>20</v>
      </c>
      <c r="K1173" s="7" t="s">
        <v>26</v>
      </c>
      <c r="L1173" s="6"/>
      <c r="M1173" s="10">
        <v>5.3999999999999999E-2</v>
      </c>
      <c r="N1173" s="6" t="s">
        <v>5452</v>
      </c>
      <c r="O1173" s="11">
        <v>18400</v>
      </c>
      <c r="P1173" s="11"/>
      <c r="Q1173" s="18">
        <v>2300</v>
      </c>
      <c r="R1173" s="19"/>
    </row>
    <row r="1174" spans="1:18" hidden="1" x14ac:dyDescent="0.3">
      <c r="A1174" s="6" t="s">
        <v>5453</v>
      </c>
      <c r="B1174" s="7" t="s">
        <v>1013</v>
      </c>
      <c r="C1174" s="17" t="s">
        <v>5454</v>
      </c>
      <c r="D1174" s="17"/>
      <c r="E1174" s="8">
        <v>18153</v>
      </c>
      <c r="F1174" s="9">
        <v>73</v>
      </c>
      <c r="G1174" s="6" t="s">
        <v>5455</v>
      </c>
      <c r="H1174" s="7" t="s">
        <v>25</v>
      </c>
      <c r="I1174" s="6"/>
      <c r="J1174" s="7" t="s">
        <v>20</v>
      </c>
      <c r="K1174" s="7" t="s">
        <v>26</v>
      </c>
      <c r="L1174" s="6"/>
      <c r="M1174" s="10">
        <v>5.5300000000000002E-2</v>
      </c>
      <c r="N1174" s="6" t="s">
        <v>5456</v>
      </c>
      <c r="O1174" s="11">
        <v>8567.36</v>
      </c>
      <c r="P1174" s="11"/>
      <c r="Q1174" s="18">
        <v>11.77</v>
      </c>
      <c r="R1174" s="19"/>
    </row>
    <row r="1175" spans="1:18" x14ac:dyDescent="0.3">
      <c r="A1175" s="6" t="s">
        <v>5457</v>
      </c>
      <c r="B1175" s="7" t="s">
        <v>5458</v>
      </c>
      <c r="C1175" s="17" t="s">
        <v>5454</v>
      </c>
      <c r="D1175" s="17"/>
      <c r="E1175" s="8">
        <v>16434</v>
      </c>
      <c r="F1175" s="9">
        <v>78</v>
      </c>
      <c r="G1175" s="6" t="s">
        <v>5459</v>
      </c>
      <c r="H1175" s="7" t="s">
        <v>25</v>
      </c>
      <c r="I1175" s="6"/>
      <c r="J1175" s="7" t="s">
        <v>41</v>
      </c>
      <c r="K1175" s="7" t="s">
        <v>32</v>
      </c>
      <c r="L1175" s="9">
        <v>68</v>
      </c>
      <c r="M1175" s="10">
        <v>4.5499999999999999E-2</v>
      </c>
      <c r="N1175" s="6" t="s">
        <v>5460</v>
      </c>
      <c r="O1175" s="11">
        <v>2524.92</v>
      </c>
      <c r="P1175" s="11"/>
      <c r="Q1175" s="18">
        <v>2524.92</v>
      </c>
      <c r="R1175" s="19"/>
    </row>
    <row r="1176" spans="1:18" ht="43.2" hidden="1" x14ac:dyDescent="0.3">
      <c r="A1176" s="6" t="s">
        <v>5461</v>
      </c>
      <c r="B1176" s="7" t="s">
        <v>5462</v>
      </c>
      <c r="C1176" s="17" t="s">
        <v>5463</v>
      </c>
      <c r="D1176" s="17"/>
      <c r="E1176" s="8">
        <v>16850</v>
      </c>
      <c r="F1176" s="9">
        <v>76</v>
      </c>
      <c r="G1176" s="6" t="s">
        <v>5464</v>
      </c>
      <c r="H1176" s="7" t="s">
        <v>39</v>
      </c>
      <c r="I1176" s="6" t="s">
        <v>122</v>
      </c>
      <c r="J1176" s="7" t="s">
        <v>20</v>
      </c>
      <c r="K1176" s="7" t="s">
        <v>32</v>
      </c>
      <c r="L1176" s="6"/>
      <c r="M1176" s="10">
        <v>5.9799999999999999E-2</v>
      </c>
      <c r="N1176" s="6" t="s">
        <v>5465</v>
      </c>
      <c r="O1176" s="11">
        <v>15578.15</v>
      </c>
      <c r="P1176" s="11"/>
      <c r="Q1176" s="18">
        <v>15578.15</v>
      </c>
      <c r="R1176" s="19"/>
    </row>
    <row r="1177" spans="1:18" ht="43.2" x14ac:dyDescent="0.3">
      <c r="A1177" s="6" t="s">
        <v>5466</v>
      </c>
      <c r="B1177" s="7" t="s">
        <v>349</v>
      </c>
      <c r="C1177" s="17" t="s">
        <v>5467</v>
      </c>
      <c r="D1177" s="17"/>
      <c r="E1177" s="8">
        <v>17830</v>
      </c>
      <c r="F1177" s="9">
        <v>74</v>
      </c>
      <c r="G1177" s="6" t="s">
        <v>5468</v>
      </c>
      <c r="H1177" s="7" t="s">
        <v>39</v>
      </c>
      <c r="I1177" s="6" t="s">
        <v>106</v>
      </c>
      <c r="J1177" s="7" t="s">
        <v>41</v>
      </c>
      <c r="K1177" s="7" t="s">
        <v>26</v>
      </c>
      <c r="L1177" s="9">
        <v>71</v>
      </c>
      <c r="M1177" s="10">
        <v>5.28E-2</v>
      </c>
      <c r="N1177" s="6" t="s">
        <v>5469</v>
      </c>
      <c r="O1177" s="11">
        <v>32000</v>
      </c>
      <c r="P1177" s="11"/>
      <c r="Q1177" s="18">
        <v>4000</v>
      </c>
      <c r="R1177" s="19"/>
    </row>
    <row r="1178" spans="1:18" ht="43.2" hidden="1" x14ac:dyDescent="0.3">
      <c r="A1178" s="6" t="s">
        <v>5470</v>
      </c>
      <c r="B1178" s="7" t="s">
        <v>292</v>
      </c>
      <c r="C1178" s="17" t="s">
        <v>5471</v>
      </c>
      <c r="D1178" s="17"/>
      <c r="E1178" s="8">
        <v>18197</v>
      </c>
      <c r="F1178" s="9">
        <v>73</v>
      </c>
      <c r="G1178" s="6" t="s">
        <v>5472</v>
      </c>
      <c r="H1178" s="7" t="s">
        <v>39</v>
      </c>
      <c r="I1178" s="6" t="s">
        <v>533</v>
      </c>
      <c r="J1178" s="7" t="s">
        <v>20</v>
      </c>
      <c r="K1178" s="7" t="s">
        <v>32</v>
      </c>
      <c r="L1178" s="6"/>
      <c r="M1178" s="10">
        <v>5.5300000000000002E-2</v>
      </c>
      <c r="N1178" s="6" t="s">
        <v>5473</v>
      </c>
      <c r="O1178" s="11">
        <v>10000</v>
      </c>
      <c r="P1178" s="11"/>
      <c r="Q1178" s="18">
        <v>10000</v>
      </c>
      <c r="R1178" s="19"/>
    </row>
    <row r="1179" spans="1:18" ht="28.8" hidden="1" x14ac:dyDescent="0.3">
      <c r="A1179" s="6" t="s">
        <v>5474</v>
      </c>
      <c r="B1179" s="7" t="s">
        <v>859</v>
      </c>
      <c r="C1179" s="17" t="s">
        <v>5475</v>
      </c>
      <c r="D1179" s="17"/>
      <c r="E1179" s="8">
        <v>17368</v>
      </c>
      <c r="F1179" s="9">
        <v>75</v>
      </c>
      <c r="G1179" s="6" t="s">
        <v>5476</v>
      </c>
      <c r="H1179" s="7" t="s">
        <v>39</v>
      </c>
      <c r="I1179" s="6" t="s">
        <v>5477</v>
      </c>
      <c r="J1179" s="7" t="s">
        <v>20</v>
      </c>
      <c r="K1179" s="7" t="s">
        <v>26</v>
      </c>
      <c r="L1179" s="6"/>
      <c r="M1179" s="10">
        <v>5.8200000000000002E-2</v>
      </c>
      <c r="N1179" s="6" t="s">
        <v>5478</v>
      </c>
      <c r="O1179" s="11">
        <v>2640</v>
      </c>
      <c r="P1179" s="11"/>
      <c r="Q1179" s="18">
        <v>330</v>
      </c>
      <c r="R1179" s="19"/>
    </row>
    <row r="1180" spans="1:18" hidden="1" x14ac:dyDescent="0.3">
      <c r="A1180" s="6" t="s">
        <v>5479</v>
      </c>
      <c r="B1180" s="7" t="s">
        <v>5480</v>
      </c>
      <c r="C1180" s="17" t="s">
        <v>5475</v>
      </c>
      <c r="D1180" s="17"/>
      <c r="E1180" s="8">
        <v>17626</v>
      </c>
      <c r="F1180" s="9">
        <v>74</v>
      </c>
      <c r="G1180" s="6" t="s">
        <v>5481</v>
      </c>
      <c r="H1180" s="7" t="s">
        <v>25</v>
      </c>
      <c r="I1180" s="6"/>
      <c r="J1180" s="7" t="s">
        <v>20</v>
      </c>
      <c r="K1180" s="7" t="s">
        <v>32</v>
      </c>
      <c r="L1180" s="6"/>
      <c r="M1180" s="10">
        <v>5.67E-2</v>
      </c>
      <c r="N1180" s="6" t="s">
        <v>5482</v>
      </c>
      <c r="O1180" s="11">
        <v>4112.82</v>
      </c>
      <c r="P1180" s="11"/>
      <c r="Q1180" s="18">
        <v>4112.82</v>
      </c>
      <c r="R1180" s="19"/>
    </row>
    <row r="1181" spans="1:18" hidden="1" x14ac:dyDescent="0.3">
      <c r="A1181" s="6" t="s">
        <v>5483</v>
      </c>
      <c r="B1181" s="7" t="s">
        <v>1316</v>
      </c>
      <c r="C1181" s="17" t="s">
        <v>5475</v>
      </c>
      <c r="D1181" s="17"/>
      <c r="E1181" s="8">
        <v>17755</v>
      </c>
      <c r="F1181" s="9">
        <v>74</v>
      </c>
      <c r="G1181" s="6" t="s">
        <v>5484</v>
      </c>
      <c r="H1181" s="7" t="s">
        <v>25</v>
      </c>
      <c r="I1181" s="6"/>
      <c r="J1181" s="7" t="s">
        <v>20</v>
      </c>
      <c r="K1181" s="7" t="s">
        <v>26</v>
      </c>
      <c r="L1181" s="6"/>
      <c r="M1181" s="10">
        <v>5.67E-2</v>
      </c>
      <c r="N1181" s="6" t="s">
        <v>5485</v>
      </c>
      <c r="O1181" s="11">
        <v>58489.919999999998</v>
      </c>
      <c r="P1181" s="11"/>
      <c r="Q1181" s="18">
        <v>7311.24</v>
      </c>
      <c r="R1181" s="19"/>
    </row>
    <row r="1182" spans="1:18" hidden="1" x14ac:dyDescent="0.3">
      <c r="A1182" s="6" t="s">
        <v>5486</v>
      </c>
      <c r="B1182" s="7" t="s">
        <v>349</v>
      </c>
      <c r="C1182" s="17" t="s">
        <v>5487</v>
      </c>
      <c r="D1182" s="17"/>
      <c r="E1182" s="7" t="s">
        <v>5488</v>
      </c>
      <c r="F1182" s="9">
        <v>72</v>
      </c>
      <c r="G1182" s="6" t="s">
        <v>5489</v>
      </c>
      <c r="H1182" s="7" t="s">
        <v>19</v>
      </c>
      <c r="I1182" s="6" t="s">
        <v>19</v>
      </c>
      <c r="J1182" s="7" t="s">
        <v>20</v>
      </c>
      <c r="K1182" s="7"/>
      <c r="L1182" s="6"/>
      <c r="M1182" s="10">
        <v>5.3999999999999999E-2</v>
      </c>
      <c r="N1182" s="6" t="s">
        <v>5490</v>
      </c>
      <c r="O1182" s="6" t="s">
        <v>19</v>
      </c>
      <c r="P1182" s="6"/>
      <c r="Q1182" s="19" t="s">
        <v>19</v>
      </c>
      <c r="R1182" s="19"/>
    </row>
    <row r="1183" spans="1:18" ht="28.8" hidden="1" x14ac:dyDescent="0.3">
      <c r="A1183" s="6" t="s">
        <v>5491</v>
      </c>
      <c r="B1183" s="7" t="s">
        <v>2182</v>
      </c>
      <c r="C1183" s="17" t="s">
        <v>5492</v>
      </c>
      <c r="D1183" s="17"/>
      <c r="E1183" s="8">
        <v>18401</v>
      </c>
      <c r="F1183" s="9">
        <v>72</v>
      </c>
      <c r="G1183" s="6" t="s">
        <v>5493</v>
      </c>
      <c r="H1183" s="7" t="s">
        <v>39</v>
      </c>
      <c r="I1183" s="6" t="s">
        <v>5494</v>
      </c>
      <c r="J1183" s="7" t="s">
        <v>20</v>
      </c>
      <c r="K1183" s="7" t="s">
        <v>26</v>
      </c>
      <c r="L1183" s="6"/>
      <c r="M1183" s="10">
        <v>5.3999999999999999E-2</v>
      </c>
      <c r="N1183" s="6" t="s">
        <v>5495</v>
      </c>
      <c r="O1183" s="11">
        <v>4080</v>
      </c>
      <c r="P1183" s="11"/>
      <c r="Q1183" s="18">
        <v>510</v>
      </c>
      <c r="R1183" s="19"/>
    </row>
    <row r="1184" spans="1:18" ht="43.2" hidden="1" x14ac:dyDescent="0.3">
      <c r="A1184" s="6" t="s">
        <v>5496</v>
      </c>
      <c r="B1184" s="7" t="s">
        <v>129</v>
      </c>
      <c r="C1184" s="17" t="s">
        <v>5497</v>
      </c>
      <c r="D1184" s="17"/>
      <c r="E1184" s="8">
        <v>17732</v>
      </c>
      <c r="F1184" s="9">
        <v>74</v>
      </c>
      <c r="G1184" s="6" t="s">
        <v>5498</v>
      </c>
      <c r="H1184" s="7" t="s">
        <v>39</v>
      </c>
      <c r="I1184" s="6" t="s">
        <v>5499</v>
      </c>
      <c r="J1184" s="7" t="s">
        <v>20</v>
      </c>
      <c r="K1184" s="7" t="s">
        <v>26</v>
      </c>
      <c r="L1184" s="6"/>
      <c r="M1184" s="10">
        <v>5.67E-2</v>
      </c>
      <c r="N1184" s="6" t="s">
        <v>5500</v>
      </c>
      <c r="O1184" s="11">
        <v>56800</v>
      </c>
      <c r="P1184" s="11"/>
      <c r="Q1184" s="18">
        <v>7100</v>
      </c>
      <c r="R1184" s="19"/>
    </row>
    <row r="1185" spans="1:18" ht="43.2" hidden="1" x14ac:dyDescent="0.3">
      <c r="A1185" s="6" t="s">
        <v>5501</v>
      </c>
      <c r="B1185" s="7" t="s">
        <v>224</v>
      </c>
      <c r="C1185" s="17" t="s">
        <v>5497</v>
      </c>
      <c r="D1185" s="17"/>
      <c r="E1185" s="8">
        <v>18070</v>
      </c>
      <c r="F1185" s="9">
        <v>73</v>
      </c>
      <c r="G1185" s="6" t="s">
        <v>5502</v>
      </c>
      <c r="H1185" s="7" t="s">
        <v>39</v>
      </c>
      <c r="I1185" s="6" t="s">
        <v>40</v>
      </c>
      <c r="J1185" s="7" t="s">
        <v>20</v>
      </c>
      <c r="K1185" s="7" t="s">
        <v>26</v>
      </c>
      <c r="L1185" s="6"/>
      <c r="M1185" s="10">
        <v>5.5300000000000002E-2</v>
      </c>
      <c r="N1185" s="6" t="s">
        <v>5503</v>
      </c>
      <c r="O1185" s="11">
        <v>26000</v>
      </c>
      <c r="P1185" s="11"/>
      <c r="Q1185" s="18">
        <v>3000</v>
      </c>
      <c r="R1185" s="19"/>
    </row>
    <row r="1186" spans="1:18" ht="43.2" hidden="1" x14ac:dyDescent="0.3">
      <c r="A1186" s="6" t="s">
        <v>5504</v>
      </c>
      <c r="B1186" s="7" t="s">
        <v>977</v>
      </c>
      <c r="C1186" s="17" t="s">
        <v>5505</v>
      </c>
      <c r="D1186" s="17"/>
      <c r="E1186" s="8">
        <v>18141</v>
      </c>
      <c r="F1186" s="9">
        <v>73</v>
      </c>
      <c r="G1186" s="6" t="s">
        <v>5506</v>
      </c>
      <c r="H1186" s="7" t="s">
        <v>39</v>
      </c>
      <c r="I1186" s="6" t="s">
        <v>132</v>
      </c>
      <c r="J1186" s="7" t="s">
        <v>20</v>
      </c>
      <c r="K1186" s="7" t="s">
        <v>26</v>
      </c>
      <c r="L1186" s="6"/>
      <c r="M1186" s="10">
        <v>5.5300000000000002E-2</v>
      </c>
      <c r="N1186" s="6" t="s">
        <v>5507</v>
      </c>
      <c r="O1186" s="11">
        <v>19000</v>
      </c>
      <c r="P1186" s="11"/>
      <c r="Q1186" s="18">
        <v>1500</v>
      </c>
      <c r="R1186" s="19"/>
    </row>
    <row r="1187" spans="1:18" hidden="1" x14ac:dyDescent="0.3">
      <c r="A1187" s="6" t="s">
        <v>5508</v>
      </c>
      <c r="B1187" s="7" t="s">
        <v>206</v>
      </c>
      <c r="C1187" s="17" t="s">
        <v>5509</v>
      </c>
      <c r="D1187" s="17"/>
      <c r="E1187" s="8">
        <v>17370</v>
      </c>
      <c r="F1187" s="9">
        <v>75</v>
      </c>
      <c r="G1187" s="6" t="s">
        <v>5510</v>
      </c>
      <c r="H1187" s="7" t="s">
        <v>25</v>
      </c>
      <c r="I1187" s="6"/>
      <c r="J1187" s="7" t="s">
        <v>20</v>
      </c>
      <c r="K1187" s="7" t="s">
        <v>26</v>
      </c>
      <c r="L1187" s="6"/>
      <c r="M1187" s="10">
        <v>5.8200000000000002E-2</v>
      </c>
      <c r="N1187" s="6" t="s">
        <v>5511</v>
      </c>
      <c r="O1187" s="11">
        <v>4602.32</v>
      </c>
      <c r="P1187" s="11"/>
      <c r="Q1187" s="18">
        <v>575.29</v>
      </c>
      <c r="R1187" s="19"/>
    </row>
    <row r="1188" spans="1:18" ht="43.2" hidden="1" x14ac:dyDescent="0.3">
      <c r="A1188" s="6" t="s">
        <v>5512</v>
      </c>
      <c r="B1188" s="7" t="s">
        <v>5513</v>
      </c>
      <c r="C1188" s="17" t="s">
        <v>5514</v>
      </c>
      <c r="D1188" s="17"/>
      <c r="E1188" s="8">
        <v>16274</v>
      </c>
      <c r="F1188" s="9">
        <v>78</v>
      </c>
      <c r="G1188" s="6" t="s">
        <v>5515</v>
      </c>
      <c r="H1188" s="7" t="s">
        <v>39</v>
      </c>
      <c r="I1188" s="6" t="s">
        <v>1350</v>
      </c>
      <c r="J1188" s="7" t="s">
        <v>20</v>
      </c>
      <c r="K1188" s="7" t="s">
        <v>26</v>
      </c>
      <c r="L1188" s="6"/>
      <c r="M1188" s="10">
        <v>6.3600000000000004E-2</v>
      </c>
      <c r="N1188" s="6" t="s">
        <v>5516</v>
      </c>
      <c r="O1188" s="11">
        <v>44000</v>
      </c>
      <c r="P1188" s="11"/>
      <c r="Q1188" s="18">
        <v>1501.96</v>
      </c>
      <c r="R1188" s="19"/>
    </row>
    <row r="1189" spans="1:18" ht="43.2" hidden="1" x14ac:dyDescent="0.3">
      <c r="A1189" s="6" t="s">
        <v>5517</v>
      </c>
      <c r="B1189" s="7" t="s">
        <v>2930</v>
      </c>
      <c r="C1189" s="17" t="s">
        <v>5518</v>
      </c>
      <c r="D1189" s="17"/>
      <c r="E1189" s="8">
        <v>17794</v>
      </c>
      <c r="F1189" s="9">
        <v>74</v>
      </c>
      <c r="G1189" s="6" t="s">
        <v>5519</v>
      </c>
      <c r="H1189" s="7" t="s">
        <v>39</v>
      </c>
      <c r="I1189" s="6" t="s">
        <v>89</v>
      </c>
      <c r="J1189" s="7" t="s">
        <v>20</v>
      </c>
      <c r="K1189" s="7" t="s">
        <v>26</v>
      </c>
      <c r="L1189" s="6"/>
      <c r="M1189" s="10">
        <v>5.67E-2</v>
      </c>
      <c r="N1189" s="6" t="s">
        <v>5520</v>
      </c>
      <c r="O1189" s="11">
        <v>9600</v>
      </c>
      <c r="P1189" s="11"/>
      <c r="Q1189" s="18">
        <v>1200</v>
      </c>
      <c r="R1189" s="19"/>
    </row>
    <row r="1190" spans="1:18" hidden="1" x14ac:dyDescent="0.3">
      <c r="A1190" s="6" t="s">
        <v>5521</v>
      </c>
      <c r="B1190" s="7" t="s">
        <v>2857</v>
      </c>
      <c r="C1190" s="17" t="s">
        <v>5518</v>
      </c>
      <c r="D1190" s="17"/>
      <c r="E1190" s="8">
        <v>18383</v>
      </c>
      <c r="F1190" s="9">
        <v>72</v>
      </c>
      <c r="G1190" s="6" t="s">
        <v>5522</v>
      </c>
      <c r="H1190" s="7" t="s">
        <v>25</v>
      </c>
      <c r="I1190" s="6"/>
      <c r="J1190" s="7" t="s">
        <v>20</v>
      </c>
      <c r="K1190" s="7" t="s">
        <v>26</v>
      </c>
      <c r="L1190" s="6"/>
      <c r="M1190" s="10">
        <v>5.3999999999999999E-2</v>
      </c>
      <c r="N1190" s="6" t="s">
        <v>5523</v>
      </c>
      <c r="O1190" s="11">
        <v>15070.88</v>
      </c>
      <c r="P1190" s="11"/>
      <c r="Q1190" s="18">
        <v>128.96</v>
      </c>
      <c r="R1190" s="19"/>
    </row>
    <row r="1191" spans="1:18" ht="28.8" hidden="1" x14ac:dyDescent="0.3">
      <c r="A1191" s="6" t="s">
        <v>5524</v>
      </c>
      <c r="B1191" s="7" t="s">
        <v>224</v>
      </c>
      <c r="C1191" s="17" t="s">
        <v>5525</v>
      </c>
      <c r="D1191" s="17"/>
      <c r="E1191" s="8">
        <v>17980</v>
      </c>
      <c r="F1191" s="9">
        <v>73</v>
      </c>
      <c r="G1191" s="6" t="s">
        <v>5526</v>
      </c>
      <c r="H1191" s="7" t="s">
        <v>39</v>
      </c>
      <c r="I1191" s="6" t="s">
        <v>5527</v>
      </c>
      <c r="J1191" s="7" t="s">
        <v>20</v>
      </c>
      <c r="K1191" s="7" t="s">
        <v>26</v>
      </c>
      <c r="L1191" s="6"/>
      <c r="M1191" s="10">
        <v>5.5300000000000002E-2</v>
      </c>
      <c r="N1191" s="6" t="s">
        <v>5528</v>
      </c>
      <c r="O1191" s="11">
        <v>1200</v>
      </c>
      <c r="P1191" s="11"/>
      <c r="Q1191" s="18">
        <v>150</v>
      </c>
      <c r="R1191" s="19"/>
    </row>
    <row r="1192" spans="1:18" ht="43.2" hidden="1" x14ac:dyDescent="0.3">
      <c r="A1192" s="6" t="s">
        <v>5529</v>
      </c>
      <c r="B1192" s="7" t="s">
        <v>2820</v>
      </c>
      <c r="C1192" s="17" t="s">
        <v>5530</v>
      </c>
      <c r="D1192" s="17"/>
      <c r="E1192" s="8">
        <v>18220</v>
      </c>
      <c r="F1192" s="9">
        <v>73</v>
      </c>
      <c r="G1192" s="6" t="s">
        <v>5531</v>
      </c>
      <c r="H1192" s="7" t="s">
        <v>39</v>
      </c>
      <c r="I1192" s="6" t="s">
        <v>1105</v>
      </c>
      <c r="J1192" s="7" t="s">
        <v>20</v>
      </c>
      <c r="K1192" s="7" t="s">
        <v>26</v>
      </c>
      <c r="L1192" s="6"/>
      <c r="M1192" s="10">
        <v>5.5300000000000002E-2</v>
      </c>
      <c r="N1192" s="6" t="s">
        <v>5532</v>
      </c>
      <c r="O1192" s="11">
        <v>10400</v>
      </c>
      <c r="P1192" s="11"/>
      <c r="Q1192" s="18">
        <v>1300</v>
      </c>
      <c r="R1192" s="19"/>
    </row>
    <row r="1193" spans="1:18" ht="43.2" hidden="1" x14ac:dyDescent="0.3">
      <c r="A1193" s="6" t="s">
        <v>5533</v>
      </c>
      <c r="B1193" s="7" t="s">
        <v>2657</v>
      </c>
      <c r="C1193" s="17" t="s">
        <v>5530</v>
      </c>
      <c r="D1193" s="17"/>
      <c r="E1193" s="8">
        <v>16973</v>
      </c>
      <c r="F1193" s="9">
        <v>76</v>
      </c>
      <c r="G1193" s="6" t="s">
        <v>5534</v>
      </c>
      <c r="H1193" s="7" t="s">
        <v>39</v>
      </c>
      <c r="I1193" s="6" t="s">
        <v>538</v>
      </c>
      <c r="J1193" s="7" t="s">
        <v>20</v>
      </c>
      <c r="K1193" s="7" t="s">
        <v>26</v>
      </c>
      <c r="L1193" s="6"/>
      <c r="M1193" s="10">
        <v>5.9799999999999999E-2</v>
      </c>
      <c r="N1193" s="6" t="s">
        <v>5535</v>
      </c>
      <c r="O1193" s="11">
        <v>12800</v>
      </c>
      <c r="P1193" s="11"/>
      <c r="Q1193" s="18">
        <v>1600</v>
      </c>
      <c r="R1193" s="19"/>
    </row>
    <row r="1194" spans="1:18" ht="43.2" hidden="1" x14ac:dyDescent="0.3">
      <c r="A1194" s="6" t="s">
        <v>5536</v>
      </c>
      <c r="B1194" s="7" t="s">
        <v>5537</v>
      </c>
      <c r="C1194" s="17" t="s">
        <v>5538</v>
      </c>
      <c r="D1194" s="17"/>
      <c r="E1194" s="8">
        <v>18489</v>
      </c>
      <c r="F1194" s="9">
        <v>72</v>
      </c>
      <c r="G1194" s="6" t="s">
        <v>5539</v>
      </c>
      <c r="H1194" s="7" t="s">
        <v>39</v>
      </c>
      <c r="I1194" s="6" t="s">
        <v>538</v>
      </c>
      <c r="J1194" s="7" t="s">
        <v>20</v>
      </c>
      <c r="K1194" s="7" t="s">
        <v>26</v>
      </c>
      <c r="L1194" s="6"/>
      <c r="M1194" s="10">
        <v>5.3999999999999999E-2</v>
      </c>
      <c r="N1194" s="6" t="s">
        <v>5540</v>
      </c>
      <c r="O1194" s="11">
        <v>12800</v>
      </c>
      <c r="P1194" s="11"/>
      <c r="Q1194" s="18">
        <v>1600</v>
      </c>
      <c r="R1194" s="19"/>
    </row>
    <row r="1195" spans="1:18" ht="28.8" hidden="1" x14ac:dyDescent="0.3">
      <c r="A1195" s="6" t="s">
        <v>5541</v>
      </c>
      <c r="B1195" s="7" t="s">
        <v>5542</v>
      </c>
      <c r="C1195" s="17" t="s">
        <v>5543</v>
      </c>
      <c r="D1195" s="17"/>
      <c r="E1195" s="8">
        <v>17868</v>
      </c>
      <c r="F1195" s="9">
        <v>74</v>
      </c>
      <c r="G1195" s="6" t="s">
        <v>5544</v>
      </c>
      <c r="H1195" s="7" t="s">
        <v>39</v>
      </c>
      <c r="I1195" s="6" t="s">
        <v>2738</v>
      </c>
      <c r="J1195" s="7" t="s">
        <v>20</v>
      </c>
      <c r="K1195" s="7" t="s">
        <v>26</v>
      </c>
      <c r="L1195" s="6"/>
      <c r="M1195" s="10">
        <v>5.67E-2</v>
      </c>
      <c r="N1195" s="6" t="s">
        <v>5545</v>
      </c>
      <c r="O1195" s="11">
        <v>800</v>
      </c>
      <c r="P1195" s="11"/>
      <c r="Q1195" s="18">
        <v>100</v>
      </c>
      <c r="R1195" s="19"/>
    </row>
    <row r="1196" spans="1:18" ht="43.2" hidden="1" x14ac:dyDescent="0.3">
      <c r="A1196" s="6" t="s">
        <v>5546</v>
      </c>
      <c r="B1196" s="7" t="s">
        <v>5547</v>
      </c>
      <c r="C1196" s="17" t="s">
        <v>5548</v>
      </c>
      <c r="D1196" s="17"/>
      <c r="E1196" s="8">
        <v>16209</v>
      </c>
      <c r="F1196" s="9">
        <v>78</v>
      </c>
      <c r="G1196" s="6" t="s">
        <v>5549</v>
      </c>
      <c r="H1196" s="7" t="s">
        <v>39</v>
      </c>
      <c r="I1196" s="6" t="s">
        <v>1599</v>
      </c>
      <c r="J1196" s="7" t="s">
        <v>20</v>
      </c>
      <c r="K1196" s="7" t="s">
        <v>26</v>
      </c>
      <c r="L1196" s="6"/>
      <c r="M1196" s="10">
        <v>6.3600000000000004E-2</v>
      </c>
      <c r="N1196" s="6" t="s">
        <v>5550</v>
      </c>
      <c r="O1196" s="11">
        <v>25600</v>
      </c>
      <c r="P1196" s="11"/>
      <c r="Q1196" s="18">
        <v>3200</v>
      </c>
      <c r="R1196" s="19"/>
    </row>
    <row r="1197" spans="1:18" hidden="1" x14ac:dyDescent="0.3">
      <c r="A1197" s="6" t="s">
        <v>5551</v>
      </c>
      <c r="B1197" s="7" t="s">
        <v>5552</v>
      </c>
      <c r="C1197" s="17" t="s">
        <v>5553</v>
      </c>
      <c r="D1197" s="17"/>
      <c r="E1197" s="7" t="s">
        <v>4886</v>
      </c>
      <c r="F1197" s="9">
        <v>76</v>
      </c>
      <c r="G1197" s="6" t="s">
        <v>5554</v>
      </c>
      <c r="H1197" s="7" t="s">
        <v>25</v>
      </c>
      <c r="I1197" s="6" t="s">
        <v>19</v>
      </c>
      <c r="J1197" s="7" t="s">
        <v>20</v>
      </c>
      <c r="K1197" s="7" t="s">
        <v>32</v>
      </c>
      <c r="L1197" s="6"/>
      <c r="M1197" s="10">
        <v>5.9799999999999999E-2</v>
      </c>
      <c r="N1197" s="6" t="s">
        <v>5555</v>
      </c>
      <c r="O1197" s="6" t="s">
        <v>19</v>
      </c>
      <c r="P1197" s="6"/>
      <c r="Q1197" s="19" t="s">
        <v>19</v>
      </c>
      <c r="R1197" s="19"/>
    </row>
    <row r="1198" spans="1:18" x14ac:dyDescent="0.3">
      <c r="A1198" s="6" t="s">
        <v>5556</v>
      </c>
      <c r="B1198" s="7" t="s">
        <v>5557</v>
      </c>
      <c r="C1198" s="17" t="s">
        <v>5558</v>
      </c>
      <c r="D1198" s="17"/>
      <c r="E1198" s="8">
        <v>16545</v>
      </c>
      <c r="F1198" s="9">
        <v>77</v>
      </c>
      <c r="G1198" s="6" t="s">
        <v>5559</v>
      </c>
      <c r="H1198" s="7" t="s">
        <v>25</v>
      </c>
      <c r="I1198" s="6"/>
      <c r="J1198" s="7" t="s">
        <v>41</v>
      </c>
      <c r="K1198" s="7" t="s">
        <v>32</v>
      </c>
      <c r="L1198" s="9">
        <v>69</v>
      </c>
      <c r="M1198" s="10">
        <v>4.7600000000000003E-2</v>
      </c>
      <c r="N1198" s="6" t="s">
        <v>5560</v>
      </c>
      <c r="O1198" s="11">
        <v>9121.66</v>
      </c>
      <c r="P1198" s="11"/>
      <c r="Q1198" s="18">
        <v>3251.52</v>
      </c>
      <c r="R1198" s="19"/>
    </row>
    <row r="1199" spans="1:18" hidden="1" x14ac:dyDescent="0.3">
      <c r="A1199" s="6" t="s">
        <v>5561</v>
      </c>
      <c r="B1199" s="7" t="s">
        <v>5562</v>
      </c>
      <c r="C1199" s="17" t="s">
        <v>5563</v>
      </c>
      <c r="D1199" s="17"/>
      <c r="E1199" s="7" t="s">
        <v>3888</v>
      </c>
      <c r="F1199" s="9">
        <v>79</v>
      </c>
      <c r="G1199" s="6" t="s">
        <v>5564</v>
      </c>
      <c r="H1199" s="7" t="s">
        <v>25</v>
      </c>
      <c r="I1199" s="6" t="s">
        <v>19</v>
      </c>
      <c r="J1199" s="7" t="s">
        <v>20</v>
      </c>
      <c r="K1199" s="7" t="s">
        <v>32</v>
      </c>
      <c r="L1199" s="6"/>
      <c r="M1199" s="10">
        <v>6.5799999999999997E-2</v>
      </c>
      <c r="N1199" s="6" t="s">
        <v>5565</v>
      </c>
      <c r="O1199" s="6" t="s">
        <v>19</v>
      </c>
      <c r="P1199" s="6"/>
      <c r="Q1199" s="19" t="s">
        <v>19</v>
      </c>
      <c r="R1199" s="19"/>
    </row>
    <row r="1200" spans="1:18" hidden="1" x14ac:dyDescent="0.3">
      <c r="A1200" s="6" t="s">
        <v>5566</v>
      </c>
      <c r="B1200" s="7" t="s">
        <v>5567</v>
      </c>
      <c r="C1200" s="17" t="s">
        <v>5568</v>
      </c>
      <c r="D1200" s="17"/>
      <c r="E1200" s="7" t="s">
        <v>5569</v>
      </c>
      <c r="F1200" s="9">
        <v>80</v>
      </c>
      <c r="G1200" s="6" t="s">
        <v>5570</v>
      </c>
      <c r="H1200" s="7" t="s">
        <v>25</v>
      </c>
      <c r="I1200" s="6" t="s">
        <v>19</v>
      </c>
      <c r="J1200" s="7" t="s">
        <v>20</v>
      </c>
      <c r="K1200" s="7" t="s">
        <v>32</v>
      </c>
      <c r="L1200" s="6"/>
      <c r="M1200" s="10">
        <v>6.8199999999999997E-2</v>
      </c>
      <c r="N1200" s="6" t="s">
        <v>5571</v>
      </c>
      <c r="O1200" s="6" t="s">
        <v>19</v>
      </c>
      <c r="P1200" s="6"/>
      <c r="Q1200" s="19" t="s">
        <v>19</v>
      </c>
      <c r="R1200" s="19"/>
    </row>
    <row r="1201" spans="1:18" ht="28.8" hidden="1" x14ac:dyDescent="0.3">
      <c r="A1201" s="6" t="s">
        <v>5572</v>
      </c>
      <c r="B1201" s="7" t="s">
        <v>401</v>
      </c>
      <c r="C1201" s="17" t="s">
        <v>5573</v>
      </c>
      <c r="D1201" s="17"/>
      <c r="E1201" s="8">
        <v>16788</v>
      </c>
      <c r="F1201" s="9">
        <v>77</v>
      </c>
      <c r="G1201" s="6" t="s">
        <v>5574</v>
      </c>
      <c r="H1201" s="7" t="s">
        <v>39</v>
      </c>
      <c r="I1201" s="6" t="s">
        <v>67</v>
      </c>
      <c r="J1201" s="7" t="s">
        <v>20</v>
      </c>
      <c r="K1201" s="7" t="s">
        <v>26</v>
      </c>
      <c r="L1201" s="6"/>
      <c r="M1201" s="10">
        <v>6.1699999999999998E-2</v>
      </c>
      <c r="N1201" s="6" t="s">
        <v>5575</v>
      </c>
      <c r="O1201" s="11">
        <v>6550</v>
      </c>
      <c r="P1201" s="11"/>
      <c r="Q1201" s="18">
        <v>800</v>
      </c>
      <c r="R1201" s="19"/>
    </row>
    <row r="1202" spans="1:18" hidden="1" x14ac:dyDescent="0.3">
      <c r="A1202" s="6" t="s">
        <v>5576</v>
      </c>
      <c r="B1202" s="7" t="s">
        <v>2930</v>
      </c>
      <c r="C1202" s="17" t="s">
        <v>5577</v>
      </c>
      <c r="D1202" s="17"/>
      <c r="E1202" s="7" t="s">
        <v>1738</v>
      </c>
      <c r="F1202" s="9">
        <v>74</v>
      </c>
      <c r="G1202" s="6" t="s">
        <v>5578</v>
      </c>
      <c r="H1202" s="7" t="s">
        <v>25</v>
      </c>
      <c r="I1202" s="6" t="s">
        <v>19</v>
      </c>
      <c r="J1202" s="7" t="s">
        <v>20</v>
      </c>
      <c r="K1202" s="7" t="s">
        <v>26</v>
      </c>
      <c r="L1202" s="6"/>
      <c r="M1202" s="10">
        <v>5.67E-2</v>
      </c>
      <c r="N1202" s="6" t="s">
        <v>5579</v>
      </c>
      <c r="O1202" s="6" t="s">
        <v>19</v>
      </c>
      <c r="P1202" s="6"/>
      <c r="Q1202" s="19" t="s">
        <v>19</v>
      </c>
      <c r="R1202" s="19"/>
    </row>
    <row r="1203" spans="1:18" hidden="1" x14ac:dyDescent="0.3">
      <c r="A1203" s="6" t="s">
        <v>5580</v>
      </c>
      <c r="B1203" s="7" t="s">
        <v>531</v>
      </c>
      <c r="C1203" s="17" t="s">
        <v>5581</v>
      </c>
      <c r="D1203" s="17"/>
      <c r="E1203" s="7" t="s">
        <v>5582</v>
      </c>
      <c r="F1203" s="9">
        <v>73</v>
      </c>
      <c r="G1203" s="6" t="s">
        <v>5583</v>
      </c>
      <c r="H1203" s="7" t="s">
        <v>25</v>
      </c>
      <c r="I1203" s="6" t="s">
        <v>19</v>
      </c>
      <c r="J1203" s="7" t="s">
        <v>20</v>
      </c>
      <c r="K1203" s="7" t="s">
        <v>26</v>
      </c>
      <c r="L1203" s="6"/>
      <c r="M1203" s="10">
        <v>5.5300000000000002E-2</v>
      </c>
      <c r="N1203" s="6" t="s">
        <v>5584</v>
      </c>
      <c r="O1203" s="6" t="s">
        <v>19</v>
      </c>
      <c r="P1203" s="6"/>
      <c r="Q1203" s="19" t="s">
        <v>19</v>
      </c>
      <c r="R1203" s="19"/>
    </row>
    <row r="1204" spans="1:18" ht="43.2" hidden="1" x14ac:dyDescent="0.3">
      <c r="A1204" s="6" t="s">
        <v>5585</v>
      </c>
      <c r="B1204" s="7" t="s">
        <v>830</v>
      </c>
      <c r="C1204" s="17" t="s">
        <v>5586</v>
      </c>
      <c r="D1204" s="17"/>
      <c r="E1204" s="8">
        <v>18311</v>
      </c>
      <c r="F1204" s="9">
        <v>72</v>
      </c>
      <c r="G1204" s="6" t="s">
        <v>5587</v>
      </c>
      <c r="H1204" s="7" t="s">
        <v>39</v>
      </c>
      <c r="I1204" s="6" t="s">
        <v>122</v>
      </c>
      <c r="J1204" s="7" t="s">
        <v>20</v>
      </c>
      <c r="K1204" s="7" t="s">
        <v>26</v>
      </c>
      <c r="L1204" s="6"/>
      <c r="M1204" s="10">
        <v>5.3999999999999999E-2</v>
      </c>
      <c r="N1204" s="6" t="s">
        <v>5588</v>
      </c>
      <c r="O1204" s="11">
        <v>16000</v>
      </c>
      <c r="P1204" s="11"/>
      <c r="Q1204" s="18">
        <v>2000</v>
      </c>
      <c r="R1204" s="19"/>
    </row>
    <row r="1205" spans="1:18" hidden="1" x14ac:dyDescent="0.3">
      <c r="A1205" s="6" t="s">
        <v>5589</v>
      </c>
      <c r="B1205" s="7" t="s">
        <v>1477</v>
      </c>
      <c r="C1205" s="17" t="s">
        <v>5590</v>
      </c>
      <c r="D1205" s="17"/>
      <c r="E1205" s="8">
        <v>16931</v>
      </c>
      <c r="F1205" s="9">
        <v>76</v>
      </c>
      <c r="G1205" s="6" t="s">
        <v>5591</v>
      </c>
      <c r="H1205" s="7" t="s">
        <v>25</v>
      </c>
      <c r="I1205" s="6"/>
      <c r="J1205" s="7" t="s">
        <v>20</v>
      </c>
      <c r="K1205" s="7" t="s">
        <v>26</v>
      </c>
      <c r="L1205" s="6"/>
      <c r="M1205" s="10">
        <v>5.9799999999999999E-2</v>
      </c>
      <c r="N1205" s="6" t="s">
        <v>5592</v>
      </c>
      <c r="O1205" s="11">
        <v>22583.919999999998</v>
      </c>
      <c r="P1205" s="11"/>
      <c r="Q1205" s="18">
        <v>2822.99</v>
      </c>
      <c r="R1205" s="19"/>
    </row>
    <row r="1206" spans="1:18" ht="43.2" hidden="1" x14ac:dyDescent="0.3">
      <c r="A1206" s="6" t="s">
        <v>5593</v>
      </c>
      <c r="B1206" s="7" t="s">
        <v>5225</v>
      </c>
      <c r="C1206" s="17" t="s">
        <v>5594</v>
      </c>
      <c r="D1206" s="17"/>
      <c r="E1206" s="8">
        <v>15601</v>
      </c>
      <c r="F1206" s="9">
        <v>80</v>
      </c>
      <c r="G1206" s="6" t="s">
        <v>5595</v>
      </c>
      <c r="H1206" s="7" t="s">
        <v>39</v>
      </c>
      <c r="I1206" s="6" t="s">
        <v>47</v>
      </c>
      <c r="J1206" s="7" t="s">
        <v>20</v>
      </c>
      <c r="K1206" s="7" t="s">
        <v>26</v>
      </c>
      <c r="L1206" s="6"/>
      <c r="M1206" s="10">
        <v>6.8199999999999997E-2</v>
      </c>
      <c r="N1206" s="6" t="s">
        <v>5596</v>
      </c>
      <c r="O1206" s="11">
        <v>8000</v>
      </c>
      <c r="P1206" s="11"/>
      <c r="Q1206" s="18">
        <v>1000</v>
      </c>
      <c r="R1206" s="19"/>
    </row>
    <row r="1207" spans="1:18" ht="28.8" hidden="1" x14ac:dyDescent="0.3">
      <c r="A1207" s="6" t="s">
        <v>5597</v>
      </c>
      <c r="B1207" s="7" t="s">
        <v>977</v>
      </c>
      <c r="C1207" s="17" t="s">
        <v>5594</v>
      </c>
      <c r="D1207" s="17"/>
      <c r="E1207" s="8">
        <v>17422</v>
      </c>
      <c r="F1207" s="9">
        <v>75</v>
      </c>
      <c r="G1207" s="6" t="s">
        <v>5598</v>
      </c>
      <c r="H1207" s="7" t="s">
        <v>39</v>
      </c>
      <c r="I1207" s="6" t="s">
        <v>67</v>
      </c>
      <c r="J1207" s="7" t="s">
        <v>20</v>
      </c>
      <c r="K1207" s="7" t="s">
        <v>26</v>
      </c>
      <c r="L1207" s="6"/>
      <c r="M1207" s="10">
        <v>5.8200000000000002E-2</v>
      </c>
      <c r="N1207" s="6" t="s">
        <v>5599</v>
      </c>
      <c r="O1207" s="11">
        <v>6400</v>
      </c>
      <c r="P1207" s="11"/>
      <c r="Q1207" s="18">
        <v>800</v>
      </c>
      <c r="R1207" s="19"/>
    </row>
    <row r="1208" spans="1:18" hidden="1" x14ac:dyDescent="0.3">
      <c r="A1208" s="6" t="s">
        <v>5600</v>
      </c>
      <c r="B1208" s="7" t="s">
        <v>753</v>
      </c>
      <c r="C1208" s="17" t="s">
        <v>5601</v>
      </c>
      <c r="D1208" s="17"/>
      <c r="E1208" s="8">
        <v>14874</v>
      </c>
      <c r="F1208" s="9">
        <v>82</v>
      </c>
      <c r="G1208" s="6" t="s">
        <v>5602</v>
      </c>
      <c r="H1208" s="7" t="s">
        <v>25</v>
      </c>
      <c r="I1208" s="6"/>
      <c r="J1208" s="7" t="s">
        <v>20</v>
      </c>
      <c r="K1208" s="7" t="s">
        <v>32</v>
      </c>
      <c r="L1208" s="6"/>
      <c r="M1208" s="10">
        <v>7.3800000000000004E-2</v>
      </c>
      <c r="N1208" s="6" t="s">
        <v>5603</v>
      </c>
      <c r="O1208" s="11">
        <v>3660.78</v>
      </c>
      <c r="P1208" s="11"/>
      <c r="Q1208" s="18">
        <v>3660.78</v>
      </c>
      <c r="R1208" s="19"/>
    </row>
    <row r="1209" spans="1:18" ht="28.8" hidden="1" x14ac:dyDescent="0.3">
      <c r="A1209" s="6" t="s">
        <v>5604</v>
      </c>
      <c r="B1209" s="7" t="s">
        <v>830</v>
      </c>
      <c r="C1209" s="17" t="s">
        <v>5605</v>
      </c>
      <c r="D1209" s="17"/>
      <c r="E1209" s="8">
        <v>18116</v>
      </c>
      <c r="F1209" s="9">
        <v>73</v>
      </c>
      <c r="G1209" s="6" t="s">
        <v>5606</v>
      </c>
      <c r="H1209" s="7" t="s">
        <v>39</v>
      </c>
      <c r="I1209" s="6" t="s">
        <v>951</v>
      </c>
      <c r="J1209" s="7" t="s">
        <v>20</v>
      </c>
      <c r="K1209" s="7" t="s">
        <v>26</v>
      </c>
      <c r="L1209" s="6"/>
      <c r="M1209" s="10">
        <v>5.5300000000000002E-2</v>
      </c>
      <c r="N1209" s="6" t="s">
        <v>5607</v>
      </c>
      <c r="O1209" s="11">
        <v>6700</v>
      </c>
      <c r="P1209" s="11"/>
      <c r="Q1209" s="18">
        <v>750</v>
      </c>
      <c r="R1209" s="19"/>
    </row>
    <row r="1210" spans="1:18" hidden="1" x14ac:dyDescent="0.3">
      <c r="A1210" s="6" t="s">
        <v>5608</v>
      </c>
      <c r="B1210" s="7" t="s">
        <v>5609</v>
      </c>
      <c r="C1210" s="17" t="s">
        <v>5610</v>
      </c>
      <c r="D1210" s="17"/>
      <c r="E1210" s="8">
        <v>17015</v>
      </c>
      <c r="F1210" s="9">
        <v>76</v>
      </c>
      <c r="G1210" s="6" t="s">
        <v>5611</v>
      </c>
      <c r="H1210" s="7" t="s">
        <v>25</v>
      </c>
      <c r="I1210" s="6"/>
      <c r="J1210" s="7" t="s">
        <v>20</v>
      </c>
      <c r="K1210" s="7" t="s">
        <v>32</v>
      </c>
      <c r="L1210" s="6"/>
      <c r="M1210" s="10">
        <v>5.9799999999999999E-2</v>
      </c>
      <c r="N1210" s="6" t="s">
        <v>5612</v>
      </c>
      <c r="O1210" s="11">
        <v>47412.88</v>
      </c>
      <c r="P1210" s="11"/>
      <c r="Q1210" s="18">
        <v>47412.88</v>
      </c>
      <c r="R1210" s="19"/>
    </row>
    <row r="1211" spans="1:18" ht="43.2" hidden="1" x14ac:dyDescent="0.3">
      <c r="A1211" s="6" t="s">
        <v>5613</v>
      </c>
      <c r="B1211" s="7" t="s">
        <v>1570</v>
      </c>
      <c r="C1211" s="17" t="s">
        <v>5614</v>
      </c>
      <c r="D1211" s="17"/>
      <c r="E1211" s="8">
        <v>16382</v>
      </c>
      <c r="F1211" s="9">
        <v>78</v>
      </c>
      <c r="G1211" s="6" t="s">
        <v>5615</v>
      </c>
      <c r="H1211" s="7" t="s">
        <v>39</v>
      </c>
      <c r="I1211" s="6" t="s">
        <v>5616</v>
      </c>
      <c r="J1211" s="7" t="s">
        <v>20</v>
      </c>
      <c r="K1211" s="7" t="s">
        <v>26</v>
      </c>
      <c r="L1211" s="6"/>
      <c r="M1211" s="10">
        <v>6.3600000000000004E-2</v>
      </c>
      <c r="N1211" s="6" t="s">
        <v>5617</v>
      </c>
      <c r="O1211" s="11">
        <v>8034.16</v>
      </c>
      <c r="P1211" s="11"/>
      <c r="Q1211" s="18">
        <v>1004.27</v>
      </c>
      <c r="R1211" s="19"/>
    </row>
    <row r="1212" spans="1:18" ht="43.2" hidden="1" x14ac:dyDescent="0.3">
      <c r="A1212" s="6" t="s">
        <v>5618</v>
      </c>
      <c r="B1212" s="7" t="s">
        <v>5619</v>
      </c>
      <c r="C1212" s="17" t="s">
        <v>5620</v>
      </c>
      <c r="D1212" s="17"/>
      <c r="E1212" s="8">
        <v>17887</v>
      </c>
      <c r="F1212" s="9">
        <v>74</v>
      </c>
      <c r="G1212" s="6" t="s">
        <v>5621</v>
      </c>
      <c r="H1212" s="7" t="s">
        <v>39</v>
      </c>
      <c r="I1212" s="6" t="s">
        <v>122</v>
      </c>
      <c r="J1212" s="7" t="s">
        <v>20</v>
      </c>
      <c r="K1212" s="7" t="s">
        <v>26</v>
      </c>
      <c r="L1212" s="6"/>
      <c r="M1212" s="10">
        <v>5.67E-2</v>
      </c>
      <c r="N1212" s="6" t="s">
        <v>5622</v>
      </c>
      <c r="O1212" s="11">
        <v>16000</v>
      </c>
      <c r="P1212" s="11"/>
      <c r="Q1212" s="18">
        <v>2000</v>
      </c>
      <c r="R1212" s="19"/>
    </row>
    <row r="1213" spans="1:18" hidden="1" x14ac:dyDescent="0.3">
      <c r="A1213" s="6" t="s">
        <v>5623</v>
      </c>
      <c r="B1213" s="7" t="s">
        <v>2606</v>
      </c>
      <c r="C1213" s="17" t="s">
        <v>5624</v>
      </c>
      <c r="D1213" s="17"/>
      <c r="E1213" s="7" t="s">
        <v>5625</v>
      </c>
      <c r="F1213" s="9">
        <v>73</v>
      </c>
      <c r="G1213" s="6" t="s">
        <v>5626</v>
      </c>
      <c r="H1213" s="7" t="s">
        <v>25</v>
      </c>
      <c r="I1213" s="6" t="s">
        <v>19</v>
      </c>
      <c r="J1213" s="7" t="s">
        <v>20</v>
      </c>
      <c r="K1213" s="7" t="s">
        <v>26</v>
      </c>
      <c r="L1213" s="6"/>
      <c r="M1213" s="10">
        <v>5.5300000000000002E-2</v>
      </c>
      <c r="N1213" s="6" t="s">
        <v>5627</v>
      </c>
      <c r="O1213" s="6" t="s">
        <v>19</v>
      </c>
      <c r="P1213" s="6"/>
      <c r="Q1213" s="19" t="s">
        <v>19</v>
      </c>
      <c r="R1213" s="19"/>
    </row>
    <row r="1214" spans="1:18" hidden="1" x14ac:dyDescent="0.3">
      <c r="A1214" s="6" t="s">
        <v>5628</v>
      </c>
      <c r="B1214" s="7" t="s">
        <v>640</v>
      </c>
      <c r="C1214" s="17" t="s">
        <v>5629</v>
      </c>
      <c r="D1214" s="17"/>
      <c r="E1214" s="7" t="s">
        <v>5630</v>
      </c>
      <c r="F1214" s="9">
        <v>76</v>
      </c>
      <c r="G1214" s="6" t="s">
        <v>5631</v>
      </c>
      <c r="H1214" s="7" t="s">
        <v>25</v>
      </c>
      <c r="I1214" s="6" t="s">
        <v>19</v>
      </c>
      <c r="J1214" s="7" t="s">
        <v>20</v>
      </c>
      <c r="K1214" s="7" t="s">
        <v>32</v>
      </c>
      <c r="L1214" s="6"/>
      <c r="M1214" s="10">
        <v>5.9799999999999999E-2</v>
      </c>
      <c r="N1214" s="6" t="s">
        <v>5632</v>
      </c>
      <c r="O1214" s="6" t="s">
        <v>19</v>
      </c>
      <c r="P1214" s="6"/>
      <c r="Q1214" s="19" t="s">
        <v>19</v>
      </c>
      <c r="R1214" s="19"/>
    </row>
    <row r="1215" spans="1:18" ht="43.2" x14ac:dyDescent="0.3">
      <c r="A1215" s="6" t="s">
        <v>5633</v>
      </c>
      <c r="B1215" s="7" t="s">
        <v>5634</v>
      </c>
      <c r="C1215" s="17" t="s">
        <v>5635</v>
      </c>
      <c r="D1215" s="17"/>
      <c r="E1215" s="8">
        <v>18572</v>
      </c>
      <c r="F1215" s="9">
        <v>72</v>
      </c>
      <c r="G1215" s="6" t="s">
        <v>5636</v>
      </c>
      <c r="H1215" s="7" t="s">
        <v>39</v>
      </c>
      <c r="I1215" s="6" t="s">
        <v>5637</v>
      </c>
      <c r="J1215" s="7" t="s">
        <v>41</v>
      </c>
      <c r="K1215" s="7" t="s">
        <v>26</v>
      </c>
      <c r="L1215" s="9">
        <v>69</v>
      </c>
      <c r="M1215" s="10">
        <v>4.7600000000000003E-2</v>
      </c>
      <c r="N1215" s="6" t="s">
        <v>5638</v>
      </c>
      <c r="O1215" s="11">
        <v>25552</v>
      </c>
      <c r="P1215" s="11"/>
      <c r="Q1215" s="18">
        <v>3194</v>
      </c>
      <c r="R1215" s="19"/>
    </row>
    <row r="1216" spans="1:18" ht="43.2" x14ac:dyDescent="0.3">
      <c r="A1216" s="6" t="s">
        <v>5639</v>
      </c>
      <c r="B1216" s="7" t="s">
        <v>292</v>
      </c>
      <c r="C1216" s="17" t="s">
        <v>5640</v>
      </c>
      <c r="D1216" s="17"/>
      <c r="E1216" s="8">
        <v>15352</v>
      </c>
      <c r="F1216" s="9">
        <v>80</v>
      </c>
      <c r="G1216" s="6" t="s">
        <v>5641</v>
      </c>
      <c r="H1216" s="7" t="s">
        <v>39</v>
      </c>
      <c r="I1216" s="6" t="s">
        <v>4698</v>
      </c>
      <c r="J1216" s="7" t="s">
        <v>41</v>
      </c>
      <c r="K1216" s="7" t="s">
        <v>26</v>
      </c>
      <c r="L1216" s="9">
        <v>67</v>
      </c>
      <c r="M1216" s="10">
        <v>4.3499999999999997E-2</v>
      </c>
      <c r="N1216" s="6" t="s">
        <v>5642</v>
      </c>
      <c r="O1216" s="11">
        <v>43200</v>
      </c>
      <c r="P1216" s="11"/>
      <c r="Q1216" s="18">
        <v>5400</v>
      </c>
      <c r="R1216" s="19"/>
    </row>
    <row r="1217" spans="1:18" ht="28.8" hidden="1" x14ac:dyDescent="0.3">
      <c r="A1217" s="6" t="s">
        <v>5643</v>
      </c>
      <c r="B1217" s="7" t="s">
        <v>5644</v>
      </c>
      <c r="C1217" s="17" t="s">
        <v>5645</v>
      </c>
      <c r="D1217" s="17"/>
      <c r="E1217" s="7" t="s">
        <v>5646</v>
      </c>
      <c r="F1217" s="9">
        <v>82</v>
      </c>
      <c r="G1217" s="6" t="s">
        <v>5647</v>
      </c>
      <c r="H1217" s="7" t="s">
        <v>25</v>
      </c>
      <c r="I1217" s="6" t="s">
        <v>19</v>
      </c>
      <c r="J1217" s="7" t="s">
        <v>20</v>
      </c>
      <c r="K1217" s="7" t="s">
        <v>32</v>
      </c>
      <c r="L1217" s="6"/>
      <c r="M1217" s="10">
        <v>7.3800000000000004E-2</v>
      </c>
      <c r="N1217" s="6" t="s">
        <v>5648</v>
      </c>
      <c r="O1217" s="6" t="s">
        <v>19</v>
      </c>
      <c r="P1217" s="6"/>
      <c r="Q1217" s="19" t="s">
        <v>19</v>
      </c>
      <c r="R1217" s="19"/>
    </row>
    <row r="1218" spans="1:18" hidden="1" x14ac:dyDescent="0.3">
      <c r="A1218" s="6" t="s">
        <v>5649</v>
      </c>
      <c r="B1218" s="7" t="s">
        <v>1949</v>
      </c>
      <c r="C1218" s="17" t="s">
        <v>5650</v>
      </c>
      <c r="D1218" s="17"/>
      <c r="E1218" s="8">
        <v>18317</v>
      </c>
      <c r="F1218" s="9">
        <v>72</v>
      </c>
      <c r="G1218" s="6" t="s">
        <v>5651</v>
      </c>
      <c r="H1218" s="7" t="s">
        <v>25</v>
      </c>
      <c r="I1218" s="6"/>
      <c r="J1218" s="7" t="s">
        <v>20</v>
      </c>
      <c r="K1218" s="7" t="s">
        <v>26</v>
      </c>
      <c r="L1218" s="6"/>
      <c r="M1218" s="10">
        <v>5.3999999999999999E-2</v>
      </c>
      <c r="N1218" s="6" t="s">
        <v>5652</v>
      </c>
      <c r="O1218" s="11">
        <v>24267.040000000001</v>
      </c>
      <c r="P1218" s="11"/>
      <c r="Q1218" s="18">
        <v>3033.38</v>
      </c>
      <c r="R1218" s="19"/>
    </row>
    <row r="1219" spans="1:18" hidden="1" x14ac:dyDescent="0.3">
      <c r="A1219" s="6" t="s">
        <v>5653</v>
      </c>
      <c r="B1219" s="7" t="s">
        <v>412</v>
      </c>
      <c r="C1219" s="17" t="s">
        <v>5654</v>
      </c>
      <c r="D1219" s="17"/>
      <c r="E1219" s="7" t="s">
        <v>1407</v>
      </c>
      <c r="F1219" s="9">
        <v>75</v>
      </c>
      <c r="G1219" s="6" t="s">
        <v>5655</v>
      </c>
      <c r="H1219" s="7" t="s">
        <v>25</v>
      </c>
      <c r="I1219" s="6" t="s">
        <v>19</v>
      </c>
      <c r="J1219" s="7" t="s">
        <v>20</v>
      </c>
      <c r="K1219" s="7" t="s">
        <v>32</v>
      </c>
      <c r="L1219" s="6"/>
      <c r="M1219" s="10">
        <v>5.8200000000000002E-2</v>
      </c>
      <c r="N1219" s="6" t="s">
        <v>5656</v>
      </c>
      <c r="O1219" s="6" t="s">
        <v>19</v>
      </c>
      <c r="P1219" s="6"/>
      <c r="Q1219" s="19" t="s">
        <v>19</v>
      </c>
      <c r="R1219" s="19"/>
    </row>
    <row r="1220" spans="1:18" hidden="1" x14ac:dyDescent="0.3">
      <c r="A1220" s="6" t="s">
        <v>5657</v>
      </c>
      <c r="B1220" s="7" t="s">
        <v>342</v>
      </c>
      <c r="C1220" s="17" t="s">
        <v>5658</v>
      </c>
      <c r="D1220" s="17"/>
      <c r="E1220" s="8">
        <v>18065</v>
      </c>
      <c r="F1220" s="9">
        <v>73</v>
      </c>
      <c r="G1220" s="6" t="s">
        <v>5659</v>
      </c>
      <c r="H1220" s="7" t="s">
        <v>25</v>
      </c>
      <c r="I1220" s="6"/>
      <c r="J1220" s="7" t="s">
        <v>20</v>
      </c>
      <c r="K1220" s="7" t="s">
        <v>26</v>
      </c>
      <c r="L1220" s="6"/>
      <c r="M1220" s="10">
        <v>5.5300000000000002E-2</v>
      </c>
      <c r="N1220" s="6" t="s">
        <v>5660</v>
      </c>
      <c r="O1220" s="11">
        <v>1331.6</v>
      </c>
      <c r="P1220" s="11"/>
      <c r="Q1220" s="18">
        <v>166.45</v>
      </c>
      <c r="R1220" s="19"/>
    </row>
    <row r="1221" spans="1:18" hidden="1" x14ac:dyDescent="0.3">
      <c r="A1221" s="6" t="s">
        <v>5661</v>
      </c>
      <c r="B1221" s="7" t="s">
        <v>140</v>
      </c>
      <c r="C1221" s="17" t="s">
        <v>5662</v>
      </c>
      <c r="D1221" s="17"/>
      <c r="E1221" s="7" t="s">
        <v>5663</v>
      </c>
      <c r="F1221" s="9">
        <v>74</v>
      </c>
      <c r="G1221" s="6" t="s">
        <v>5664</v>
      </c>
      <c r="H1221" s="7" t="s">
        <v>25</v>
      </c>
      <c r="I1221" s="6" t="s">
        <v>19</v>
      </c>
      <c r="J1221" s="7" t="s">
        <v>20</v>
      </c>
      <c r="K1221" s="7" t="s">
        <v>32</v>
      </c>
      <c r="L1221" s="6"/>
      <c r="M1221" s="10">
        <v>5.67E-2</v>
      </c>
      <c r="N1221" s="6" t="s">
        <v>5665</v>
      </c>
      <c r="O1221" s="6" t="s">
        <v>19</v>
      </c>
      <c r="P1221" s="6"/>
      <c r="Q1221" s="19" t="s">
        <v>19</v>
      </c>
      <c r="R1221" s="19"/>
    </row>
    <row r="1222" spans="1:18" hidden="1" x14ac:dyDescent="0.3">
      <c r="A1222" s="6" t="s">
        <v>5666</v>
      </c>
      <c r="B1222" s="7" t="s">
        <v>944</v>
      </c>
      <c r="C1222" s="17" t="s">
        <v>5662</v>
      </c>
      <c r="D1222" s="17"/>
      <c r="E1222" s="7" t="s">
        <v>2071</v>
      </c>
      <c r="F1222" s="9">
        <v>75</v>
      </c>
      <c r="G1222" s="6" t="s">
        <v>5667</v>
      </c>
      <c r="H1222" s="7" t="s">
        <v>25</v>
      </c>
      <c r="I1222" s="6" t="s">
        <v>19</v>
      </c>
      <c r="J1222" s="7" t="s">
        <v>41</v>
      </c>
      <c r="K1222" s="7" t="s">
        <v>32</v>
      </c>
      <c r="L1222" s="9">
        <v>74</v>
      </c>
      <c r="M1222" s="10">
        <v>5.67E-2</v>
      </c>
      <c r="N1222" s="6" t="s">
        <v>5668</v>
      </c>
      <c r="O1222" s="6" t="s">
        <v>19</v>
      </c>
      <c r="P1222" s="6"/>
      <c r="Q1222" s="19" t="s">
        <v>19</v>
      </c>
      <c r="R1222" s="19"/>
    </row>
    <row r="1223" spans="1:18" ht="43.2" hidden="1" x14ac:dyDescent="0.3">
      <c r="A1223" s="6" t="s">
        <v>5669</v>
      </c>
      <c r="B1223" s="7" t="s">
        <v>498</v>
      </c>
      <c r="C1223" s="17" t="s">
        <v>5670</v>
      </c>
      <c r="D1223" s="17"/>
      <c r="E1223" s="7" t="s">
        <v>2296</v>
      </c>
      <c r="F1223" s="9">
        <v>76</v>
      </c>
      <c r="G1223" s="6" t="s">
        <v>5671</v>
      </c>
      <c r="H1223" s="7" t="s">
        <v>39</v>
      </c>
      <c r="I1223" s="6" t="s">
        <v>47</v>
      </c>
      <c r="J1223" s="7" t="s">
        <v>41</v>
      </c>
      <c r="K1223" s="7" t="s">
        <v>32</v>
      </c>
      <c r="L1223" s="9">
        <v>68</v>
      </c>
      <c r="M1223" s="10">
        <v>4.5499999999999999E-2</v>
      </c>
      <c r="N1223" s="6" t="s">
        <v>5672</v>
      </c>
      <c r="O1223" s="6" t="s">
        <v>19</v>
      </c>
      <c r="P1223" s="6"/>
      <c r="Q1223" s="19" t="s">
        <v>19</v>
      </c>
      <c r="R1223" s="19"/>
    </row>
    <row r="1224" spans="1:18" hidden="1" x14ac:dyDescent="0.3">
      <c r="A1224" s="6" t="s">
        <v>5673</v>
      </c>
      <c r="B1224" s="7" t="s">
        <v>359</v>
      </c>
      <c r="C1224" s="17" t="s">
        <v>5674</v>
      </c>
      <c r="D1224" s="17"/>
      <c r="E1224" s="8">
        <v>18361</v>
      </c>
      <c r="F1224" s="9">
        <v>72</v>
      </c>
      <c r="G1224" s="6" t="s">
        <v>5675</v>
      </c>
      <c r="H1224" s="7" t="s">
        <v>25</v>
      </c>
      <c r="I1224" s="6"/>
      <c r="J1224" s="7" t="s">
        <v>20</v>
      </c>
      <c r="K1224" s="7" t="s">
        <v>26</v>
      </c>
      <c r="L1224" s="6"/>
      <c r="M1224" s="10">
        <v>5.3999999999999999E-2</v>
      </c>
      <c r="N1224" s="6" t="s">
        <v>5676</v>
      </c>
      <c r="O1224" s="11">
        <v>16490.560000000001</v>
      </c>
      <c r="P1224" s="11"/>
      <c r="Q1224" s="18">
        <v>2061.3200000000002</v>
      </c>
      <c r="R1224" s="19"/>
    </row>
    <row r="1225" spans="1:18" ht="43.2" x14ac:dyDescent="0.3">
      <c r="A1225" s="6" t="s">
        <v>5677</v>
      </c>
      <c r="B1225" s="7" t="s">
        <v>5678</v>
      </c>
      <c r="C1225" s="17" t="s">
        <v>5679</v>
      </c>
      <c r="D1225" s="17"/>
      <c r="E1225" s="8">
        <v>18501</v>
      </c>
      <c r="F1225" s="9">
        <v>72</v>
      </c>
      <c r="G1225" s="6" t="s">
        <v>5680</v>
      </c>
      <c r="H1225" s="7" t="s">
        <v>39</v>
      </c>
      <c r="I1225" s="6" t="s">
        <v>352</v>
      </c>
      <c r="J1225" s="7" t="s">
        <v>41</v>
      </c>
      <c r="K1225" s="7" t="s">
        <v>26</v>
      </c>
      <c r="L1225" s="9">
        <v>71</v>
      </c>
      <c r="M1225" s="10">
        <v>5.28E-2</v>
      </c>
      <c r="N1225" s="6" t="s">
        <v>5681</v>
      </c>
      <c r="O1225" s="11">
        <v>30795.17</v>
      </c>
      <c r="P1225" s="11"/>
      <c r="Q1225" s="18">
        <v>150.5</v>
      </c>
      <c r="R1225" s="19"/>
    </row>
    <row r="1226" spans="1:18" ht="28.8" hidden="1" x14ac:dyDescent="0.3">
      <c r="A1226" s="6" t="s">
        <v>5682</v>
      </c>
      <c r="B1226" s="7" t="s">
        <v>899</v>
      </c>
      <c r="C1226" s="17" t="s">
        <v>5683</v>
      </c>
      <c r="D1226" s="17"/>
      <c r="E1226" s="8">
        <v>17170</v>
      </c>
      <c r="F1226" s="9">
        <v>75</v>
      </c>
      <c r="G1226" s="6" t="s">
        <v>5684</v>
      </c>
      <c r="H1226" s="7" t="s">
        <v>39</v>
      </c>
      <c r="I1226" s="6" t="s">
        <v>1562</v>
      </c>
      <c r="J1226" s="7" t="s">
        <v>20</v>
      </c>
      <c r="K1226" s="7" t="s">
        <v>26</v>
      </c>
      <c r="L1226" s="6"/>
      <c r="M1226" s="10">
        <v>5.8200000000000002E-2</v>
      </c>
      <c r="N1226" s="6" t="s">
        <v>5685</v>
      </c>
      <c r="O1226" s="11">
        <v>5200</v>
      </c>
      <c r="P1226" s="11"/>
      <c r="Q1226" s="18">
        <v>650</v>
      </c>
      <c r="R1226" s="19"/>
    </row>
    <row r="1227" spans="1:18" ht="43.2" hidden="1" x14ac:dyDescent="0.3">
      <c r="A1227" s="6" t="s">
        <v>5686</v>
      </c>
      <c r="B1227" s="7" t="s">
        <v>2101</v>
      </c>
      <c r="C1227" s="17" t="s">
        <v>5687</v>
      </c>
      <c r="D1227" s="17"/>
      <c r="E1227" s="8">
        <v>15590</v>
      </c>
      <c r="F1227" s="9">
        <v>80</v>
      </c>
      <c r="G1227" s="6" t="s">
        <v>5688</v>
      </c>
      <c r="H1227" s="7" t="s">
        <v>39</v>
      </c>
      <c r="I1227" s="6" t="s">
        <v>5689</v>
      </c>
      <c r="J1227" s="7" t="s">
        <v>20</v>
      </c>
      <c r="K1227" s="7" t="s">
        <v>26</v>
      </c>
      <c r="L1227" s="6"/>
      <c r="M1227" s="10">
        <v>6.8199999999999997E-2</v>
      </c>
      <c r="N1227" s="6" t="s">
        <v>5690</v>
      </c>
      <c r="O1227" s="11">
        <v>20962.32</v>
      </c>
      <c r="P1227" s="11"/>
      <c r="Q1227" s="18">
        <v>2620.29</v>
      </c>
      <c r="R1227" s="19"/>
    </row>
    <row r="1228" spans="1:18" hidden="1" x14ac:dyDescent="0.3">
      <c r="A1228" s="6" t="s">
        <v>5691</v>
      </c>
      <c r="B1228" s="7" t="s">
        <v>5692</v>
      </c>
      <c r="C1228" s="17" t="s">
        <v>5693</v>
      </c>
      <c r="D1228" s="17"/>
      <c r="E1228" s="7" t="s">
        <v>5694</v>
      </c>
      <c r="F1228" s="9">
        <v>76</v>
      </c>
      <c r="G1228" s="6" t="s">
        <v>5695</v>
      </c>
      <c r="H1228" s="7" t="s">
        <v>25</v>
      </c>
      <c r="I1228" s="6" t="s">
        <v>19</v>
      </c>
      <c r="J1228" s="7" t="s">
        <v>20</v>
      </c>
      <c r="K1228" s="7" t="s">
        <v>32</v>
      </c>
      <c r="L1228" s="6"/>
      <c r="M1228" s="10">
        <v>5.9799999999999999E-2</v>
      </c>
      <c r="N1228" s="6" t="s">
        <v>5696</v>
      </c>
      <c r="O1228" s="6" t="s">
        <v>19</v>
      </c>
      <c r="P1228" s="6"/>
      <c r="Q1228" s="19" t="s">
        <v>19</v>
      </c>
      <c r="R1228" s="19"/>
    </row>
    <row r="1229" spans="1:18" ht="43.2" hidden="1" x14ac:dyDescent="0.3">
      <c r="A1229" s="6" t="s">
        <v>5697</v>
      </c>
      <c r="B1229" s="7" t="s">
        <v>5698</v>
      </c>
      <c r="C1229" s="17" t="s">
        <v>5699</v>
      </c>
      <c r="D1229" s="17"/>
      <c r="E1229" s="8">
        <v>18365</v>
      </c>
      <c r="F1229" s="9">
        <v>72</v>
      </c>
      <c r="G1229" s="6" t="s">
        <v>5700</v>
      </c>
      <c r="H1229" s="7" t="s">
        <v>39</v>
      </c>
      <c r="I1229" s="6" t="s">
        <v>132</v>
      </c>
      <c r="J1229" s="7" t="s">
        <v>20</v>
      </c>
      <c r="K1229" s="7" t="s">
        <v>26</v>
      </c>
      <c r="L1229" s="6"/>
      <c r="M1229" s="10">
        <v>5.3999999999999999E-2</v>
      </c>
      <c r="N1229" s="6" t="s">
        <v>5701</v>
      </c>
      <c r="O1229" s="11">
        <v>12000</v>
      </c>
      <c r="P1229" s="11"/>
      <c r="Q1229" s="18">
        <v>1500</v>
      </c>
      <c r="R1229" s="19"/>
    </row>
    <row r="1230" spans="1:18" hidden="1" x14ac:dyDescent="0.3">
      <c r="A1230" s="6" t="s">
        <v>5702</v>
      </c>
      <c r="B1230" s="7" t="s">
        <v>2456</v>
      </c>
      <c r="C1230" s="17" t="s">
        <v>5699</v>
      </c>
      <c r="D1230" s="17"/>
      <c r="E1230" s="8">
        <v>18507</v>
      </c>
      <c r="F1230" s="9">
        <v>72</v>
      </c>
      <c r="G1230" s="6" t="s">
        <v>5703</v>
      </c>
      <c r="H1230" s="7" t="s">
        <v>25</v>
      </c>
      <c r="I1230" s="6"/>
      <c r="J1230" s="7" t="s">
        <v>20</v>
      </c>
      <c r="K1230" s="7" t="s">
        <v>26</v>
      </c>
      <c r="L1230" s="6"/>
      <c r="M1230" s="10">
        <v>5.3999999999999999E-2</v>
      </c>
      <c r="N1230" s="6" t="s">
        <v>5704</v>
      </c>
      <c r="O1230" s="11">
        <v>13400</v>
      </c>
      <c r="P1230" s="11"/>
      <c r="Q1230" s="18">
        <v>4400</v>
      </c>
      <c r="R1230" s="19"/>
    </row>
    <row r="1231" spans="1:18" hidden="1" x14ac:dyDescent="0.3">
      <c r="A1231" s="6" t="s">
        <v>5705</v>
      </c>
      <c r="B1231" s="7" t="s">
        <v>3234</v>
      </c>
      <c r="C1231" s="17" t="s">
        <v>5699</v>
      </c>
      <c r="D1231" s="17"/>
      <c r="E1231" s="7" t="s">
        <v>5706</v>
      </c>
      <c r="F1231" s="9">
        <v>72</v>
      </c>
      <c r="G1231" s="6" t="s">
        <v>5707</v>
      </c>
      <c r="H1231" s="7" t="s">
        <v>25</v>
      </c>
      <c r="I1231" s="6" t="s">
        <v>19</v>
      </c>
      <c r="J1231" s="7" t="s">
        <v>20</v>
      </c>
      <c r="K1231" s="7" t="s">
        <v>26</v>
      </c>
      <c r="L1231" s="6"/>
      <c r="M1231" s="10">
        <v>5.3999999999999999E-2</v>
      </c>
      <c r="N1231" s="6" t="s">
        <v>5708</v>
      </c>
      <c r="O1231" s="6" t="s">
        <v>19</v>
      </c>
      <c r="P1231" s="6"/>
      <c r="Q1231" s="19" t="s">
        <v>19</v>
      </c>
      <c r="R1231" s="19"/>
    </row>
    <row r="1232" spans="1:18" ht="28.8" hidden="1" x14ac:dyDescent="0.3">
      <c r="A1232" s="6" t="s">
        <v>5709</v>
      </c>
      <c r="B1232" s="7" t="s">
        <v>1752</v>
      </c>
      <c r="C1232" s="17" t="s">
        <v>5699</v>
      </c>
      <c r="D1232" s="17"/>
      <c r="E1232" s="8">
        <v>18323</v>
      </c>
      <c r="F1232" s="9">
        <v>72</v>
      </c>
      <c r="G1232" s="6" t="s">
        <v>5710</v>
      </c>
      <c r="H1232" s="7" t="s">
        <v>39</v>
      </c>
      <c r="I1232" s="6" t="s">
        <v>321</v>
      </c>
      <c r="J1232" s="7" t="s">
        <v>20</v>
      </c>
      <c r="K1232" s="7" t="s">
        <v>26</v>
      </c>
      <c r="L1232" s="6"/>
      <c r="M1232" s="10">
        <v>5.3999999999999999E-2</v>
      </c>
      <c r="N1232" s="6" t="s">
        <v>5711</v>
      </c>
      <c r="O1232" s="11">
        <v>7000</v>
      </c>
      <c r="P1232" s="11"/>
      <c r="Q1232" s="18">
        <v>500</v>
      </c>
      <c r="R1232" s="19"/>
    </row>
    <row r="1233" spans="1:18" x14ac:dyDescent="0.3">
      <c r="A1233" s="6" t="s">
        <v>5712</v>
      </c>
      <c r="B1233" s="7" t="s">
        <v>5713</v>
      </c>
      <c r="C1233" s="17" t="s">
        <v>5699</v>
      </c>
      <c r="D1233" s="17"/>
      <c r="E1233" s="8">
        <v>17553</v>
      </c>
      <c r="F1233" s="9">
        <v>74</v>
      </c>
      <c r="G1233" s="6" t="s">
        <v>5714</v>
      </c>
      <c r="H1233" s="7" t="s">
        <v>25</v>
      </c>
      <c r="I1233" s="6"/>
      <c r="J1233" s="7" t="s">
        <v>41</v>
      </c>
      <c r="K1233" s="7" t="s">
        <v>26</v>
      </c>
      <c r="L1233" s="9">
        <v>72</v>
      </c>
      <c r="M1233" s="10">
        <v>5.3999999999999999E-2</v>
      </c>
      <c r="N1233" s="6" t="s">
        <v>5715</v>
      </c>
      <c r="O1233" s="11">
        <v>51714.080000000002</v>
      </c>
      <c r="P1233" s="11"/>
      <c r="Q1233" s="18">
        <v>6464.26</v>
      </c>
      <c r="R1233" s="19"/>
    </row>
    <row r="1234" spans="1:18" ht="43.2" hidden="1" x14ac:dyDescent="0.3">
      <c r="A1234" s="6" t="s">
        <v>5716</v>
      </c>
      <c r="B1234" s="7" t="s">
        <v>2657</v>
      </c>
      <c r="C1234" s="17" t="s">
        <v>5699</v>
      </c>
      <c r="D1234" s="17"/>
      <c r="E1234" s="8">
        <v>15110</v>
      </c>
      <c r="F1234" s="9">
        <v>81</v>
      </c>
      <c r="G1234" s="6" t="s">
        <v>5717</v>
      </c>
      <c r="H1234" s="7" t="s">
        <v>39</v>
      </c>
      <c r="I1234" s="6" t="s">
        <v>151</v>
      </c>
      <c r="J1234" s="7" t="s">
        <v>20</v>
      </c>
      <c r="K1234" s="7" t="s">
        <v>26</v>
      </c>
      <c r="L1234" s="6"/>
      <c r="M1234" s="10">
        <v>7.0800000000000002E-2</v>
      </c>
      <c r="N1234" s="6" t="s">
        <v>5718</v>
      </c>
      <c r="O1234" s="11">
        <v>20000</v>
      </c>
      <c r="P1234" s="11"/>
      <c r="Q1234" s="18">
        <v>2500</v>
      </c>
      <c r="R1234" s="19"/>
    </row>
    <row r="1235" spans="1:18" hidden="1" x14ac:dyDescent="0.3">
      <c r="A1235" s="6" t="s">
        <v>5719</v>
      </c>
      <c r="B1235" s="7" t="s">
        <v>1964</v>
      </c>
      <c r="C1235" s="17" t="s">
        <v>5699</v>
      </c>
      <c r="D1235" s="17"/>
      <c r="E1235" s="7" t="s">
        <v>3265</v>
      </c>
      <c r="F1235" s="9">
        <v>72</v>
      </c>
      <c r="G1235" s="6" t="s">
        <v>5720</v>
      </c>
      <c r="H1235" s="7" t="s">
        <v>25</v>
      </c>
      <c r="I1235" s="6" t="s">
        <v>19</v>
      </c>
      <c r="J1235" s="7" t="s">
        <v>20</v>
      </c>
      <c r="K1235" s="7" t="s">
        <v>32</v>
      </c>
      <c r="L1235" s="6"/>
      <c r="M1235" s="10">
        <v>5.3999999999999999E-2</v>
      </c>
      <c r="N1235" s="6" t="s">
        <v>5721</v>
      </c>
      <c r="O1235" s="6" t="s">
        <v>19</v>
      </c>
      <c r="P1235" s="6"/>
      <c r="Q1235" s="19" t="s">
        <v>19</v>
      </c>
      <c r="R1235" s="19"/>
    </row>
    <row r="1236" spans="1:18" hidden="1" x14ac:dyDescent="0.3">
      <c r="A1236" s="6" t="s">
        <v>5722</v>
      </c>
      <c r="B1236" s="7" t="s">
        <v>1477</v>
      </c>
      <c r="C1236" s="17" t="s">
        <v>5699</v>
      </c>
      <c r="D1236" s="17"/>
      <c r="E1236" s="8">
        <v>18391</v>
      </c>
      <c r="F1236" s="9">
        <v>72</v>
      </c>
      <c r="G1236" s="6" t="s">
        <v>5723</v>
      </c>
      <c r="H1236" s="7" t="s">
        <v>25</v>
      </c>
      <c r="I1236" s="6"/>
      <c r="J1236" s="7" t="s">
        <v>20</v>
      </c>
      <c r="K1236" s="7" t="s">
        <v>32</v>
      </c>
      <c r="L1236" s="6"/>
      <c r="M1236" s="10">
        <v>5.3999999999999999E-2</v>
      </c>
      <c r="N1236" s="6" t="s">
        <v>5724</v>
      </c>
      <c r="O1236" s="11">
        <v>23035.06</v>
      </c>
      <c r="P1236" s="11"/>
      <c r="Q1236" s="18">
        <v>1431.31</v>
      </c>
      <c r="R1236" s="19"/>
    </row>
    <row r="1237" spans="1:18" hidden="1" x14ac:dyDescent="0.3">
      <c r="A1237" s="6" t="s">
        <v>5725</v>
      </c>
      <c r="B1237" s="7" t="s">
        <v>1125</v>
      </c>
      <c r="C1237" s="17" t="s">
        <v>5699</v>
      </c>
      <c r="D1237" s="17"/>
      <c r="E1237" s="7" t="s">
        <v>5726</v>
      </c>
      <c r="F1237" s="9">
        <v>78</v>
      </c>
      <c r="G1237" s="6" t="s">
        <v>5727</v>
      </c>
      <c r="H1237" s="7" t="s">
        <v>25</v>
      </c>
      <c r="I1237" s="6" t="s">
        <v>19</v>
      </c>
      <c r="J1237" s="7" t="s">
        <v>20</v>
      </c>
      <c r="K1237" s="7" t="s">
        <v>32</v>
      </c>
      <c r="L1237" s="6"/>
      <c r="M1237" s="10">
        <v>6.3600000000000004E-2</v>
      </c>
      <c r="N1237" s="6" t="s">
        <v>5728</v>
      </c>
      <c r="O1237" s="6" t="s">
        <v>19</v>
      </c>
      <c r="P1237" s="6"/>
      <c r="Q1237" s="19" t="s">
        <v>19</v>
      </c>
      <c r="R1237" s="19"/>
    </row>
    <row r="1238" spans="1:18" hidden="1" x14ac:dyDescent="0.3">
      <c r="A1238" s="6" t="s">
        <v>5729</v>
      </c>
      <c r="B1238" s="7" t="s">
        <v>401</v>
      </c>
      <c r="C1238" s="17" t="s">
        <v>5730</v>
      </c>
      <c r="D1238" s="17"/>
      <c r="E1238" s="7" t="s">
        <v>254</v>
      </c>
      <c r="F1238" s="9">
        <v>75</v>
      </c>
      <c r="G1238" s="6" t="s">
        <v>5731</v>
      </c>
      <c r="H1238" s="7" t="s">
        <v>25</v>
      </c>
      <c r="I1238" s="6" t="s">
        <v>19</v>
      </c>
      <c r="J1238" s="7" t="s">
        <v>20</v>
      </c>
      <c r="K1238" s="7" t="s">
        <v>26</v>
      </c>
      <c r="L1238" s="6"/>
      <c r="M1238" s="10">
        <v>5.8200000000000002E-2</v>
      </c>
      <c r="N1238" s="6" t="s">
        <v>5732</v>
      </c>
      <c r="O1238" s="6" t="s">
        <v>19</v>
      </c>
      <c r="P1238" s="6"/>
      <c r="Q1238" s="19" t="s">
        <v>19</v>
      </c>
      <c r="R1238" s="19"/>
    </row>
    <row r="1239" spans="1:18" ht="43.2" hidden="1" x14ac:dyDescent="0.3">
      <c r="A1239" s="6" t="s">
        <v>5733</v>
      </c>
      <c r="B1239" s="7" t="s">
        <v>3015</v>
      </c>
      <c r="C1239" s="17" t="s">
        <v>5734</v>
      </c>
      <c r="D1239" s="17"/>
      <c r="E1239" s="8">
        <v>16943</v>
      </c>
      <c r="F1239" s="9">
        <v>76</v>
      </c>
      <c r="G1239" s="6" t="s">
        <v>5735</v>
      </c>
      <c r="H1239" s="7" t="s">
        <v>39</v>
      </c>
      <c r="I1239" s="6" t="s">
        <v>151</v>
      </c>
      <c r="J1239" s="7" t="s">
        <v>20</v>
      </c>
      <c r="K1239" s="7" t="s">
        <v>26</v>
      </c>
      <c r="L1239" s="6"/>
      <c r="M1239" s="10">
        <v>5.9799999999999999E-2</v>
      </c>
      <c r="N1239" s="6" t="s">
        <v>5736</v>
      </c>
      <c r="O1239" s="11">
        <v>20000</v>
      </c>
      <c r="P1239" s="11"/>
      <c r="Q1239" s="18">
        <v>2500</v>
      </c>
      <c r="R1239" s="19"/>
    </row>
    <row r="1240" spans="1:18" ht="43.2" hidden="1" x14ac:dyDescent="0.3">
      <c r="A1240" s="6" t="s">
        <v>5737</v>
      </c>
      <c r="B1240" s="7" t="s">
        <v>210</v>
      </c>
      <c r="C1240" s="17" t="s">
        <v>5734</v>
      </c>
      <c r="D1240" s="17"/>
      <c r="E1240" s="8">
        <v>16463</v>
      </c>
      <c r="F1240" s="9">
        <v>77</v>
      </c>
      <c r="G1240" s="6" t="s">
        <v>5738</v>
      </c>
      <c r="H1240" s="7" t="s">
        <v>39</v>
      </c>
      <c r="I1240" s="6" t="s">
        <v>144</v>
      </c>
      <c r="J1240" s="7" t="s">
        <v>20</v>
      </c>
      <c r="K1240" s="7" t="s">
        <v>26</v>
      </c>
      <c r="L1240" s="6"/>
      <c r="M1240" s="10">
        <v>6.1699999999999998E-2</v>
      </c>
      <c r="N1240" s="6" t="s">
        <v>5739</v>
      </c>
      <c r="O1240" s="11">
        <v>44000</v>
      </c>
      <c r="P1240" s="11"/>
      <c r="Q1240" s="18">
        <v>5000</v>
      </c>
      <c r="R1240" s="19"/>
    </row>
    <row r="1241" spans="1:18" ht="43.2" hidden="1" x14ac:dyDescent="0.3">
      <c r="A1241" s="6" t="s">
        <v>5740</v>
      </c>
      <c r="B1241" s="7" t="s">
        <v>140</v>
      </c>
      <c r="C1241" s="17" t="s">
        <v>313</v>
      </c>
      <c r="D1241" s="17"/>
      <c r="E1241" s="8">
        <v>18406</v>
      </c>
      <c r="F1241" s="9">
        <v>72</v>
      </c>
      <c r="G1241" s="6" t="s">
        <v>5741</v>
      </c>
      <c r="H1241" s="7" t="s">
        <v>39</v>
      </c>
      <c r="I1241" s="6" t="s">
        <v>144</v>
      </c>
      <c r="J1241" s="7" t="s">
        <v>20</v>
      </c>
      <c r="K1241" s="7" t="s">
        <v>26</v>
      </c>
      <c r="L1241" s="6"/>
      <c r="M1241" s="10">
        <v>5.3999999999999999E-2</v>
      </c>
      <c r="N1241" s="6" t="s">
        <v>5742</v>
      </c>
      <c r="O1241" s="11">
        <v>40000</v>
      </c>
      <c r="P1241" s="11"/>
      <c r="Q1241" s="18">
        <v>5000</v>
      </c>
      <c r="R1241" s="19"/>
    </row>
    <row r="1242" spans="1:18" hidden="1" x14ac:dyDescent="0.3">
      <c r="A1242" s="6" t="s">
        <v>5743</v>
      </c>
      <c r="B1242" s="7" t="s">
        <v>5744</v>
      </c>
      <c r="C1242" s="17" t="s">
        <v>5745</v>
      </c>
      <c r="D1242" s="17"/>
      <c r="E1242" s="7" t="s">
        <v>5746</v>
      </c>
      <c r="F1242" s="9">
        <v>74</v>
      </c>
      <c r="G1242" s="6" t="s">
        <v>5747</v>
      </c>
      <c r="H1242" s="7" t="s">
        <v>25</v>
      </c>
      <c r="I1242" s="6" t="s">
        <v>19</v>
      </c>
      <c r="J1242" s="7" t="s">
        <v>41</v>
      </c>
      <c r="K1242" s="7" t="s">
        <v>26</v>
      </c>
      <c r="L1242" s="9">
        <v>72</v>
      </c>
      <c r="M1242" s="10">
        <v>5.3999999999999999E-2</v>
      </c>
      <c r="N1242" s="6" t="s">
        <v>5748</v>
      </c>
      <c r="O1242" s="6" t="s">
        <v>19</v>
      </c>
      <c r="P1242" s="6"/>
      <c r="Q1242" s="19" t="s">
        <v>19</v>
      </c>
      <c r="R1242" s="19"/>
    </row>
    <row r="1243" spans="1:18" hidden="1" x14ac:dyDescent="0.3">
      <c r="A1243" s="6" t="s">
        <v>5749</v>
      </c>
      <c r="B1243" s="7" t="s">
        <v>977</v>
      </c>
      <c r="C1243" s="17" t="s">
        <v>5750</v>
      </c>
      <c r="D1243" s="17"/>
      <c r="E1243" s="8">
        <v>18499</v>
      </c>
      <c r="F1243" s="9">
        <v>72</v>
      </c>
      <c r="G1243" s="6" t="s">
        <v>5751</v>
      </c>
      <c r="H1243" s="7" t="s">
        <v>25</v>
      </c>
      <c r="I1243" s="6"/>
      <c r="J1243" s="7" t="s">
        <v>20</v>
      </c>
      <c r="K1243" s="7" t="s">
        <v>26</v>
      </c>
      <c r="L1243" s="6"/>
      <c r="M1243" s="10">
        <v>5.3999999999999999E-2</v>
      </c>
      <c r="N1243" s="6" t="s">
        <v>5752</v>
      </c>
      <c r="O1243" s="11">
        <v>24000</v>
      </c>
      <c r="P1243" s="11"/>
      <c r="Q1243" s="18">
        <v>9000</v>
      </c>
      <c r="R1243" s="19"/>
    </row>
    <row r="1244" spans="1:18" ht="28.8" hidden="1" x14ac:dyDescent="0.3">
      <c r="A1244" s="6" t="s">
        <v>5753</v>
      </c>
      <c r="B1244" s="7" t="s">
        <v>1187</v>
      </c>
      <c r="C1244" s="17" t="s">
        <v>5754</v>
      </c>
      <c r="D1244" s="17"/>
      <c r="E1244" s="8">
        <v>18566</v>
      </c>
      <c r="F1244" s="9">
        <v>72</v>
      </c>
      <c r="G1244" s="6" t="s">
        <v>5755</v>
      </c>
      <c r="H1244" s="7" t="s">
        <v>39</v>
      </c>
      <c r="I1244" s="6" t="s">
        <v>321</v>
      </c>
      <c r="J1244" s="7" t="s">
        <v>20</v>
      </c>
      <c r="K1244" s="7" t="s">
        <v>26</v>
      </c>
      <c r="L1244" s="6"/>
      <c r="M1244" s="10">
        <v>5.3999999999999999E-2</v>
      </c>
      <c r="N1244" s="6" t="s">
        <v>5756</v>
      </c>
      <c r="O1244" s="11">
        <v>7000</v>
      </c>
      <c r="P1244" s="11"/>
      <c r="Q1244" s="18">
        <v>500</v>
      </c>
      <c r="R1244" s="19"/>
    </row>
    <row r="1245" spans="1:18" ht="28.8" hidden="1" x14ac:dyDescent="0.3">
      <c r="A1245" s="6" t="s">
        <v>5757</v>
      </c>
      <c r="B1245" s="7" t="s">
        <v>977</v>
      </c>
      <c r="C1245" s="17" t="s">
        <v>5758</v>
      </c>
      <c r="D1245" s="17"/>
      <c r="E1245" s="8">
        <v>17814</v>
      </c>
      <c r="F1245" s="9">
        <v>74</v>
      </c>
      <c r="G1245" s="6" t="s">
        <v>5759</v>
      </c>
      <c r="H1245" s="7" t="s">
        <v>39</v>
      </c>
      <c r="I1245" s="6" t="s">
        <v>321</v>
      </c>
      <c r="J1245" s="7" t="s">
        <v>20</v>
      </c>
      <c r="K1245" s="7" t="s">
        <v>26</v>
      </c>
      <c r="L1245" s="6"/>
      <c r="M1245" s="10">
        <v>5.67E-2</v>
      </c>
      <c r="N1245" s="6" t="s">
        <v>5760</v>
      </c>
      <c r="O1245" s="11">
        <v>4000</v>
      </c>
      <c r="P1245" s="11"/>
      <c r="Q1245" s="18">
        <v>500</v>
      </c>
      <c r="R1245" s="19"/>
    </row>
    <row r="1246" spans="1:18" ht="43.2" x14ac:dyDescent="0.3">
      <c r="A1246" s="6" t="s">
        <v>5761</v>
      </c>
      <c r="B1246" s="7" t="s">
        <v>35</v>
      </c>
      <c r="C1246" s="17" t="s">
        <v>5762</v>
      </c>
      <c r="D1246" s="17"/>
      <c r="E1246" s="8">
        <v>18147</v>
      </c>
      <c r="F1246" s="9">
        <v>73</v>
      </c>
      <c r="G1246" s="6" t="s">
        <v>5763</v>
      </c>
      <c r="H1246" s="7" t="s">
        <v>39</v>
      </c>
      <c r="I1246" s="6" t="s">
        <v>151</v>
      </c>
      <c r="J1246" s="7" t="s">
        <v>41</v>
      </c>
      <c r="K1246" s="7" t="s">
        <v>26</v>
      </c>
      <c r="L1246" s="9">
        <v>69</v>
      </c>
      <c r="M1246" s="10">
        <v>4.7600000000000003E-2</v>
      </c>
      <c r="N1246" s="6" t="s">
        <v>5764</v>
      </c>
      <c r="O1246" s="11">
        <v>20000</v>
      </c>
      <c r="P1246" s="11"/>
      <c r="Q1246" s="18">
        <v>579.61</v>
      </c>
      <c r="R1246" s="19"/>
    </row>
    <row r="1247" spans="1:18" hidden="1" x14ac:dyDescent="0.3">
      <c r="A1247" s="6" t="s">
        <v>5765</v>
      </c>
      <c r="B1247" s="7" t="s">
        <v>1712</v>
      </c>
      <c r="C1247" s="17" t="s">
        <v>5766</v>
      </c>
      <c r="D1247" s="17"/>
      <c r="E1247" s="8">
        <v>18053</v>
      </c>
      <c r="F1247" s="9">
        <v>73</v>
      </c>
      <c r="G1247" s="6" t="s">
        <v>5767</v>
      </c>
      <c r="H1247" s="7" t="s">
        <v>25</v>
      </c>
      <c r="I1247" s="6"/>
      <c r="J1247" s="7" t="s">
        <v>20</v>
      </c>
      <c r="K1247" s="7" t="s">
        <v>26</v>
      </c>
      <c r="L1247" s="6"/>
      <c r="M1247" s="10">
        <v>5.5300000000000002E-2</v>
      </c>
      <c r="N1247" s="6" t="s">
        <v>5768</v>
      </c>
      <c r="O1247" s="11">
        <v>41834.559999999998</v>
      </c>
      <c r="P1247" s="11"/>
      <c r="Q1247" s="18">
        <v>0.17</v>
      </c>
      <c r="R1247" s="19"/>
    </row>
    <row r="1248" spans="1:18" hidden="1" x14ac:dyDescent="0.3">
      <c r="A1248" s="6" t="s">
        <v>5769</v>
      </c>
      <c r="B1248" s="7" t="s">
        <v>5770</v>
      </c>
      <c r="C1248" s="17" t="s">
        <v>5771</v>
      </c>
      <c r="D1248" s="17"/>
      <c r="E1248" s="8">
        <v>17120</v>
      </c>
      <c r="F1248" s="9">
        <v>76</v>
      </c>
      <c r="G1248" s="6" t="s">
        <v>5772</v>
      </c>
      <c r="H1248" s="7" t="s">
        <v>25</v>
      </c>
      <c r="I1248" s="6"/>
      <c r="J1248" s="7" t="s">
        <v>20</v>
      </c>
      <c r="K1248" s="7" t="s">
        <v>26</v>
      </c>
      <c r="L1248" s="6"/>
      <c r="M1248" s="10">
        <v>5.9799999999999999E-2</v>
      </c>
      <c r="N1248" s="6" t="s">
        <v>5773</v>
      </c>
      <c r="O1248" s="11">
        <v>12200.72</v>
      </c>
      <c r="P1248" s="11"/>
      <c r="Q1248" s="18">
        <v>1525.09</v>
      </c>
      <c r="R1248" s="19"/>
    </row>
    <row r="1249" spans="1:18" ht="43.2" hidden="1" x14ac:dyDescent="0.3">
      <c r="A1249" s="6" t="s">
        <v>5774</v>
      </c>
      <c r="B1249" s="7" t="s">
        <v>129</v>
      </c>
      <c r="C1249" s="17" t="s">
        <v>5775</v>
      </c>
      <c r="D1249" s="17"/>
      <c r="E1249" s="8">
        <v>17282</v>
      </c>
      <c r="F1249" s="9">
        <v>75</v>
      </c>
      <c r="G1249" s="6" t="s">
        <v>5776</v>
      </c>
      <c r="H1249" s="7" t="s">
        <v>39</v>
      </c>
      <c r="I1249" s="6" t="s">
        <v>122</v>
      </c>
      <c r="J1249" s="7" t="s">
        <v>20</v>
      </c>
      <c r="K1249" s="7" t="s">
        <v>26</v>
      </c>
      <c r="L1249" s="6"/>
      <c r="M1249" s="10">
        <v>5.8200000000000002E-2</v>
      </c>
      <c r="N1249" s="6" t="s">
        <v>5777</v>
      </c>
      <c r="O1249" s="11">
        <v>16000</v>
      </c>
      <c r="P1249" s="11"/>
      <c r="Q1249" s="18">
        <v>2000</v>
      </c>
      <c r="R1249" s="19"/>
    </row>
    <row r="1250" spans="1:18" ht="43.2" x14ac:dyDescent="0.3">
      <c r="A1250" s="6" t="s">
        <v>5778</v>
      </c>
      <c r="B1250" s="7" t="s">
        <v>219</v>
      </c>
      <c r="C1250" s="17" t="s">
        <v>5779</v>
      </c>
      <c r="D1250" s="17"/>
      <c r="E1250" s="8">
        <v>17097</v>
      </c>
      <c r="F1250" s="9">
        <v>76</v>
      </c>
      <c r="G1250" s="6" t="s">
        <v>5780</v>
      </c>
      <c r="H1250" s="7" t="s">
        <v>39</v>
      </c>
      <c r="I1250" s="6" t="s">
        <v>5781</v>
      </c>
      <c r="J1250" s="7" t="s">
        <v>41</v>
      </c>
      <c r="K1250" s="7" t="s">
        <v>26</v>
      </c>
      <c r="L1250" s="9">
        <v>73</v>
      </c>
      <c r="M1250" s="10">
        <v>5.5300000000000002E-2</v>
      </c>
      <c r="N1250" s="6" t="s">
        <v>5782</v>
      </c>
      <c r="O1250" s="11">
        <v>20480</v>
      </c>
      <c r="P1250" s="11"/>
      <c r="Q1250" s="18">
        <v>2560</v>
      </c>
      <c r="R1250" s="19"/>
    </row>
    <row r="1251" spans="1:18" ht="43.2" x14ac:dyDescent="0.3">
      <c r="A1251" s="6" t="s">
        <v>5783</v>
      </c>
      <c r="B1251" s="7" t="s">
        <v>219</v>
      </c>
      <c r="C1251" s="17" t="s">
        <v>621</v>
      </c>
      <c r="D1251" s="17"/>
      <c r="E1251" s="8">
        <v>17490</v>
      </c>
      <c r="F1251" s="9">
        <v>75</v>
      </c>
      <c r="G1251" s="6" t="s">
        <v>5784</v>
      </c>
      <c r="H1251" s="7" t="s">
        <v>39</v>
      </c>
      <c r="I1251" s="6" t="s">
        <v>5785</v>
      </c>
      <c r="J1251" s="7" t="s">
        <v>41</v>
      </c>
      <c r="K1251" s="7" t="s">
        <v>26</v>
      </c>
      <c r="L1251" s="9">
        <v>70</v>
      </c>
      <c r="M1251" s="10">
        <v>0.05</v>
      </c>
      <c r="N1251" s="6" t="s">
        <v>5786</v>
      </c>
      <c r="O1251" s="11">
        <v>38000</v>
      </c>
      <c r="P1251" s="11"/>
      <c r="Q1251" s="18">
        <v>4750</v>
      </c>
      <c r="R1251" s="19"/>
    </row>
    <row r="1252" spans="1:18" ht="43.2" hidden="1" x14ac:dyDescent="0.3">
      <c r="A1252" s="6" t="s">
        <v>5787</v>
      </c>
      <c r="B1252" s="7" t="s">
        <v>5788</v>
      </c>
      <c r="C1252" s="17" t="s">
        <v>5789</v>
      </c>
      <c r="D1252" s="17"/>
      <c r="E1252" s="8">
        <v>17692</v>
      </c>
      <c r="F1252" s="9">
        <v>74</v>
      </c>
      <c r="G1252" s="6" t="s">
        <v>5790</v>
      </c>
      <c r="H1252" s="7" t="s">
        <v>39</v>
      </c>
      <c r="I1252" s="6" t="s">
        <v>47</v>
      </c>
      <c r="J1252" s="7" t="s">
        <v>20</v>
      </c>
      <c r="K1252" s="7" t="s">
        <v>26</v>
      </c>
      <c r="L1252" s="6"/>
      <c r="M1252" s="10">
        <v>5.67E-2</v>
      </c>
      <c r="N1252" s="6" t="s">
        <v>5791</v>
      </c>
      <c r="O1252" s="11">
        <v>8000</v>
      </c>
      <c r="P1252" s="11"/>
      <c r="Q1252" s="18">
        <v>1000</v>
      </c>
      <c r="R1252" s="19"/>
    </row>
    <row r="1253" spans="1:18" ht="43.2" hidden="1" x14ac:dyDescent="0.3">
      <c r="A1253" s="6" t="s">
        <v>5792</v>
      </c>
      <c r="B1253" s="7" t="s">
        <v>830</v>
      </c>
      <c r="C1253" s="17" t="s">
        <v>5793</v>
      </c>
      <c r="D1253" s="17"/>
      <c r="E1253" s="8">
        <v>17829</v>
      </c>
      <c r="F1253" s="9">
        <v>74</v>
      </c>
      <c r="G1253" s="6" t="s">
        <v>5794</v>
      </c>
      <c r="H1253" s="7" t="s">
        <v>39</v>
      </c>
      <c r="I1253" s="6" t="s">
        <v>1105</v>
      </c>
      <c r="J1253" s="7" t="s">
        <v>20</v>
      </c>
      <c r="K1253" s="7" t="s">
        <v>26</v>
      </c>
      <c r="L1253" s="6"/>
      <c r="M1253" s="10">
        <v>5.67E-2</v>
      </c>
      <c r="N1253" s="6" t="s">
        <v>5795</v>
      </c>
      <c r="O1253" s="11">
        <v>10550</v>
      </c>
      <c r="P1253" s="11"/>
      <c r="Q1253" s="18">
        <v>1300</v>
      </c>
      <c r="R1253" s="19"/>
    </row>
    <row r="1254" spans="1:18" ht="43.2" x14ac:dyDescent="0.3">
      <c r="A1254" s="6" t="s">
        <v>5796</v>
      </c>
      <c r="B1254" s="7" t="s">
        <v>830</v>
      </c>
      <c r="C1254" s="17" t="s">
        <v>5797</v>
      </c>
      <c r="D1254" s="17"/>
      <c r="E1254" s="8">
        <v>16035</v>
      </c>
      <c r="F1254" s="9">
        <v>79</v>
      </c>
      <c r="G1254" s="6" t="s">
        <v>5798</v>
      </c>
      <c r="H1254" s="7" t="s">
        <v>39</v>
      </c>
      <c r="I1254" s="6" t="s">
        <v>267</v>
      </c>
      <c r="J1254" s="7" t="s">
        <v>41</v>
      </c>
      <c r="K1254" s="7" t="s">
        <v>26</v>
      </c>
      <c r="L1254" s="9">
        <v>76</v>
      </c>
      <c r="M1254" s="10">
        <v>5.9799999999999999E-2</v>
      </c>
      <c r="N1254" s="6" t="s">
        <v>5799</v>
      </c>
      <c r="O1254" s="11">
        <v>17600</v>
      </c>
      <c r="P1254" s="11"/>
      <c r="Q1254" s="18">
        <v>2200</v>
      </c>
      <c r="R1254" s="19"/>
    </row>
    <row r="1255" spans="1:18" x14ac:dyDescent="0.3">
      <c r="A1255" s="6" t="s">
        <v>5800</v>
      </c>
      <c r="B1255" s="7" t="s">
        <v>640</v>
      </c>
      <c r="C1255" s="17" t="s">
        <v>5801</v>
      </c>
      <c r="D1255" s="17"/>
      <c r="E1255" s="8">
        <v>17208</v>
      </c>
      <c r="F1255" s="9">
        <v>75</v>
      </c>
      <c r="G1255" s="6" t="s">
        <v>5802</v>
      </c>
      <c r="H1255" s="7" t="s">
        <v>25</v>
      </c>
      <c r="I1255" s="6"/>
      <c r="J1255" s="7" t="s">
        <v>41</v>
      </c>
      <c r="K1255" s="7" t="s">
        <v>32</v>
      </c>
      <c r="L1255" s="9">
        <v>70</v>
      </c>
      <c r="M1255" s="10">
        <v>0.05</v>
      </c>
      <c r="N1255" s="6" t="s">
        <v>5803</v>
      </c>
      <c r="O1255" s="11">
        <v>37582.54</v>
      </c>
      <c r="P1255" s="11"/>
      <c r="Q1255" s="18">
        <v>18564.89</v>
      </c>
      <c r="R1255" s="19"/>
    </row>
    <row r="1256" spans="1:18" ht="28.8" hidden="1" x14ac:dyDescent="0.3">
      <c r="A1256" s="6" t="s">
        <v>5804</v>
      </c>
      <c r="B1256" s="7" t="s">
        <v>5805</v>
      </c>
      <c r="C1256" s="17" t="s">
        <v>5806</v>
      </c>
      <c r="D1256" s="17"/>
      <c r="E1256" s="8">
        <v>18020</v>
      </c>
      <c r="F1256" s="9">
        <v>73</v>
      </c>
      <c r="G1256" s="6" t="s">
        <v>5807</v>
      </c>
      <c r="H1256" s="7" t="s">
        <v>25</v>
      </c>
      <c r="I1256" s="6"/>
      <c r="J1256" s="7" t="s">
        <v>20</v>
      </c>
      <c r="K1256" s="7" t="s">
        <v>32</v>
      </c>
      <c r="L1256" s="6"/>
      <c r="M1256" s="10">
        <v>5.5300000000000002E-2</v>
      </c>
      <c r="N1256" s="6" t="s">
        <v>5808</v>
      </c>
      <c r="O1256" s="11">
        <v>17762.62</v>
      </c>
      <c r="P1256" s="11"/>
      <c r="Q1256" s="18">
        <v>17762.62</v>
      </c>
      <c r="R1256" s="19"/>
    </row>
    <row r="1257" spans="1:18" x14ac:dyDescent="0.3">
      <c r="A1257" s="6" t="s">
        <v>5809</v>
      </c>
      <c r="B1257" s="7" t="s">
        <v>270</v>
      </c>
      <c r="C1257" s="17" t="s">
        <v>5810</v>
      </c>
      <c r="D1257" s="17"/>
      <c r="E1257" s="8">
        <v>16657</v>
      </c>
      <c r="F1257" s="9">
        <v>77</v>
      </c>
      <c r="G1257" s="6" t="s">
        <v>5811</v>
      </c>
      <c r="H1257" s="7" t="s">
        <v>25</v>
      </c>
      <c r="I1257" s="6"/>
      <c r="J1257" s="7" t="s">
        <v>41</v>
      </c>
      <c r="K1257" s="7" t="s">
        <v>32</v>
      </c>
      <c r="L1257" s="9">
        <v>66</v>
      </c>
      <c r="M1257" s="10">
        <v>4.1700000000000001E-2</v>
      </c>
      <c r="N1257" s="6" t="s">
        <v>5812</v>
      </c>
      <c r="O1257" s="11">
        <v>150000</v>
      </c>
      <c r="P1257" s="11"/>
      <c r="Q1257" s="18">
        <v>28198.29</v>
      </c>
      <c r="R1257" s="19"/>
    </row>
    <row r="1258" spans="1:18" x14ac:dyDescent="0.3">
      <c r="A1258" s="6" t="s">
        <v>5813</v>
      </c>
      <c r="B1258" s="7" t="s">
        <v>3796</v>
      </c>
      <c r="C1258" s="17" t="s">
        <v>5810</v>
      </c>
      <c r="D1258" s="17"/>
      <c r="E1258" s="8">
        <v>15124</v>
      </c>
      <c r="F1258" s="9">
        <v>81</v>
      </c>
      <c r="G1258" s="6" t="s">
        <v>5814</v>
      </c>
      <c r="H1258" s="7" t="s">
        <v>25</v>
      </c>
      <c r="I1258" s="6"/>
      <c r="J1258" s="7" t="s">
        <v>41</v>
      </c>
      <c r="K1258" s="7" t="s">
        <v>32</v>
      </c>
      <c r="L1258" s="9">
        <v>80</v>
      </c>
      <c r="M1258" s="10">
        <v>6.8199999999999997E-2</v>
      </c>
      <c r="N1258" s="6" t="s">
        <v>5815</v>
      </c>
      <c r="O1258" s="11">
        <v>22396</v>
      </c>
      <c r="P1258" s="11"/>
      <c r="Q1258" s="18">
        <v>22396</v>
      </c>
      <c r="R1258" s="19"/>
    </row>
    <row r="1259" spans="1:18" ht="43.2" hidden="1" x14ac:dyDescent="0.3">
      <c r="A1259" s="6" t="s">
        <v>5816</v>
      </c>
      <c r="B1259" s="7" t="s">
        <v>3925</v>
      </c>
      <c r="C1259" s="17" t="s">
        <v>5817</v>
      </c>
      <c r="D1259" s="17"/>
      <c r="E1259" s="8">
        <v>18505</v>
      </c>
      <c r="F1259" s="9">
        <v>72</v>
      </c>
      <c r="G1259" s="6" t="s">
        <v>5818</v>
      </c>
      <c r="H1259" s="7" t="s">
        <v>39</v>
      </c>
      <c r="I1259" s="6" t="s">
        <v>745</v>
      </c>
      <c r="J1259" s="7" t="s">
        <v>20</v>
      </c>
      <c r="K1259" s="7" t="s">
        <v>26</v>
      </c>
      <c r="L1259" s="6"/>
      <c r="M1259" s="10">
        <v>5.3999999999999999E-2</v>
      </c>
      <c r="N1259" s="6" t="s">
        <v>5819</v>
      </c>
      <c r="O1259" s="11">
        <v>11200</v>
      </c>
      <c r="P1259" s="11"/>
      <c r="Q1259" s="18">
        <v>17.22</v>
      </c>
      <c r="R1259" s="19"/>
    </row>
    <row r="1260" spans="1:18" ht="43.2" hidden="1" x14ac:dyDescent="0.3">
      <c r="A1260" s="6" t="s">
        <v>5820</v>
      </c>
      <c r="B1260" s="7" t="s">
        <v>129</v>
      </c>
      <c r="C1260" s="17" t="s">
        <v>5817</v>
      </c>
      <c r="D1260" s="17"/>
      <c r="E1260" s="8">
        <v>17466</v>
      </c>
      <c r="F1260" s="9">
        <v>75</v>
      </c>
      <c r="G1260" s="6" t="s">
        <v>5821</v>
      </c>
      <c r="H1260" s="7" t="s">
        <v>39</v>
      </c>
      <c r="I1260" s="6" t="s">
        <v>47</v>
      </c>
      <c r="J1260" s="7" t="s">
        <v>20</v>
      </c>
      <c r="K1260" s="7" t="s">
        <v>26</v>
      </c>
      <c r="L1260" s="6"/>
      <c r="M1260" s="10">
        <v>5.8200000000000002E-2</v>
      </c>
      <c r="N1260" s="6" t="s">
        <v>5822</v>
      </c>
      <c r="O1260" s="11">
        <v>8000</v>
      </c>
      <c r="P1260" s="11"/>
      <c r="Q1260" s="18">
        <v>1000</v>
      </c>
      <c r="R1260" s="19"/>
    </row>
    <row r="1261" spans="1:18" hidden="1" x14ac:dyDescent="0.3">
      <c r="A1261" s="6" t="s">
        <v>5823</v>
      </c>
      <c r="B1261" s="7" t="s">
        <v>830</v>
      </c>
      <c r="C1261" s="17" t="s">
        <v>5817</v>
      </c>
      <c r="D1261" s="17"/>
      <c r="E1261" s="8">
        <v>18481</v>
      </c>
      <c r="F1261" s="9">
        <v>72</v>
      </c>
      <c r="G1261" s="6" t="s">
        <v>5824</v>
      </c>
      <c r="H1261" s="7" t="s">
        <v>25</v>
      </c>
      <c r="I1261" s="6"/>
      <c r="J1261" s="7" t="s">
        <v>20</v>
      </c>
      <c r="K1261" s="7" t="s">
        <v>26</v>
      </c>
      <c r="L1261" s="6"/>
      <c r="M1261" s="10">
        <v>5.3999999999999999E-2</v>
      </c>
      <c r="N1261" s="6" t="s">
        <v>5825</v>
      </c>
      <c r="O1261" s="11">
        <v>33849.279999999999</v>
      </c>
      <c r="P1261" s="11"/>
      <c r="Q1261" s="18">
        <v>4231.16</v>
      </c>
      <c r="R1261" s="19"/>
    </row>
    <row r="1262" spans="1:18" hidden="1" x14ac:dyDescent="0.3">
      <c r="A1262" s="6" t="s">
        <v>5826</v>
      </c>
      <c r="B1262" s="7" t="s">
        <v>2443</v>
      </c>
      <c r="C1262" s="17" t="s">
        <v>5817</v>
      </c>
      <c r="D1262" s="17"/>
      <c r="E1262" s="7" t="s">
        <v>5827</v>
      </c>
      <c r="F1262" s="9">
        <v>74</v>
      </c>
      <c r="G1262" s="6" t="s">
        <v>5828</v>
      </c>
      <c r="H1262" s="7" t="s">
        <v>25</v>
      </c>
      <c r="I1262" s="6" t="s">
        <v>19</v>
      </c>
      <c r="J1262" s="7" t="s">
        <v>41</v>
      </c>
      <c r="K1262" s="7" t="s">
        <v>26</v>
      </c>
      <c r="L1262" s="9">
        <v>68</v>
      </c>
      <c r="M1262" s="10">
        <v>4.5499999999999999E-2</v>
      </c>
      <c r="N1262" s="6" t="s">
        <v>2028</v>
      </c>
      <c r="O1262" s="6" t="s">
        <v>19</v>
      </c>
      <c r="P1262" s="6"/>
      <c r="Q1262" s="19" t="s">
        <v>19</v>
      </c>
      <c r="R1262" s="19"/>
    </row>
    <row r="1263" spans="1:18" ht="43.2" hidden="1" x14ac:dyDescent="0.3">
      <c r="A1263" s="6" t="s">
        <v>5829</v>
      </c>
      <c r="B1263" s="7" t="s">
        <v>1799</v>
      </c>
      <c r="C1263" s="17" t="s">
        <v>5830</v>
      </c>
      <c r="D1263" s="17"/>
      <c r="E1263" s="8">
        <v>18187</v>
      </c>
      <c r="F1263" s="9">
        <v>73</v>
      </c>
      <c r="G1263" s="6" t="s">
        <v>5831</v>
      </c>
      <c r="H1263" s="7" t="s">
        <v>39</v>
      </c>
      <c r="I1263" s="6" t="s">
        <v>144</v>
      </c>
      <c r="J1263" s="7" t="s">
        <v>20</v>
      </c>
      <c r="K1263" s="7" t="s">
        <v>26</v>
      </c>
      <c r="L1263" s="6"/>
      <c r="M1263" s="10">
        <v>5.5300000000000002E-2</v>
      </c>
      <c r="N1263" s="6" t="s">
        <v>5832</v>
      </c>
      <c r="O1263" s="11">
        <v>40000</v>
      </c>
      <c r="P1263" s="11"/>
      <c r="Q1263" s="18">
        <v>5000</v>
      </c>
      <c r="R1263" s="19"/>
    </row>
    <row r="1264" spans="1:18" ht="43.2" hidden="1" x14ac:dyDescent="0.3">
      <c r="A1264" s="6" t="s">
        <v>5833</v>
      </c>
      <c r="B1264" s="7" t="s">
        <v>338</v>
      </c>
      <c r="C1264" s="17" t="s">
        <v>5834</v>
      </c>
      <c r="D1264" s="17"/>
      <c r="E1264" s="8">
        <v>17794</v>
      </c>
      <c r="F1264" s="9">
        <v>74</v>
      </c>
      <c r="G1264" s="6" t="s">
        <v>5835</v>
      </c>
      <c r="H1264" s="7" t="s">
        <v>39</v>
      </c>
      <c r="I1264" s="6" t="s">
        <v>40</v>
      </c>
      <c r="J1264" s="7" t="s">
        <v>20</v>
      </c>
      <c r="K1264" s="7" t="s">
        <v>26</v>
      </c>
      <c r="L1264" s="6"/>
      <c r="M1264" s="10">
        <v>5.67E-2</v>
      </c>
      <c r="N1264" s="6" t="s">
        <v>5836</v>
      </c>
      <c r="O1264" s="11">
        <v>24000</v>
      </c>
      <c r="P1264" s="11"/>
      <c r="Q1264" s="18">
        <v>3000</v>
      </c>
      <c r="R1264" s="19"/>
    </row>
    <row r="1265" spans="1:18" ht="43.2" hidden="1" x14ac:dyDescent="0.3">
      <c r="A1265" s="6" t="s">
        <v>5837</v>
      </c>
      <c r="B1265" s="7" t="s">
        <v>120</v>
      </c>
      <c r="C1265" s="17" t="s">
        <v>5838</v>
      </c>
      <c r="D1265" s="17"/>
      <c r="E1265" s="8">
        <v>16833</v>
      </c>
      <c r="F1265" s="9">
        <v>76</v>
      </c>
      <c r="G1265" s="6" t="s">
        <v>5839</v>
      </c>
      <c r="H1265" s="7" t="s">
        <v>39</v>
      </c>
      <c r="I1265" s="6" t="s">
        <v>5840</v>
      </c>
      <c r="J1265" s="7" t="s">
        <v>20</v>
      </c>
      <c r="K1265" s="7" t="s">
        <v>26</v>
      </c>
      <c r="L1265" s="6"/>
      <c r="M1265" s="10">
        <v>5.9799999999999999E-2</v>
      </c>
      <c r="N1265" s="6" t="s">
        <v>5841</v>
      </c>
      <c r="O1265" s="11">
        <v>28400</v>
      </c>
      <c r="P1265" s="11"/>
      <c r="Q1265" s="18">
        <v>3550</v>
      </c>
      <c r="R1265" s="19"/>
    </row>
    <row r="1266" spans="1:18" x14ac:dyDescent="0.3">
      <c r="A1266" s="6" t="s">
        <v>5842</v>
      </c>
      <c r="B1266" s="7" t="s">
        <v>5843</v>
      </c>
      <c r="C1266" s="17" t="s">
        <v>5844</v>
      </c>
      <c r="D1266" s="17"/>
      <c r="E1266" s="8">
        <v>16227</v>
      </c>
      <c r="F1266" s="9">
        <v>78</v>
      </c>
      <c r="G1266" s="6" t="s">
        <v>5845</v>
      </c>
      <c r="H1266" s="7" t="s">
        <v>25</v>
      </c>
      <c r="I1266" s="6"/>
      <c r="J1266" s="7" t="s">
        <v>41</v>
      </c>
      <c r="K1266" s="7" t="s">
        <v>32</v>
      </c>
      <c r="L1266" s="9">
        <v>70</v>
      </c>
      <c r="M1266" s="10">
        <v>0.05</v>
      </c>
      <c r="N1266" s="6" t="s">
        <v>5846</v>
      </c>
      <c r="O1266" s="11">
        <v>5975.87</v>
      </c>
      <c r="P1266" s="11"/>
      <c r="Q1266" s="18">
        <v>5975.87</v>
      </c>
      <c r="R1266" s="19"/>
    </row>
    <row r="1267" spans="1:18" ht="43.2" hidden="1" x14ac:dyDescent="0.3">
      <c r="A1267" s="6" t="s">
        <v>5847</v>
      </c>
      <c r="B1267" s="7" t="s">
        <v>5848</v>
      </c>
      <c r="C1267" s="17" t="s">
        <v>5849</v>
      </c>
      <c r="D1267" s="17"/>
      <c r="E1267" s="8">
        <v>18449</v>
      </c>
      <c r="F1267" s="9">
        <v>72</v>
      </c>
      <c r="G1267" s="6" t="s">
        <v>5850</v>
      </c>
      <c r="H1267" s="7" t="s">
        <v>39</v>
      </c>
      <c r="I1267" s="6" t="s">
        <v>144</v>
      </c>
      <c r="J1267" s="7" t="s">
        <v>20</v>
      </c>
      <c r="K1267" s="7" t="s">
        <v>26</v>
      </c>
      <c r="L1267" s="6"/>
      <c r="M1267" s="10">
        <v>5.3999999999999999E-2</v>
      </c>
      <c r="N1267" s="6" t="s">
        <v>5851</v>
      </c>
      <c r="O1267" s="11">
        <v>50000</v>
      </c>
      <c r="P1267" s="11"/>
      <c r="Q1267" s="18">
        <v>5000</v>
      </c>
      <c r="R1267" s="19"/>
    </row>
    <row r="1268" spans="1:18" ht="43.2" hidden="1" x14ac:dyDescent="0.3">
      <c r="A1268" s="6" t="s">
        <v>5852</v>
      </c>
      <c r="B1268" s="7" t="s">
        <v>8594</v>
      </c>
      <c r="C1268" s="17" t="s">
        <v>5853</v>
      </c>
      <c r="D1268" s="17"/>
      <c r="E1268" s="8">
        <v>18261</v>
      </c>
      <c r="F1268" s="9">
        <v>73</v>
      </c>
      <c r="G1268" s="6" t="s">
        <v>5854</v>
      </c>
      <c r="H1268" s="7" t="s">
        <v>39</v>
      </c>
      <c r="I1268" s="6" t="s">
        <v>89</v>
      </c>
      <c r="J1268" s="7" t="s">
        <v>20</v>
      </c>
      <c r="K1268" s="7" t="s">
        <v>26</v>
      </c>
      <c r="L1268" s="6"/>
      <c r="M1268" s="10">
        <v>5.5300000000000002E-2</v>
      </c>
      <c r="N1268" s="6" t="s">
        <v>5855</v>
      </c>
      <c r="O1268" s="11">
        <v>14600</v>
      </c>
      <c r="P1268" s="11"/>
      <c r="Q1268" s="18">
        <v>5000</v>
      </c>
      <c r="R1268" s="19"/>
    </row>
    <row r="1269" spans="1:18" hidden="1" x14ac:dyDescent="0.3">
      <c r="A1269" s="6" t="s">
        <v>5856</v>
      </c>
      <c r="B1269" s="7" t="s">
        <v>798</v>
      </c>
      <c r="C1269" s="17" t="s">
        <v>5857</v>
      </c>
      <c r="D1269" s="17"/>
      <c r="E1269" s="8">
        <v>15287</v>
      </c>
      <c r="F1269" s="9">
        <v>81</v>
      </c>
      <c r="G1269" s="6" t="s">
        <v>5858</v>
      </c>
      <c r="H1269" s="7" t="s">
        <v>25</v>
      </c>
      <c r="I1269" s="6"/>
      <c r="J1269" s="7" t="s">
        <v>20</v>
      </c>
      <c r="K1269" s="7" t="s">
        <v>26</v>
      </c>
      <c r="L1269" s="6"/>
      <c r="M1269" s="10">
        <v>7.0800000000000002E-2</v>
      </c>
      <c r="N1269" s="6" t="s">
        <v>5859</v>
      </c>
      <c r="O1269" s="11">
        <v>3270.08</v>
      </c>
      <c r="P1269" s="11"/>
      <c r="Q1269" s="18">
        <v>408.76</v>
      </c>
      <c r="R1269" s="19"/>
    </row>
    <row r="1270" spans="1:18" ht="43.2" hidden="1" x14ac:dyDescent="0.3">
      <c r="A1270" s="6" t="s">
        <v>5860</v>
      </c>
      <c r="B1270" s="7" t="s">
        <v>2192</v>
      </c>
      <c r="C1270" s="17" t="s">
        <v>5861</v>
      </c>
      <c r="D1270" s="17"/>
      <c r="E1270" s="8">
        <v>17386</v>
      </c>
      <c r="F1270" s="9">
        <v>75</v>
      </c>
      <c r="G1270" s="6" t="s">
        <v>5862</v>
      </c>
      <c r="H1270" s="7" t="s">
        <v>39</v>
      </c>
      <c r="I1270" s="6" t="s">
        <v>243</v>
      </c>
      <c r="J1270" s="7" t="s">
        <v>20</v>
      </c>
      <c r="K1270" s="7" t="s">
        <v>26</v>
      </c>
      <c r="L1270" s="6"/>
      <c r="M1270" s="10">
        <v>5.8200000000000002E-2</v>
      </c>
      <c r="N1270" s="6" t="s">
        <v>5863</v>
      </c>
      <c r="O1270" s="11">
        <v>14400</v>
      </c>
      <c r="P1270" s="11"/>
      <c r="Q1270" s="18">
        <v>1800</v>
      </c>
      <c r="R1270" s="19"/>
    </row>
    <row r="1271" spans="1:18" ht="43.2" hidden="1" x14ac:dyDescent="0.3">
      <c r="A1271" s="6" t="s">
        <v>5864</v>
      </c>
      <c r="B1271" s="7" t="s">
        <v>4754</v>
      </c>
      <c r="C1271" s="17" t="s">
        <v>5865</v>
      </c>
      <c r="D1271" s="17"/>
      <c r="E1271" s="8">
        <v>18025</v>
      </c>
      <c r="F1271" s="9">
        <v>73</v>
      </c>
      <c r="G1271" s="6" t="s">
        <v>5866</v>
      </c>
      <c r="H1271" s="7" t="s">
        <v>39</v>
      </c>
      <c r="I1271" s="6" t="s">
        <v>704</v>
      </c>
      <c r="J1271" s="7" t="s">
        <v>20</v>
      </c>
      <c r="K1271" s="7" t="s">
        <v>26</v>
      </c>
      <c r="L1271" s="6"/>
      <c r="M1271" s="10">
        <v>5.5300000000000002E-2</v>
      </c>
      <c r="N1271" s="6" t="s">
        <v>5867</v>
      </c>
      <c r="O1271" s="11">
        <v>10000</v>
      </c>
      <c r="P1271" s="11"/>
      <c r="Q1271" s="18">
        <v>1250</v>
      </c>
      <c r="R1271" s="19"/>
    </row>
    <row r="1272" spans="1:18" ht="43.2" hidden="1" x14ac:dyDescent="0.3">
      <c r="A1272" s="6" t="s">
        <v>5868</v>
      </c>
      <c r="B1272" s="7" t="s">
        <v>135</v>
      </c>
      <c r="C1272" s="17" t="s">
        <v>5869</v>
      </c>
      <c r="D1272" s="17"/>
      <c r="E1272" s="8">
        <v>17516</v>
      </c>
      <c r="F1272" s="9">
        <v>75</v>
      </c>
      <c r="G1272" s="6" t="s">
        <v>5870</v>
      </c>
      <c r="H1272" s="7" t="s">
        <v>39</v>
      </c>
      <c r="I1272" s="6" t="s">
        <v>5871</v>
      </c>
      <c r="J1272" s="7" t="s">
        <v>20</v>
      </c>
      <c r="K1272" s="7" t="s">
        <v>26</v>
      </c>
      <c r="L1272" s="6"/>
      <c r="M1272" s="10">
        <v>5.8200000000000002E-2</v>
      </c>
      <c r="N1272" s="6" t="s">
        <v>5872</v>
      </c>
      <c r="O1272" s="11">
        <v>24768</v>
      </c>
      <c r="P1272" s="11"/>
      <c r="Q1272" s="18">
        <v>3096</v>
      </c>
      <c r="R1272" s="19"/>
    </row>
    <row r="1273" spans="1:18" hidden="1" x14ac:dyDescent="0.3">
      <c r="A1273" s="6" t="s">
        <v>5873</v>
      </c>
      <c r="B1273" s="7" t="s">
        <v>342</v>
      </c>
      <c r="C1273" s="17" t="s">
        <v>5874</v>
      </c>
      <c r="D1273" s="17"/>
      <c r="E1273" s="8">
        <v>14411</v>
      </c>
      <c r="F1273" s="9">
        <v>83</v>
      </c>
      <c r="G1273" s="6" t="s">
        <v>5875</v>
      </c>
      <c r="H1273" s="7" t="s">
        <v>25</v>
      </c>
      <c r="I1273" s="6"/>
      <c r="J1273" s="7" t="s">
        <v>20</v>
      </c>
      <c r="K1273" s="7" t="s">
        <v>32</v>
      </c>
      <c r="L1273" s="6"/>
      <c r="M1273" s="10">
        <v>7.7100000000000002E-2</v>
      </c>
      <c r="N1273" s="6" t="s">
        <v>5876</v>
      </c>
      <c r="O1273" s="11">
        <v>2647.31</v>
      </c>
      <c r="P1273" s="11"/>
      <c r="Q1273" s="18">
        <v>2647.31</v>
      </c>
      <c r="R1273" s="19"/>
    </row>
    <row r="1274" spans="1:18" ht="28.8" hidden="1" x14ac:dyDescent="0.3">
      <c r="A1274" s="6" t="s">
        <v>5877</v>
      </c>
      <c r="B1274" s="7" t="s">
        <v>678</v>
      </c>
      <c r="C1274" s="17" t="s">
        <v>5878</v>
      </c>
      <c r="D1274" s="17"/>
      <c r="E1274" s="8">
        <v>15485</v>
      </c>
      <c r="F1274" s="9">
        <v>80</v>
      </c>
      <c r="G1274" s="6" t="s">
        <v>5879</v>
      </c>
      <c r="H1274" s="7" t="s">
        <v>39</v>
      </c>
      <c r="I1274" s="6" t="s">
        <v>321</v>
      </c>
      <c r="J1274" s="7" t="s">
        <v>20</v>
      </c>
      <c r="K1274" s="7" t="s">
        <v>26</v>
      </c>
      <c r="L1274" s="6"/>
      <c r="M1274" s="10">
        <v>6.8199999999999997E-2</v>
      </c>
      <c r="N1274" s="6" t="s">
        <v>5880</v>
      </c>
      <c r="O1274" s="11">
        <v>4000</v>
      </c>
      <c r="P1274" s="11"/>
      <c r="Q1274" s="18">
        <v>500</v>
      </c>
      <c r="R1274" s="19"/>
    </row>
    <row r="1275" spans="1:18" ht="43.2" x14ac:dyDescent="0.3">
      <c r="A1275" s="6" t="s">
        <v>5881</v>
      </c>
      <c r="B1275" s="7" t="s">
        <v>5882</v>
      </c>
      <c r="C1275" s="17" t="s">
        <v>5883</v>
      </c>
      <c r="D1275" s="17"/>
      <c r="E1275" s="8">
        <v>16081</v>
      </c>
      <c r="F1275" s="9">
        <v>78</v>
      </c>
      <c r="G1275" s="6" t="s">
        <v>5884</v>
      </c>
      <c r="H1275" s="7" t="s">
        <v>39</v>
      </c>
      <c r="I1275" s="6" t="s">
        <v>106</v>
      </c>
      <c r="J1275" s="7" t="s">
        <v>41</v>
      </c>
      <c r="K1275" s="7" t="s">
        <v>32</v>
      </c>
      <c r="L1275" s="9">
        <v>75</v>
      </c>
      <c r="M1275" s="10">
        <v>5.8200000000000002E-2</v>
      </c>
      <c r="N1275" s="6" t="s">
        <v>5885</v>
      </c>
      <c r="O1275" s="11">
        <v>4000</v>
      </c>
      <c r="P1275" s="11"/>
      <c r="Q1275" s="18">
        <v>4000</v>
      </c>
      <c r="R1275" s="19"/>
    </row>
    <row r="1276" spans="1:18" ht="43.2" hidden="1" x14ac:dyDescent="0.3">
      <c r="A1276" s="6" t="s">
        <v>5886</v>
      </c>
      <c r="B1276" s="7" t="s">
        <v>3015</v>
      </c>
      <c r="C1276" s="17" t="s">
        <v>5887</v>
      </c>
      <c r="D1276" s="17"/>
      <c r="E1276" s="8">
        <v>18347</v>
      </c>
      <c r="F1276" s="9">
        <v>72</v>
      </c>
      <c r="G1276" s="6" t="s">
        <v>5888</v>
      </c>
      <c r="H1276" s="7" t="s">
        <v>39</v>
      </c>
      <c r="I1276" s="6" t="s">
        <v>122</v>
      </c>
      <c r="J1276" s="7" t="s">
        <v>20</v>
      </c>
      <c r="K1276" s="7" t="s">
        <v>26</v>
      </c>
      <c r="L1276" s="6"/>
      <c r="M1276" s="10">
        <v>5.3999999999999999E-2</v>
      </c>
      <c r="N1276" s="6" t="s">
        <v>5889</v>
      </c>
      <c r="O1276" s="11">
        <v>16000</v>
      </c>
      <c r="P1276" s="11"/>
      <c r="Q1276" s="18">
        <v>2000</v>
      </c>
      <c r="R1276" s="19"/>
    </row>
    <row r="1277" spans="1:18" hidden="1" x14ac:dyDescent="0.3">
      <c r="A1277" s="6" t="s">
        <v>5890</v>
      </c>
      <c r="B1277" s="7" t="s">
        <v>270</v>
      </c>
      <c r="C1277" s="17" t="s">
        <v>5891</v>
      </c>
      <c r="D1277" s="17"/>
      <c r="E1277" s="8">
        <v>17770</v>
      </c>
      <c r="F1277" s="9">
        <v>74</v>
      </c>
      <c r="G1277" s="6" t="s">
        <v>5892</v>
      </c>
      <c r="H1277" s="7" t="s">
        <v>25</v>
      </c>
      <c r="I1277" s="6"/>
      <c r="J1277" s="7" t="s">
        <v>20</v>
      </c>
      <c r="K1277" s="7" t="s">
        <v>26</v>
      </c>
      <c r="L1277" s="6"/>
      <c r="M1277" s="10">
        <v>5.67E-2</v>
      </c>
      <c r="N1277" s="6" t="s">
        <v>5893</v>
      </c>
      <c r="O1277" s="11">
        <v>45000</v>
      </c>
      <c r="P1277" s="11"/>
      <c r="Q1277" s="18">
        <v>45000</v>
      </c>
      <c r="R1277" s="19"/>
    </row>
    <row r="1278" spans="1:18" ht="43.2" x14ac:dyDescent="0.3">
      <c r="A1278" s="6" t="s">
        <v>5894</v>
      </c>
      <c r="B1278" s="7" t="s">
        <v>270</v>
      </c>
      <c r="C1278" s="17" t="s">
        <v>5895</v>
      </c>
      <c r="D1278" s="17"/>
      <c r="E1278" s="8">
        <v>16598</v>
      </c>
      <c r="F1278" s="9">
        <v>77</v>
      </c>
      <c r="G1278" s="6" t="s">
        <v>5896</v>
      </c>
      <c r="H1278" s="7" t="s">
        <v>39</v>
      </c>
      <c r="I1278" s="6" t="s">
        <v>728</v>
      </c>
      <c r="J1278" s="7" t="s">
        <v>41</v>
      </c>
      <c r="K1278" s="7" t="s">
        <v>26</v>
      </c>
      <c r="L1278" s="9">
        <v>76</v>
      </c>
      <c r="M1278" s="10">
        <v>5.9799999999999999E-2</v>
      </c>
      <c r="N1278" s="6" t="s">
        <v>5897</v>
      </c>
      <c r="O1278" s="11">
        <v>28000</v>
      </c>
      <c r="P1278" s="11"/>
      <c r="Q1278" s="18">
        <v>3500</v>
      </c>
      <c r="R1278" s="19"/>
    </row>
    <row r="1279" spans="1:18" ht="43.2" hidden="1" x14ac:dyDescent="0.3">
      <c r="A1279" s="6" t="s">
        <v>5898</v>
      </c>
      <c r="B1279" s="7" t="s">
        <v>3925</v>
      </c>
      <c r="C1279" s="17" t="s">
        <v>5899</v>
      </c>
      <c r="D1279" s="17"/>
      <c r="E1279" s="8">
        <v>15553</v>
      </c>
      <c r="F1279" s="9">
        <v>80</v>
      </c>
      <c r="G1279" s="6" t="s">
        <v>5900</v>
      </c>
      <c r="H1279" s="7" t="s">
        <v>39</v>
      </c>
      <c r="I1279" s="6" t="s">
        <v>4949</v>
      </c>
      <c r="J1279" s="7" t="s">
        <v>20</v>
      </c>
      <c r="K1279" s="7" t="s">
        <v>26</v>
      </c>
      <c r="L1279" s="6"/>
      <c r="M1279" s="10">
        <v>6.8199999999999997E-2</v>
      </c>
      <c r="N1279" s="6" t="s">
        <v>5901</v>
      </c>
      <c r="O1279" s="11">
        <v>10800</v>
      </c>
      <c r="P1279" s="11"/>
      <c r="Q1279" s="18">
        <v>1350</v>
      </c>
      <c r="R1279" s="19"/>
    </row>
    <row r="1280" spans="1:18" hidden="1" x14ac:dyDescent="0.3">
      <c r="A1280" s="6" t="s">
        <v>5902</v>
      </c>
      <c r="B1280" s="7" t="s">
        <v>645</v>
      </c>
      <c r="C1280" s="17" t="s">
        <v>5903</v>
      </c>
      <c r="D1280" s="17"/>
      <c r="E1280" s="7" t="s">
        <v>5904</v>
      </c>
      <c r="F1280" s="9">
        <v>83</v>
      </c>
      <c r="G1280" s="6" t="s">
        <v>5905</v>
      </c>
      <c r="H1280" s="7" t="s">
        <v>25</v>
      </c>
      <c r="I1280" s="6" t="s">
        <v>19</v>
      </c>
      <c r="J1280" s="7" t="s">
        <v>20</v>
      </c>
      <c r="K1280" s="7" t="s">
        <v>32</v>
      </c>
      <c r="L1280" s="6"/>
      <c r="M1280" s="10">
        <v>7.7100000000000002E-2</v>
      </c>
      <c r="N1280" s="6" t="s">
        <v>5906</v>
      </c>
      <c r="O1280" s="6" t="s">
        <v>19</v>
      </c>
      <c r="P1280" s="6"/>
      <c r="Q1280" s="19" t="s">
        <v>19</v>
      </c>
      <c r="R1280" s="19"/>
    </row>
    <row r="1281" spans="1:18" x14ac:dyDescent="0.3">
      <c r="A1281" s="6" t="s">
        <v>5907</v>
      </c>
      <c r="B1281" s="7" t="s">
        <v>2119</v>
      </c>
      <c r="C1281" s="17" t="s">
        <v>5903</v>
      </c>
      <c r="D1281" s="17"/>
      <c r="E1281" s="8">
        <v>16710</v>
      </c>
      <c r="F1281" s="9">
        <v>77</v>
      </c>
      <c r="G1281" s="6" t="s">
        <v>5908</v>
      </c>
      <c r="H1281" s="7" t="s">
        <v>25</v>
      </c>
      <c r="I1281" s="6"/>
      <c r="J1281" s="7" t="s">
        <v>41</v>
      </c>
      <c r="K1281" s="7" t="s">
        <v>26</v>
      </c>
      <c r="L1281" s="9">
        <v>76</v>
      </c>
      <c r="M1281" s="10">
        <v>5.9799999999999999E-2</v>
      </c>
      <c r="N1281" s="6" t="s">
        <v>5909</v>
      </c>
      <c r="O1281" s="11">
        <v>21510.400000000001</v>
      </c>
      <c r="P1281" s="11"/>
      <c r="Q1281" s="18">
        <v>2688.8</v>
      </c>
      <c r="R1281" s="19"/>
    </row>
    <row r="1282" spans="1:18" ht="43.2" hidden="1" x14ac:dyDescent="0.3">
      <c r="A1282" s="6" t="s">
        <v>5910</v>
      </c>
      <c r="B1282" s="7" t="s">
        <v>125</v>
      </c>
      <c r="C1282" s="17" t="s">
        <v>5903</v>
      </c>
      <c r="D1282" s="17"/>
      <c r="E1282" s="8">
        <v>18583</v>
      </c>
      <c r="F1282" s="9">
        <v>72</v>
      </c>
      <c r="G1282" s="6" t="s">
        <v>5911</v>
      </c>
      <c r="H1282" s="7" t="s">
        <v>39</v>
      </c>
      <c r="I1282" s="6" t="s">
        <v>151</v>
      </c>
      <c r="J1282" s="7" t="s">
        <v>20</v>
      </c>
      <c r="K1282" s="7" t="s">
        <v>26</v>
      </c>
      <c r="L1282" s="6"/>
      <c r="M1282" s="10">
        <v>5.3999999999999999E-2</v>
      </c>
      <c r="N1282" s="6" t="s">
        <v>5912</v>
      </c>
      <c r="O1282" s="11">
        <v>20000</v>
      </c>
      <c r="P1282" s="11"/>
      <c r="Q1282" s="18">
        <v>2500</v>
      </c>
      <c r="R1282" s="19"/>
    </row>
    <row r="1283" spans="1:18" ht="43.2" x14ac:dyDescent="0.3">
      <c r="A1283" s="6" t="s">
        <v>5913</v>
      </c>
      <c r="B1283" s="7" t="s">
        <v>81</v>
      </c>
      <c r="C1283" s="17" t="s">
        <v>5903</v>
      </c>
      <c r="D1283" s="17"/>
      <c r="E1283" s="8">
        <v>17443</v>
      </c>
      <c r="F1283" s="9">
        <v>75</v>
      </c>
      <c r="G1283" s="6" t="s">
        <v>5914</v>
      </c>
      <c r="H1283" s="7" t="s">
        <v>39</v>
      </c>
      <c r="I1283" s="6" t="s">
        <v>2453</v>
      </c>
      <c r="J1283" s="7" t="s">
        <v>41</v>
      </c>
      <c r="K1283" s="7" t="s">
        <v>26</v>
      </c>
      <c r="L1283" s="9">
        <v>67</v>
      </c>
      <c r="M1283" s="10">
        <v>4.3499999999999997E-2</v>
      </c>
      <c r="N1283" s="6" t="s">
        <v>5915</v>
      </c>
      <c r="O1283" s="11">
        <v>23200</v>
      </c>
      <c r="P1283" s="11"/>
      <c r="Q1283" s="18">
        <v>2900</v>
      </c>
      <c r="R1283" s="19"/>
    </row>
    <row r="1284" spans="1:18" ht="43.2" hidden="1" x14ac:dyDescent="0.3">
      <c r="A1284" s="6" t="s">
        <v>5916</v>
      </c>
      <c r="B1284" s="7" t="s">
        <v>324</v>
      </c>
      <c r="C1284" s="17" t="s">
        <v>5917</v>
      </c>
      <c r="D1284" s="17"/>
      <c r="E1284" s="8">
        <v>18350</v>
      </c>
      <c r="F1284" s="9">
        <v>72</v>
      </c>
      <c r="G1284" s="6" t="s">
        <v>5918</v>
      </c>
      <c r="H1284" s="7" t="s">
        <v>39</v>
      </c>
      <c r="I1284" s="6" t="s">
        <v>106</v>
      </c>
      <c r="J1284" s="7" t="s">
        <v>20</v>
      </c>
      <c r="K1284" s="7" t="s">
        <v>26</v>
      </c>
      <c r="L1284" s="6"/>
      <c r="M1284" s="10">
        <v>5.3999999999999999E-2</v>
      </c>
      <c r="N1284" s="6" t="s">
        <v>5919</v>
      </c>
      <c r="O1284" s="11">
        <v>32000</v>
      </c>
      <c r="P1284" s="11"/>
      <c r="Q1284" s="18">
        <v>4000</v>
      </c>
      <c r="R1284" s="19"/>
    </row>
    <row r="1285" spans="1:18" x14ac:dyDescent="0.3">
      <c r="A1285" s="6" t="s">
        <v>5920</v>
      </c>
      <c r="B1285" s="7" t="s">
        <v>406</v>
      </c>
      <c r="C1285" s="17" t="s">
        <v>5921</v>
      </c>
      <c r="D1285" s="17"/>
      <c r="E1285" s="8">
        <v>17984</v>
      </c>
      <c r="F1285" s="9">
        <v>73</v>
      </c>
      <c r="G1285" s="6" t="s">
        <v>5922</v>
      </c>
      <c r="H1285" s="7" t="s">
        <v>25</v>
      </c>
      <c r="I1285" s="6"/>
      <c r="J1285" s="7" t="s">
        <v>41</v>
      </c>
      <c r="K1285" s="7" t="s">
        <v>32</v>
      </c>
      <c r="L1285" s="9">
        <v>64</v>
      </c>
      <c r="M1285" s="10">
        <v>3.85E-2</v>
      </c>
      <c r="N1285" s="6" t="s">
        <v>5923</v>
      </c>
      <c r="O1285" s="11">
        <v>2074.21</v>
      </c>
      <c r="P1285" s="11"/>
      <c r="Q1285" s="18">
        <v>2074.21</v>
      </c>
      <c r="R1285" s="19"/>
    </row>
    <row r="1286" spans="1:18" ht="43.2" x14ac:dyDescent="0.3">
      <c r="A1286" s="6" t="s">
        <v>5924</v>
      </c>
      <c r="B1286" s="7" t="s">
        <v>645</v>
      </c>
      <c r="C1286" s="17" t="s">
        <v>5925</v>
      </c>
      <c r="D1286" s="17"/>
      <c r="E1286" s="8">
        <v>16077</v>
      </c>
      <c r="F1286" s="9">
        <v>78</v>
      </c>
      <c r="G1286" s="6" t="s">
        <v>5926</v>
      </c>
      <c r="H1286" s="7" t="s">
        <v>39</v>
      </c>
      <c r="I1286" s="6" t="s">
        <v>5927</v>
      </c>
      <c r="J1286" s="7" t="s">
        <v>41</v>
      </c>
      <c r="K1286" s="7" t="s">
        <v>26</v>
      </c>
      <c r="L1286" s="9">
        <v>65</v>
      </c>
      <c r="M1286" s="10">
        <v>0.04</v>
      </c>
      <c r="N1286" s="6" t="s">
        <v>5928</v>
      </c>
      <c r="O1286" s="11">
        <v>16666.64</v>
      </c>
      <c r="P1286" s="11"/>
      <c r="Q1286" s="18">
        <v>2083.33</v>
      </c>
      <c r="R1286" s="19"/>
    </row>
    <row r="1287" spans="1:18" ht="43.2" hidden="1" x14ac:dyDescent="0.3">
      <c r="A1287" s="6" t="s">
        <v>5929</v>
      </c>
      <c r="B1287" s="7" t="s">
        <v>3925</v>
      </c>
      <c r="C1287" s="17" t="s">
        <v>5930</v>
      </c>
      <c r="D1287" s="17"/>
      <c r="E1287" s="8">
        <v>17724</v>
      </c>
      <c r="F1287" s="9">
        <v>74</v>
      </c>
      <c r="G1287" s="6" t="s">
        <v>5931</v>
      </c>
      <c r="H1287" s="7" t="s">
        <v>39</v>
      </c>
      <c r="I1287" s="6" t="s">
        <v>144</v>
      </c>
      <c r="J1287" s="7" t="s">
        <v>20</v>
      </c>
      <c r="K1287" s="7" t="s">
        <v>26</v>
      </c>
      <c r="L1287" s="6"/>
      <c r="M1287" s="10">
        <v>5.67E-2</v>
      </c>
      <c r="N1287" s="6" t="s">
        <v>5932</v>
      </c>
      <c r="O1287" s="11">
        <v>40000</v>
      </c>
      <c r="P1287" s="11"/>
      <c r="Q1287" s="18">
        <v>5000</v>
      </c>
      <c r="R1287" s="19"/>
    </row>
    <row r="1288" spans="1:18" ht="43.2" x14ac:dyDescent="0.3">
      <c r="A1288" s="6" t="s">
        <v>5933</v>
      </c>
      <c r="B1288" s="7" t="s">
        <v>3796</v>
      </c>
      <c r="C1288" s="17" t="s">
        <v>5930</v>
      </c>
      <c r="D1288" s="17"/>
      <c r="E1288" s="8">
        <v>18414</v>
      </c>
      <c r="F1288" s="9">
        <v>72</v>
      </c>
      <c r="G1288" s="6" t="s">
        <v>5934</v>
      </c>
      <c r="H1288" s="7" t="s">
        <v>39</v>
      </c>
      <c r="I1288" s="6" t="s">
        <v>2799</v>
      </c>
      <c r="J1288" s="7" t="s">
        <v>41</v>
      </c>
      <c r="K1288" s="7" t="s">
        <v>26</v>
      </c>
      <c r="L1288" s="9">
        <v>63</v>
      </c>
      <c r="M1288" s="10">
        <v>3.6999999999999998E-2</v>
      </c>
      <c r="N1288" s="6" t="s">
        <v>5935</v>
      </c>
      <c r="O1288" s="11">
        <v>36600</v>
      </c>
      <c r="P1288" s="11"/>
      <c r="Q1288" s="18">
        <v>3750</v>
      </c>
      <c r="R1288" s="19"/>
    </row>
    <row r="1289" spans="1:18" ht="43.2" hidden="1" x14ac:dyDescent="0.3">
      <c r="A1289" s="6" t="s">
        <v>5936</v>
      </c>
      <c r="B1289" s="7" t="s">
        <v>5937</v>
      </c>
      <c r="C1289" s="17" t="s">
        <v>5938</v>
      </c>
      <c r="D1289" s="17"/>
      <c r="E1289" s="8">
        <v>18298</v>
      </c>
      <c r="F1289" s="9">
        <v>72</v>
      </c>
      <c r="G1289" s="6" t="s">
        <v>5939</v>
      </c>
      <c r="H1289" s="7" t="s">
        <v>39</v>
      </c>
      <c r="I1289" s="6" t="s">
        <v>5940</v>
      </c>
      <c r="J1289" s="7" t="s">
        <v>20</v>
      </c>
      <c r="K1289" s="7" t="s">
        <v>26</v>
      </c>
      <c r="L1289" s="6"/>
      <c r="M1289" s="10">
        <v>5.3999999999999999E-2</v>
      </c>
      <c r="N1289" s="6" t="s">
        <v>5941</v>
      </c>
      <c r="O1289" s="11">
        <v>9200</v>
      </c>
      <c r="P1289" s="11"/>
      <c r="Q1289" s="18">
        <v>493.4</v>
      </c>
      <c r="R1289" s="19"/>
    </row>
    <row r="1290" spans="1:18" ht="43.2" hidden="1" x14ac:dyDescent="0.3">
      <c r="A1290" s="6" t="s">
        <v>5942</v>
      </c>
      <c r="B1290" s="7" t="s">
        <v>406</v>
      </c>
      <c r="C1290" s="17" t="s">
        <v>5943</v>
      </c>
      <c r="D1290" s="17"/>
      <c r="E1290" s="8">
        <v>16780</v>
      </c>
      <c r="F1290" s="9">
        <v>77</v>
      </c>
      <c r="G1290" s="6" t="s">
        <v>5944</v>
      </c>
      <c r="H1290" s="7" t="s">
        <v>39</v>
      </c>
      <c r="I1290" s="6" t="s">
        <v>40</v>
      </c>
      <c r="J1290" s="7" t="s">
        <v>20</v>
      </c>
      <c r="K1290" s="7" t="s">
        <v>26</v>
      </c>
      <c r="L1290" s="6"/>
      <c r="M1290" s="10">
        <v>6.1699999999999998E-2</v>
      </c>
      <c r="N1290" s="6" t="s">
        <v>5945</v>
      </c>
      <c r="O1290" s="11">
        <v>24000</v>
      </c>
      <c r="P1290" s="11"/>
      <c r="Q1290" s="18">
        <v>3000</v>
      </c>
      <c r="R1290" s="19"/>
    </row>
    <row r="1291" spans="1:18" ht="28.8" x14ac:dyDescent="0.3">
      <c r="A1291" s="6" t="s">
        <v>5946</v>
      </c>
      <c r="B1291" s="7" t="s">
        <v>406</v>
      </c>
      <c r="C1291" s="17" t="s">
        <v>5947</v>
      </c>
      <c r="D1291" s="17"/>
      <c r="E1291" s="8">
        <v>18499</v>
      </c>
      <c r="F1291" s="9">
        <v>72</v>
      </c>
      <c r="G1291" s="6" t="s">
        <v>5948</v>
      </c>
      <c r="H1291" s="7" t="s">
        <v>39</v>
      </c>
      <c r="I1291" s="6" t="s">
        <v>237</v>
      </c>
      <c r="J1291" s="7" t="s">
        <v>41</v>
      </c>
      <c r="K1291" s="7" t="s">
        <v>26</v>
      </c>
      <c r="L1291" s="9">
        <v>69</v>
      </c>
      <c r="M1291" s="10">
        <v>4.7600000000000003E-2</v>
      </c>
      <c r="N1291" s="6" t="s">
        <v>5949</v>
      </c>
      <c r="O1291" s="11">
        <v>7200</v>
      </c>
      <c r="P1291" s="11"/>
      <c r="Q1291" s="18">
        <v>900</v>
      </c>
      <c r="R1291" s="19"/>
    </row>
    <row r="1292" spans="1:18" x14ac:dyDescent="0.3">
      <c r="A1292" s="6" t="s">
        <v>5950</v>
      </c>
      <c r="B1292" s="7" t="s">
        <v>140</v>
      </c>
      <c r="C1292" s="17" t="s">
        <v>5951</v>
      </c>
      <c r="D1292" s="17"/>
      <c r="E1292" s="8">
        <v>18000</v>
      </c>
      <c r="F1292" s="9">
        <v>73</v>
      </c>
      <c r="G1292" s="6" t="s">
        <v>5952</v>
      </c>
      <c r="H1292" s="7" t="s">
        <v>25</v>
      </c>
      <c r="I1292" s="6"/>
      <c r="J1292" s="7" t="s">
        <v>41</v>
      </c>
      <c r="K1292" s="7" t="s">
        <v>26</v>
      </c>
      <c r="L1292" s="9">
        <v>69</v>
      </c>
      <c r="M1292" s="10">
        <v>4.7600000000000003E-2</v>
      </c>
      <c r="N1292" s="6" t="s">
        <v>5953</v>
      </c>
      <c r="O1292" s="11">
        <v>18205.759999999998</v>
      </c>
      <c r="P1292" s="11"/>
      <c r="Q1292" s="18">
        <v>2275.7199999999998</v>
      </c>
      <c r="R1292" s="19"/>
    </row>
    <row r="1293" spans="1:18" ht="43.2" hidden="1" x14ac:dyDescent="0.3">
      <c r="A1293" s="6" t="s">
        <v>5954</v>
      </c>
      <c r="B1293" s="7" t="s">
        <v>3105</v>
      </c>
      <c r="C1293" s="17" t="s">
        <v>5955</v>
      </c>
      <c r="D1293" s="17"/>
      <c r="E1293" s="8">
        <v>17319</v>
      </c>
      <c r="F1293" s="9">
        <v>75</v>
      </c>
      <c r="G1293" s="6" t="s">
        <v>5956</v>
      </c>
      <c r="H1293" s="7" t="s">
        <v>39</v>
      </c>
      <c r="I1293" s="6" t="s">
        <v>5957</v>
      </c>
      <c r="J1293" s="7" t="s">
        <v>20</v>
      </c>
      <c r="K1293" s="7" t="s">
        <v>26</v>
      </c>
      <c r="L1293" s="6"/>
      <c r="M1293" s="10">
        <v>5.8200000000000002E-2</v>
      </c>
      <c r="N1293" s="6" t="s">
        <v>5958</v>
      </c>
      <c r="O1293" s="11">
        <v>24320</v>
      </c>
      <c r="P1293" s="11"/>
      <c r="Q1293" s="18">
        <v>3040</v>
      </c>
      <c r="R1293" s="19"/>
    </row>
    <row r="1294" spans="1:18" hidden="1" x14ac:dyDescent="0.3">
      <c r="A1294" s="6" t="s">
        <v>5959</v>
      </c>
      <c r="B1294" s="7" t="s">
        <v>5960</v>
      </c>
      <c r="C1294" s="17" t="s">
        <v>5961</v>
      </c>
      <c r="D1294" s="17"/>
      <c r="E1294" s="7" t="s">
        <v>5962</v>
      </c>
      <c r="F1294" s="9">
        <v>77</v>
      </c>
      <c r="G1294" s="6" t="s">
        <v>5963</v>
      </c>
      <c r="H1294" s="7" t="s">
        <v>25</v>
      </c>
      <c r="I1294" s="6" t="s">
        <v>19</v>
      </c>
      <c r="J1294" s="7" t="s">
        <v>20</v>
      </c>
      <c r="K1294" s="7" t="s">
        <v>26</v>
      </c>
      <c r="L1294" s="6"/>
      <c r="M1294" s="10">
        <v>6.1699999999999998E-2</v>
      </c>
      <c r="N1294" s="6" t="s">
        <v>5964</v>
      </c>
      <c r="O1294" s="6" t="s">
        <v>19</v>
      </c>
      <c r="P1294" s="6"/>
      <c r="Q1294" s="19" t="s">
        <v>19</v>
      </c>
      <c r="R1294" s="19"/>
    </row>
    <row r="1295" spans="1:18" ht="43.2" x14ac:dyDescent="0.3">
      <c r="A1295" s="6" t="s">
        <v>5965</v>
      </c>
      <c r="B1295" s="7" t="s">
        <v>29</v>
      </c>
      <c r="C1295" s="17" t="s">
        <v>5966</v>
      </c>
      <c r="D1295" s="17"/>
      <c r="E1295" s="8">
        <v>18573</v>
      </c>
      <c r="F1295" s="9">
        <v>72</v>
      </c>
      <c r="G1295" s="6" t="s">
        <v>5967</v>
      </c>
      <c r="H1295" s="7" t="s">
        <v>39</v>
      </c>
      <c r="I1295" s="6" t="s">
        <v>100</v>
      </c>
      <c r="J1295" s="7" t="s">
        <v>41</v>
      </c>
      <c r="K1295" s="7" t="s">
        <v>26</v>
      </c>
      <c r="L1295" s="9">
        <v>69</v>
      </c>
      <c r="M1295" s="10">
        <v>4.7600000000000003E-2</v>
      </c>
      <c r="N1295" s="6" t="s">
        <v>5968</v>
      </c>
      <c r="O1295" s="11">
        <v>48000</v>
      </c>
      <c r="P1295" s="11"/>
      <c r="Q1295" s="18">
        <v>6000</v>
      </c>
      <c r="R1295" s="19"/>
    </row>
    <row r="1296" spans="1:18" hidden="1" x14ac:dyDescent="0.3">
      <c r="A1296" s="6" t="s">
        <v>5969</v>
      </c>
      <c r="B1296" s="7" t="s">
        <v>5970</v>
      </c>
      <c r="C1296" s="17" t="s">
        <v>5966</v>
      </c>
      <c r="D1296" s="17"/>
      <c r="E1296" s="7" t="s">
        <v>5971</v>
      </c>
      <c r="F1296" s="9">
        <v>72</v>
      </c>
      <c r="G1296" s="6" t="s">
        <v>5972</v>
      </c>
      <c r="H1296" s="7" t="s">
        <v>25</v>
      </c>
      <c r="I1296" s="6" t="s">
        <v>19</v>
      </c>
      <c r="J1296" s="7" t="s">
        <v>41</v>
      </c>
      <c r="K1296" s="7" t="s">
        <v>32</v>
      </c>
      <c r="L1296" s="9">
        <v>71</v>
      </c>
      <c r="M1296" s="10">
        <v>5.28E-2</v>
      </c>
      <c r="N1296" s="6" t="s">
        <v>5973</v>
      </c>
      <c r="O1296" s="6" t="s">
        <v>19</v>
      </c>
      <c r="P1296" s="6"/>
      <c r="Q1296" s="19" t="s">
        <v>19</v>
      </c>
      <c r="R1296" s="19"/>
    </row>
    <row r="1297" spans="1:18" hidden="1" x14ac:dyDescent="0.3">
      <c r="A1297" s="6" t="s">
        <v>5974</v>
      </c>
      <c r="B1297" s="7" t="s">
        <v>5975</v>
      </c>
      <c r="C1297" s="17" t="s">
        <v>5976</v>
      </c>
      <c r="D1297" s="17"/>
      <c r="E1297" s="8">
        <v>18303</v>
      </c>
      <c r="F1297" s="9">
        <v>72</v>
      </c>
      <c r="G1297" s="6" t="s">
        <v>5977</v>
      </c>
      <c r="H1297" s="7" t="s">
        <v>25</v>
      </c>
      <c r="I1297" s="6"/>
      <c r="J1297" s="7" t="s">
        <v>20</v>
      </c>
      <c r="K1297" s="7" t="s">
        <v>26</v>
      </c>
      <c r="L1297" s="6"/>
      <c r="M1297" s="10">
        <v>5.3999999999999999E-2</v>
      </c>
      <c r="N1297" s="6" t="s">
        <v>5978</v>
      </c>
      <c r="O1297" s="11">
        <v>4391.4399999999996</v>
      </c>
      <c r="P1297" s="11"/>
      <c r="Q1297" s="18">
        <v>548.92999999999995</v>
      </c>
      <c r="R1297" s="19"/>
    </row>
    <row r="1298" spans="1:18" hidden="1" x14ac:dyDescent="0.3">
      <c r="A1298" s="6" t="s">
        <v>5979</v>
      </c>
      <c r="B1298" s="7" t="s">
        <v>830</v>
      </c>
      <c r="C1298" s="17" t="s">
        <v>5980</v>
      </c>
      <c r="D1298" s="17"/>
      <c r="E1298" s="8">
        <v>18145</v>
      </c>
      <c r="F1298" s="9">
        <v>73</v>
      </c>
      <c r="G1298" s="6" t="s">
        <v>5981</v>
      </c>
      <c r="H1298" s="7" t="s">
        <v>25</v>
      </c>
      <c r="I1298" s="6"/>
      <c r="J1298" s="7" t="s">
        <v>20</v>
      </c>
      <c r="K1298" s="7" t="s">
        <v>26</v>
      </c>
      <c r="L1298" s="6"/>
      <c r="M1298" s="10">
        <v>5.5300000000000002E-2</v>
      </c>
      <c r="N1298" s="6" t="s">
        <v>5982</v>
      </c>
      <c r="O1298" s="11">
        <v>15000</v>
      </c>
      <c r="P1298" s="11"/>
      <c r="Q1298" s="18">
        <v>7000</v>
      </c>
      <c r="R1298" s="19"/>
    </row>
    <row r="1299" spans="1:18" hidden="1" x14ac:dyDescent="0.3">
      <c r="A1299" s="6" t="s">
        <v>5983</v>
      </c>
      <c r="B1299" s="7" t="s">
        <v>830</v>
      </c>
      <c r="C1299" s="17" t="s">
        <v>5966</v>
      </c>
      <c r="D1299" s="17"/>
      <c r="E1299" s="7" t="s">
        <v>5984</v>
      </c>
      <c r="F1299" s="9">
        <v>72</v>
      </c>
      <c r="G1299" s="6" t="s">
        <v>5985</v>
      </c>
      <c r="H1299" s="7" t="s">
        <v>19</v>
      </c>
      <c r="I1299" s="6" t="s">
        <v>19</v>
      </c>
      <c r="J1299" s="7" t="s">
        <v>20</v>
      </c>
      <c r="K1299" s="7"/>
      <c r="L1299" s="6"/>
      <c r="M1299" s="10">
        <v>5.3999999999999999E-2</v>
      </c>
      <c r="N1299" s="6" t="s">
        <v>5986</v>
      </c>
      <c r="O1299" s="6" t="s">
        <v>19</v>
      </c>
      <c r="P1299" s="6"/>
      <c r="Q1299" s="19" t="s">
        <v>19</v>
      </c>
      <c r="R1299" s="19"/>
    </row>
    <row r="1300" spans="1:18" x14ac:dyDescent="0.3">
      <c r="A1300" s="6" t="s">
        <v>5987</v>
      </c>
      <c r="B1300" s="7" t="s">
        <v>76</v>
      </c>
      <c r="C1300" s="17" t="s">
        <v>5988</v>
      </c>
      <c r="D1300" s="17"/>
      <c r="E1300" s="8">
        <v>17635</v>
      </c>
      <c r="F1300" s="9">
        <v>74</v>
      </c>
      <c r="G1300" s="6" t="s">
        <v>5989</v>
      </c>
      <c r="H1300" s="7" t="s">
        <v>25</v>
      </c>
      <c r="I1300" s="6"/>
      <c r="J1300" s="7" t="s">
        <v>41</v>
      </c>
      <c r="K1300" s="7" t="s">
        <v>26</v>
      </c>
      <c r="L1300" s="9">
        <v>69</v>
      </c>
      <c r="M1300" s="10">
        <v>4.7600000000000003E-2</v>
      </c>
      <c r="N1300" s="6" t="s">
        <v>5990</v>
      </c>
      <c r="O1300" s="11">
        <v>14379.52</v>
      </c>
      <c r="P1300" s="11"/>
      <c r="Q1300" s="18">
        <v>430.23</v>
      </c>
      <c r="R1300" s="19"/>
    </row>
    <row r="1301" spans="1:18" ht="43.2" hidden="1" x14ac:dyDescent="0.3">
      <c r="A1301" s="6" t="s">
        <v>5991</v>
      </c>
      <c r="B1301" s="7" t="s">
        <v>1089</v>
      </c>
      <c r="C1301" s="17" t="s">
        <v>5992</v>
      </c>
      <c r="D1301" s="17"/>
      <c r="E1301" s="8">
        <v>18098</v>
      </c>
      <c r="F1301" s="9">
        <v>73</v>
      </c>
      <c r="G1301" s="6" t="s">
        <v>5993</v>
      </c>
      <c r="H1301" s="7" t="s">
        <v>39</v>
      </c>
      <c r="I1301" s="6" t="s">
        <v>267</v>
      </c>
      <c r="J1301" s="7" t="s">
        <v>20</v>
      </c>
      <c r="K1301" s="7" t="s">
        <v>26</v>
      </c>
      <c r="L1301" s="6"/>
      <c r="M1301" s="10">
        <v>5.5300000000000002E-2</v>
      </c>
      <c r="N1301" s="6" t="s">
        <v>5994</v>
      </c>
      <c r="O1301" s="11">
        <v>17600</v>
      </c>
      <c r="P1301" s="11"/>
      <c r="Q1301" s="18">
        <v>2200</v>
      </c>
      <c r="R1301" s="19"/>
    </row>
    <row r="1302" spans="1:18" ht="28.8" hidden="1" x14ac:dyDescent="0.3">
      <c r="A1302" s="6" t="s">
        <v>5995</v>
      </c>
      <c r="B1302" s="7" t="s">
        <v>246</v>
      </c>
      <c r="C1302" s="17" t="s">
        <v>5996</v>
      </c>
      <c r="D1302" s="17"/>
      <c r="E1302" s="8">
        <v>18118</v>
      </c>
      <c r="F1302" s="9">
        <v>73</v>
      </c>
      <c r="G1302" s="6" t="s">
        <v>5997</v>
      </c>
      <c r="H1302" s="7" t="s">
        <v>39</v>
      </c>
      <c r="I1302" s="6" t="s">
        <v>1562</v>
      </c>
      <c r="J1302" s="7" t="s">
        <v>20</v>
      </c>
      <c r="K1302" s="7" t="s">
        <v>26</v>
      </c>
      <c r="L1302" s="6"/>
      <c r="M1302" s="10">
        <v>5.5300000000000002E-2</v>
      </c>
      <c r="N1302" s="6" t="s">
        <v>5998</v>
      </c>
      <c r="O1302" s="11">
        <v>5200</v>
      </c>
      <c r="P1302" s="11"/>
      <c r="Q1302" s="18">
        <v>650</v>
      </c>
      <c r="R1302" s="19"/>
    </row>
    <row r="1303" spans="1:18" ht="43.2" hidden="1" x14ac:dyDescent="0.3">
      <c r="A1303" s="6" t="s">
        <v>5999</v>
      </c>
      <c r="B1303" s="7" t="s">
        <v>6000</v>
      </c>
      <c r="C1303" s="17" t="s">
        <v>6001</v>
      </c>
      <c r="D1303" s="17"/>
      <c r="E1303" s="8">
        <v>18575</v>
      </c>
      <c r="F1303" s="9">
        <v>72</v>
      </c>
      <c r="G1303" s="6" t="s">
        <v>6002</v>
      </c>
      <c r="H1303" s="7" t="s">
        <v>39</v>
      </c>
      <c r="I1303" s="6" t="s">
        <v>122</v>
      </c>
      <c r="J1303" s="7" t="s">
        <v>20</v>
      </c>
      <c r="K1303" s="7" t="s">
        <v>26</v>
      </c>
      <c r="L1303" s="6"/>
      <c r="M1303" s="10">
        <v>5.3999999999999999E-2</v>
      </c>
      <c r="N1303" s="6" t="s">
        <v>6003</v>
      </c>
      <c r="O1303" s="11">
        <v>16000</v>
      </c>
      <c r="P1303" s="11"/>
      <c r="Q1303" s="18">
        <v>2000</v>
      </c>
      <c r="R1303" s="19"/>
    </row>
    <row r="1304" spans="1:18" hidden="1" x14ac:dyDescent="0.3">
      <c r="A1304" s="6" t="s">
        <v>6004</v>
      </c>
      <c r="B1304" s="7" t="s">
        <v>3738</v>
      </c>
      <c r="C1304" s="17" t="s">
        <v>6001</v>
      </c>
      <c r="D1304" s="17"/>
      <c r="E1304" s="7" t="s">
        <v>6005</v>
      </c>
      <c r="F1304" s="9">
        <v>74</v>
      </c>
      <c r="G1304" s="6" t="s">
        <v>6006</v>
      </c>
      <c r="H1304" s="7" t="s">
        <v>25</v>
      </c>
      <c r="I1304" s="6" t="s">
        <v>19</v>
      </c>
      <c r="J1304" s="7" t="s">
        <v>20</v>
      </c>
      <c r="K1304" s="7" t="s">
        <v>32</v>
      </c>
      <c r="L1304" s="6"/>
      <c r="M1304" s="10">
        <v>5.67E-2</v>
      </c>
      <c r="N1304" s="6" t="s">
        <v>6007</v>
      </c>
      <c r="O1304" s="6" t="s">
        <v>19</v>
      </c>
      <c r="P1304" s="6"/>
      <c r="Q1304" s="19" t="s">
        <v>19</v>
      </c>
      <c r="R1304" s="19"/>
    </row>
    <row r="1305" spans="1:18" ht="43.2" hidden="1" x14ac:dyDescent="0.3">
      <c r="A1305" s="6" t="s">
        <v>6008</v>
      </c>
      <c r="B1305" s="7" t="s">
        <v>383</v>
      </c>
      <c r="C1305" s="17" t="s">
        <v>6001</v>
      </c>
      <c r="D1305" s="17"/>
      <c r="E1305" s="7" t="s">
        <v>6009</v>
      </c>
      <c r="F1305" s="9">
        <v>84</v>
      </c>
      <c r="G1305" s="6" t="s">
        <v>6010</v>
      </c>
      <c r="H1305" s="7" t="s">
        <v>39</v>
      </c>
      <c r="I1305" s="6" t="s">
        <v>6011</v>
      </c>
      <c r="J1305" s="7" t="s">
        <v>20</v>
      </c>
      <c r="K1305" s="7" t="s">
        <v>32</v>
      </c>
      <c r="L1305" s="6"/>
      <c r="M1305" s="10">
        <v>8.0799999999999997E-2</v>
      </c>
      <c r="N1305" s="6" t="s">
        <v>6012</v>
      </c>
      <c r="O1305" s="6" t="s">
        <v>19</v>
      </c>
      <c r="P1305" s="6"/>
      <c r="Q1305" s="19" t="s">
        <v>19</v>
      </c>
      <c r="R1305" s="19"/>
    </row>
    <row r="1306" spans="1:18" hidden="1" x14ac:dyDescent="0.3">
      <c r="A1306" s="6" t="s">
        <v>6013</v>
      </c>
      <c r="B1306" s="7" t="s">
        <v>655</v>
      </c>
      <c r="C1306" s="17" t="s">
        <v>6001</v>
      </c>
      <c r="D1306" s="17"/>
      <c r="E1306" s="7" t="s">
        <v>6014</v>
      </c>
      <c r="F1306" s="9">
        <v>81</v>
      </c>
      <c r="G1306" s="6" t="s">
        <v>6015</v>
      </c>
      <c r="H1306" s="7" t="s">
        <v>25</v>
      </c>
      <c r="I1306" s="6" t="s">
        <v>19</v>
      </c>
      <c r="J1306" s="7" t="s">
        <v>20</v>
      </c>
      <c r="K1306" s="7" t="s">
        <v>26</v>
      </c>
      <c r="L1306" s="6"/>
      <c r="M1306" s="10">
        <v>7.0800000000000002E-2</v>
      </c>
      <c r="N1306" s="6" t="s">
        <v>6016</v>
      </c>
      <c r="O1306" s="6" t="s">
        <v>19</v>
      </c>
      <c r="P1306" s="6"/>
      <c r="Q1306" s="19" t="s">
        <v>19</v>
      </c>
      <c r="R1306" s="19"/>
    </row>
    <row r="1307" spans="1:18" ht="43.2" hidden="1" x14ac:dyDescent="0.3">
      <c r="A1307" s="6" t="s">
        <v>6017</v>
      </c>
      <c r="B1307" s="7" t="s">
        <v>6018</v>
      </c>
      <c r="C1307" s="17" t="s">
        <v>6001</v>
      </c>
      <c r="D1307" s="17"/>
      <c r="E1307" s="8">
        <v>15639</v>
      </c>
      <c r="F1307" s="9">
        <v>80</v>
      </c>
      <c r="G1307" s="6" t="s">
        <v>6019</v>
      </c>
      <c r="H1307" s="7" t="s">
        <v>39</v>
      </c>
      <c r="I1307" s="6" t="s">
        <v>728</v>
      </c>
      <c r="J1307" s="7" t="s">
        <v>20</v>
      </c>
      <c r="K1307" s="7" t="s">
        <v>26</v>
      </c>
      <c r="L1307" s="6"/>
      <c r="M1307" s="10">
        <v>6.8199999999999997E-2</v>
      </c>
      <c r="N1307" s="6" t="s">
        <v>6020</v>
      </c>
      <c r="O1307" s="11">
        <v>28000</v>
      </c>
      <c r="P1307" s="11"/>
      <c r="Q1307" s="18">
        <v>3500</v>
      </c>
      <c r="R1307" s="19"/>
    </row>
    <row r="1308" spans="1:18" hidden="1" x14ac:dyDescent="0.3">
      <c r="A1308" s="6" t="s">
        <v>6021</v>
      </c>
      <c r="B1308" s="7" t="s">
        <v>401</v>
      </c>
      <c r="C1308" s="17" t="s">
        <v>6001</v>
      </c>
      <c r="D1308" s="17"/>
      <c r="E1308" s="7" t="s">
        <v>6022</v>
      </c>
      <c r="F1308" s="9">
        <v>76</v>
      </c>
      <c r="G1308" s="6" t="s">
        <v>6023</v>
      </c>
      <c r="H1308" s="7" t="s">
        <v>25</v>
      </c>
      <c r="I1308" s="6" t="s">
        <v>19</v>
      </c>
      <c r="J1308" s="7" t="s">
        <v>20</v>
      </c>
      <c r="K1308" s="7" t="s">
        <v>32</v>
      </c>
      <c r="L1308" s="6"/>
      <c r="M1308" s="10">
        <v>5.9799999999999999E-2</v>
      </c>
      <c r="N1308" s="6" t="s">
        <v>6024</v>
      </c>
      <c r="O1308" s="6" t="s">
        <v>19</v>
      </c>
      <c r="P1308" s="6"/>
      <c r="Q1308" s="19" t="s">
        <v>19</v>
      </c>
      <c r="R1308" s="19"/>
    </row>
    <row r="1309" spans="1:18" ht="43.2" hidden="1" x14ac:dyDescent="0.3">
      <c r="A1309" s="6" t="s">
        <v>6025</v>
      </c>
      <c r="B1309" s="7" t="s">
        <v>6026</v>
      </c>
      <c r="C1309" s="17" t="s">
        <v>6001</v>
      </c>
      <c r="D1309" s="17"/>
      <c r="E1309" s="8">
        <v>17699</v>
      </c>
      <c r="F1309" s="9">
        <v>74</v>
      </c>
      <c r="G1309" s="6" t="s">
        <v>6027</v>
      </c>
      <c r="H1309" s="7" t="s">
        <v>39</v>
      </c>
      <c r="I1309" s="6" t="s">
        <v>151</v>
      </c>
      <c r="J1309" s="7" t="s">
        <v>20</v>
      </c>
      <c r="K1309" s="7" t="s">
        <v>26</v>
      </c>
      <c r="L1309" s="6"/>
      <c r="M1309" s="10">
        <v>5.67E-2</v>
      </c>
      <c r="N1309" s="6" t="s">
        <v>6028</v>
      </c>
      <c r="O1309" s="11">
        <v>20000</v>
      </c>
      <c r="P1309" s="11"/>
      <c r="Q1309" s="18">
        <v>2500</v>
      </c>
      <c r="R1309" s="19"/>
    </row>
    <row r="1310" spans="1:18" ht="43.2" hidden="1" x14ac:dyDescent="0.3">
      <c r="A1310" s="6" t="s">
        <v>6029</v>
      </c>
      <c r="B1310" s="7" t="s">
        <v>627</v>
      </c>
      <c r="C1310" s="17" t="s">
        <v>6030</v>
      </c>
      <c r="D1310" s="17"/>
      <c r="E1310" s="8">
        <v>16430</v>
      </c>
      <c r="F1310" s="9">
        <v>78</v>
      </c>
      <c r="G1310" s="6" t="s">
        <v>6031</v>
      </c>
      <c r="H1310" s="7" t="s">
        <v>39</v>
      </c>
      <c r="I1310" s="6" t="s">
        <v>1313</v>
      </c>
      <c r="J1310" s="7" t="s">
        <v>20</v>
      </c>
      <c r="K1310" s="7" t="s">
        <v>32</v>
      </c>
      <c r="L1310" s="6"/>
      <c r="M1310" s="10">
        <v>6.3600000000000004E-2</v>
      </c>
      <c r="N1310" s="6" t="s">
        <v>6032</v>
      </c>
      <c r="O1310" s="11">
        <v>20000</v>
      </c>
      <c r="P1310" s="11"/>
      <c r="Q1310" s="18">
        <v>20000</v>
      </c>
      <c r="R1310" s="19"/>
    </row>
    <row r="1311" spans="1:18" hidden="1" x14ac:dyDescent="0.3">
      <c r="A1311" s="6" t="s">
        <v>6033</v>
      </c>
      <c r="B1311" s="7" t="s">
        <v>6034</v>
      </c>
      <c r="C1311" s="17" t="s">
        <v>6035</v>
      </c>
      <c r="D1311" s="17"/>
      <c r="E1311" s="7" t="s">
        <v>6036</v>
      </c>
      <c r="F1311" s="9">
        <v>79</v>
      </c>
      <c r="G1311" s="6" t="s">
        <v>6037</v>
      </c>
      <c r="H1311" s="7" t="s">
        <v>25</v>
      </c>
      <c r="I1311" s="6" t="s">
        <v>19</v>
      </c>
      <c r="J1311" s="7" t="s">
        <v>20</v>
      </c>
      <c r="K1311" s="7" t="s">
        <v>26</v>
      </c>
      <c r="L1311" s="6"/>
      <c r="M1311" s="10">
        <v>6.5799999999999997E-2</v>
      </c>
      <c r="N1311" s="6" t="s">
        <v>6038</v>
      </c>
      <c r="O1311" s="6" t="s">
        <v>19</v>
      </c>
      <c r="P1311" s="6"/>
      <c r="Q1311" s="19" t="s">
        <v>19</v>
      </c>
      <c r="R1311" s="19"/>
    </row>
    <row r="1312" spans="1:18" ht="28.8" hidden="1" x14ac:dyDescent="0.3">
      <c r="A1312" s="6" t="s">
        <v>6039</v>
      </c>
      <c r="B1312" s="7" t="s">
        <v>456</v>
      </c>
      <c r="C1312" s="17" t="s">
        <v>6040</v>
      </c>
      <c r="D1312" s="17"/>
      <c r="E1312" s="8">
        <v>17344</v>
      </c>
      <c r="F1312" s="9">
        <v>75</v>
      </c>
      <c r="G1312" s="6" t="s">
        <v>6041</v>
      </c>
      <c r="H1312" s="7" t="s">
        <v>39</v>
      </c>
      <c r="I1312" s="6" t="s">
        <v>2738</v>
      </c>
      <c r="J1312" s="7" t="s">
        <v>20</v>
      </c>
      <c r="K1312" s="7" t="s">
        <v>26</v>
      </c>
      <c r="L1312" s="6"/>
      <c r="M1312" s="10">
        <v>5.8200000000000002E-2</v>
      </c>
      <c r="N1312" s="6" t="s">
        <v>6042</v>
      </c>
      <c r="O1312" s="11">
        <v>800</v>
      </c>
      <c r="P1312" s="11"/>
      <c r="Q1312" s="18">
        <v>100</v>
      </c>
      <c r="R1312" s="19"/>
    </row>
    <row r="1313" spans="1:18" ht="43.2" x14ac:dyDescent="0.3">
      <c r="A1313" s="6" t="s">
        <v>6043</v>
      </c>
      <c r="B1313" s="7" t="s">
        <v>2857</v>
      </c>
      <c r="C1313" s="17" t="s">
        <v>6044</v>
      </c>
      <c r="D1313" s="17"/>
      <c r="E1313" s="8">
        <v>17962</v>
      </c>
      <c r="F1313" s="9">
        <v>73</v>
      </c>
      <c r="G1313" s="6" t="s">
        <v>6045</v>
      </c>
      <c r="H1313" s="7" t="s">
        <v>39</v>
      </c>
      <c r="I1313" s="6" t="s">
        <v>122</v>
      </c>
      <c r="J1313" s="7" t="s">
        <v>41</v>
      </c>
      <c r="K1313" s="7" t="s">
        <v>26</v>
      </c>
      <c r="L1313" s="9">
        <v>72</v>
      </c>
      <c r="M1313" s="10">
        <v>5.3999999999999999E-2</v>
      </c>
      <c r="N1313" s="6" t="s">
        <v>6046</v>
      </c>
      <c r="O1313" s="11">
        <v>16000</v>
      </c>
      <c r="P1313" s="11"/>
      <c r="Q1313" s="18">
        <v>2000</v>
      </c>
      <c r="R1313" s="19"/>
    </row>
    <row r="1314" spans="1:18" ht="43.2" hidden="1" x14ac:dyDescent="0.3">
      <c r="A1314" s="6" t="s">
        <v>6047</v>
      </c>
      <c r="B1314" s="7" t="s">
        <v>168</v>
      </c>
      <c r="C1314" s="17" t="s">
        <v>6048</v>
      </c>
      <c r="D1314" s="17"/>
      <c r="E1314" s="8">
        <v>18464</v>
      </c>
      <c r="F1314" s="9">
        <v>72</v>
      </c>
      <c r="G1314" s="6" t="s">
        <v>6049</v>
      </c>
      <c r="H1314" s="7" t="s">
        <v>39</v>
      </c>
      <c r="I1314" s="6" t="s">
        <v>398</v>
      </c>
      <c r="J1314" s="7" t="s">
        <v>20</v>
      </c>
      <c r="K1314" s="7" t="s">
        <v>26</v>
      </c>
      <c r="L1314" s="6"/>
      <c r="M1314" s="10">
        <v>5.3999999999999999E-2</v>
      </c>
      <c r="N1314" s="6" t="s">
        <v>6050</v>
      </c>
      <c r="O1314" s="11">
        <v>15200</v>
      </c>
      <c r="P1314" s="11"/>
      <c r="Q1314" s="18">
        <v>1900</v>
      </c>
      <c r="R1314" s="19"/>
    </row>
    <row r="1315" spans="1:18" ht="43.2" hidden="1" x14ac:dyDescent="0.3">
      <c r="A1315" s="6" t="s">
        <v>6051</v>
      </c>
      <c r="B1315" s="7" t="s">
        <v>983</v>
      </c>
      <c r="C1315" s="17" t="s">
        <v>6052</v>
      </c>
      <c r="D1315" s="17"/>
      <c r="E1315" s="8">
        <v>16712</v>
      </c>
      <c r="F1315" s="9">
        <v>77</v>
      </c>
      <c r="G1315" s="6" t="s">
        <v>6053</v>
      </c>
      <c r="H1315" s="7" t="s">
        <v>39</v>
      </c>
      <c r="I1315" s="6" t="s">
        <v>6054</v>
      </c>
      <c r="J1315" s="7" t="s">
        <v>20</v>
      </c>
      <c r="K1315" s="7" t="s">
        <v>26</v>
      </c>
      <c r="L1315" s="6"/>
      <c r="M1315" s="10">
        <v>6.1699999999999998E-2</v>
      </c>
      <c r="N1315" s="6" t="s">
        <v>6055</v>
      </c>
      <c r="O1315" s="11">
        <v>38880</v>
      </c>
      <c r="P1315" s="11"/>
      <c r="Q1315" s="18">
        <v>4860</v>
      </c>
      <c r="R1315" s="19"/>
    </row>
    <row r="1316" spans="1:18" x14ac:dyDescent="0.3">
      <c r="A1316" s="6" t="s">
        <v>6056</v>
      </c>
      <c r="B1316" s="7" t="s">
        <v>270</v>
      </c>
      <c r="C1316" s="17" t="s">
        <v>6057</v>
      </c>
      <c r="D1316" s="17"/>
      <c r="E1316" s="8">
        <v>17684</v>
      </c>
      <c r="F1316" s="9">
        <v>74</v>
      </c>
      <c r="G1316" s="6" t="s">
        <v>6058</v>
      </c>
      <c r="H1316" s="7" t="s">
        <v>25</v>
      </c>
      <c r="I1316" s="6"/>
      <c r="J1316" s="7" t="s">
        <v>41</v>
      </c>
      <c r="K1316" s="7" t="s">
        <v>26</v>
      </c>
      <c r="L1316" s="9">
        <v>72</v>
      </c>
      <c r="M1316" s="10">
        <v>5.3999999999999999E-2</v>
      </c>
      <c r="N1316" s="6" t="s">
        <v>6059</v>
      </c>
      <c r="O1316" s="11">
        <v>49430.8</v>
      </c>
      <c r="P1316" s="11"/>
      <c r="Q1316" s="18">
        <v>6178.85</v>
      </c>
      <c r="R1316" s="19"/>
    </row>
    <row r="1317" spans="1:18" ht="43.2" hidden="1" x14ac:dyDescent="0.3">
      <c r="A1317" s="6" t="s">
        <v>6060</v>
      </c>
      <c r="B1317" s="7" t="s">
        <v>1517</v>
      </c>
      <c r="C1317" s="17" t="s">
        <v>6057</v>
      </c>
      <c r="D1317" s="17"/>
      <c r="E1317" s="8">
        <v>18263</v>
      </c>
      <c r="F1317" s="9">
        <v>73</v>
      </c>
      <c r="G1317" s="6" t="s">
        <v>6061</v>
      </c>
      <c r="H1317" s="7" t="s">
        <v>39</v>
      </c>
      <c r="I1317" s="6" t="s">
        <v>122</v>
      </c>
      <c r="J1317" s="7" t="s">
        <v>20</v>
      </c>
      <c r="K1317" s="7" t="s">
        <v>26</v>
      </c>
      <c r="L1317" s="6"/>
      <c r="M1317" s="10">
        <v>5.5300000000000002E-2</v>
      </c>
      <c r="N1317" s="6" t="s">
        <v>6062</v>
      </c>
      <c r="O1317" s="11">
        <v>16000</v>
      </c>
      <c r="P1317" s="11"/>
      <c r="Q1317" s="18">
        <v>2000</v>
      </c>
      <c r="R1317" s="19"/>
    </row>
    <row r="1318" spans="1:18" hidden="1" x14ac:dyDescent="0.3">
      <c r="A1318" s="6" t="s">
        <v>6063</v>
      </c>
      <c r="B1318" s="7" t="s">
        <v>1143</v>
      </c>
      <c r="C1318" s="17" t="s">
        <v>6057</v>
      </c>
      <c r="D1318" s="17"/>
      <c r="E1318" s="7" t="s">
        <v>6064</v>
      </c>
      <c r="F1318" s="9">
        <v>75</v>
      </c>
      <c r="G1318" s="6" t="s">
        <v>6065</v>
      </c>
      <c r="H1318" s="7" t="s">
        <v>25</v>
      </c>
      <c r="I1318" s="6" t="s">
        <v>19</v>
      </c>
      <c r="J1318" s="7" t="s">
        <v>20</v>
      </c>
      <c r="K1318" s="7" t="s">
        <v>32</v>
      </c>
      <c r="L1318" s="6"/>
      <c r="M1318" s="10">
        <v>5.8200000000000002E-2</v>
      </c>
      <c r="N1318" s="6" t="s">
        <v>6066</v>
      </c>
      <c r="O1318" s="6" t="s">
        <v>19</v>
      </c>
      <c r="P1318" s="6"/>
      <c r="Q1318" s="19" t="s">
        <v>19</v>
      </c>
      <c r="R1318" s="19"/>
    </row>
    <row r="1319" spans="1:18" hidden="1" x14ac:dyDescent="0.3">
      <c r="A1319" s="6" t="s">
        <v>6067</v>
      </c>
      <c r="B1319" s="7" t="s">
        <v>6068</v>
      </c>
      <c r="C1319" s="17" t="s">
        <v>6069</v>
      </c>
      <c r="D1319" s="17"/>
      <c r="E1319" s="8">
        <v>17145</v>
      </c>
      <c r="F1319" s="9">
        <v>76</v>
      </c>
      <c r="G1319" s="6" t="s">
        <v>6070</v>
      </c>
      <c r="H1319" s="7" t="s">
        <v>25</v>
      </c>
      <c r="I1319" s="6"/>
      <c r="J1319" s="7" t="s">
        <v>20</v>
      </c>
      <c r="K1319" s="7" t="s">
        <v>26</v>
      </c>
      <c r="L1319" s="6"/>
      <c r="M1319" s="10">
        <v>5.9799999999999999E-2</v>
      </c>
      <c r="N1319" s="6" t="s">
        <v>6071</v>
      </c>
      <c r="O1319" s="11">
        <v>27050.48</v>
      </c>
      <c r="P1319" s="11"/>
      <c r="Q1319" s="18">
        <v>3381.31</v>
      </c>
      <c r="R1319" s="19"/>
    </row>
    <row r="1320" spans="1:18" ht="43.2" x14ac:dyDescent="0.3">
      <c r="A1320" s="6" t="s">
        <v>6072</v>
      </c>
      <c r="B1320" s="7" t="s">
        <v>466</v>
      </c>
      <c r="C1320" s="17" t="s">
        <v>6073</v>
      </c>
      <c r="D1320" s="17"/>
      <c r="E1320" s="8">
        <v>18438</v>
      </c>
      <c r="F1320" s="9">
        <v>72</v>
      </c>
      <c r="G1320" s="6" t="s">
        <v>6074</v>
      </c>
      <c r="H1320" s="7" t="s">
        <v>39</v>
      </c>
      <c r="I1320" s="6" t="s">
        <v>1026</v>
      </c>
      <c r="J1320" s="7" t="s">
        <v>41</v>
      </c>
      <c r="K1320" s="7" t="s">
        <v>26</v>
      </c>
      <c r="L1320" s="9">
        <v>71</v>
      </c>
      <c r="M1320" s="10">
        <v>5.28E-2</v>
      </c>
      <c r="N1320" s="6" t="s">
        <v>6075</v>
      </c>
      <c r="O1320" s="11">
        <v>8800</v>
      </c>
      <c r="P1320" s="11"/>
      <c r="Q1320" s="18">
        <v>1100</v>
      </c>
      <c r="R1320" s="19"/>
    </row>
    <row r="1321" spans="1:18" ht="43.2" x14ac:dyDescent="0.3">
      <c r="A1321" s="6" t="s">
        <v>6076</v>
      </c>
      <c r="B1321" s="7" t="s">
        <v>5266</v>
      </c>
      <c r="C1321" s="17" t="s">
        <v>6077</v>
      </c>
      <c r="D1321" s="17"/>
      <c r="E1321" s="8">
        <v>16655</v>
      </c>
      <c r="F1321" s="9">
        <v>77</v>
      </c>
      <c r="G1321" s="6" t="s">
        <v>6078</v>
      </c>
      <c r="H1321" s="7" t="s">
        <v>39</v>
      </c>
      <c r="I1321" s="6" t="s">
        <v>728</v>
      </c>
      <c r="J1321" s="7" t="s">
        <v>41</v>
      </c>
      <c r="K1321" s="7" t="s">
        <v>26</v>
      </c>
      <c r="L1321" s="9">
        <v>65</v>
      </c>
      <c r="M1321" s="10">
        <v>0.04</v>
      </c>
      <c r="N1321" s="6" t="s">
        <v>6079</v>
      </c>
      <c r="O1321" s="11">
        <v>28000</v>
      </c>
      <c r="P1321" s="11"/>
      <c r="Q1321" s="18">
        <v>3500</v>
      </c>
      <c r="R1321" s="19"/>
    </row>
    <row r="1322" spans="1:18" ht="28.8" hidden="1" x14ac:dyDescent="0.3">
      <c r="A1322" s="6" t="s">
        <v>6080</v>
      </c>
      <c r="B1322" s="7" t="s">
        <v>488</v>
      </c>
      <c r="C1322" s="17" t="s">
        <v>6081</v>
      </c>
      <c r="D1322" s="17"/>
      <c r="E1322" s="8">
        <v>17269</v>
      </c>
      <c r="F1322" s="9">
        <v>75</v>
      </c>
      <c r="G1322" s="6" t="s">
        <v>6082</v>
      </c>
      <c r="H1322" s="7" t="s">
        <v>39</v>
      </c>
      <c r="I1322" s="6" t="s">
        <v>1160</v>
      </c>
      <c r="J1322" s="7" t="s">
        <v>20</v>
      </c>
      <c r="K1322" s="7" t="s">
        <v>26</v>
      </c>
      <c r="L1322" s="6"/>
      <c r="M1322" s="10">
        <v>5.8200000000000002E-2</v>
      </c>
      <c r="N1322" s="6" t="s">
        <v>6083</v>
      </c>
      <c r="O1322" s="11">
        <v>4000</v>
      </c>
      <c r="P1322" s="11"/>
      <c r="Q1322" s="18">
        <v>500</v>
      </c>
      <c r="R1322" s="19"/>
    </row>
    <row r="1323" spans="1:18" ht="43.2" hidden="1" x14ac:dyDescent="0.3">
      <c r="A1323" s="6" t="s">
        <v>6084</v>
      </c>
      <c r="B1323" s="7" t="s">
        <v>173</v>
      </c>
      <c r="C1323" s="17" t="s">
        <v>6085</v>
      </c>
      <c r="D1323" s="17"/>
      <c r="E1323" s="8">
        <v>18587</v>
      </c>
      <c r="F1323" s="9">
        <v>72</v>
      </c>
      <c r="G1323" s="6" t="s">
        <v>6086</v>
      </c>
      <c r="H1323" s="7" t="s">
        <v>39</v>
      </c>
      <c r="I1323" s="6" t="s">
        <v>122</v>
      </c>
      <c r="J1323" s="7" t="s">
        <v>20</v>
      </c>
      <c r="K1323" s="7" t="s">
        <v>26</v>
      </c>
      <c r="L1323" s="6"/>
      <c r="M1323" s="10">
        <v>5.3999999999999999E-2</v>
      </c>
      <c r="N1323" s="6" t="s">
        <v>6087</v>
      </c>
      <c r="O1323" s="11">
        <v>20800</v>
      </c>
      <c r="P1323" s="11"/>
      <c r="Q1323" s="18">
        <v>2000</v>
      </c>
      <c r="R1323" s="19"/>
    </row>
    <row r="1324" spans="1:18" ht="43.2" hidden="1" x14ac:dyDescent="0.3">
      <c r="A1324" s="6" t="s">
        <v>6088</v>
      </c>
      <c r="B1324" s="7" t="s">
        <v>6089</v>
      </c>
      <c r="C1324" s="17" t="s">
        <v>6090</v>
      </c>
      <c r="D1324" s="17"/>
      <c r="E1324" s="8">
        <v>18186</v>
      </c>
      <c r="F1324" s="9">
        <v>73</v>
      </c>
      <c r="G1324" s="6" t="s">
        <v>6091</v>
      </c>
      <c r="H1324" s="7" t="s">
        <v>39</v>
      </c>
      <c r="I1324" s="6" t="s">
        <v>40</v>
      </c>
      <c r="J1324" s="7" t="s">
        <v>20</v>
      </c>
      <c r="K1324" s="7" t="s">
        <v>26</v>
      </c>
      <c r="L1324" s="6"/>
      <c r="M1324" s="10">
        <v>5.5300000000000002E-2</v>
      </c>
      <c r="N1324" s="6" t="s">
        <v>6092</v>
      </c>
      <c r="O1324" s="11">
        <v>24000</v>
      </c>
      <c r="P1324" s="11"/>
      <c r="Q1324" s="18">
        <v>3000</v>
      </c>
      <c r="R1324" s="19"/>
    </row>
    <row r="1325" spans="1:18" ht="43.2" hidden="1" x14ac:dyDescent="0.3">
      <c r="A1325" s="6" t="s">
        <v>6093</v>
      </c>
      <c r="B1325" s="7" t="s">
        <v>924</v>
      </c>
      <c r="C1325" s="17" t="s">
        <v>6094</v>
      </c>
      <c r="D1325" s="17"/>
      <c r="E1325" s="8">
        <v>17312</v>
      </c>
      <c r="F1325" s="9">
        <v>75</v>
      </c>
      <c r="G1325" s="6" t="s">
        <v>6095</v>
      </c>
      <c r="H1325" s="7" t="s">
        <v>39</v>
      </c>
      <c r="I1325" s="6" t="s">
        <v>47</v>
      </c>
      <c r="J1325" s="7" t="s">
        <v>20</v>
      </c>
      <c r="K1325" s="7" t="s">
        <v>26</v>
      </c>
      <c r="L1325" s="6"/>
      <c r="M1325" s="10">
        <v>5.8200000000000002E-2</v>
      </c>
      <c r="N1325" s="6" t="s">
        <v>6096</v>
      </c>
      <c r="O1325" s="11">
        <v>11000</v>
      </c>
      <c r="P1325" s="11"/>
      <c r="Q1325" s="18">
        <v>1000</v>
      </c>
      <c r="R1325" s="19"/>
    </row>
    <row r="1326" spans="1:18" ht="43.2" hidden="1" x14ac:dyDescent="0.3">
      <c r="A1326" s="6" t="s">
        <v>6097</v>
      </c>
      <c r="B1326" s="7" t="s">
        <v>129</v>
      </c>
      <c r="C1326" s="17" t="s">
        <v>6098</v>
      </c>
      <c r="D1326" s="17"/>
      <c r="E1326" s="7" t="s">
        <v>6099</v>
      </c>
      <c r="F1326" s="9">
        <v>81</v>
      </c>
      <c r="G1326" s="6" t="s">
        <v>6100</v>
      </c>
      <c r="H1326" s="7" t="s">
        <v>39</v>
      </c>
      <c r="I1326" s="6" t="s">
        <v>6101</v>
      </c>
      <c r="J1326" s="7" t="s">
        <v>20</v>
      </c>
      <c r="K1326" s="7" t="s">
        <v>32</v>
      </c>
      <c r="L1326" s="6"/>
      <c r="M1326" s="10">
        <v>7.0800000000000002E-2</v>
      </c>
      <c r="N1326" s="6" t="s">
        <v>6102</v>
      </c>
      <c r="O1326" s="6" t="s">
        <v>19</v>
      </c>
      <c r="P1326" s="6"/>
      <c r="Q1326" s="19" t="s">
        <v>19</v>
      </c>
      <c r="R1326" s="19"/>
    </row>
    <row r="1327" spans="1:18" hidden="1" x14ac:dyDescent="0.3">
      <c r="A1327" s="6" t="s">
        <v>6103</v>
      </c>
      <c r="B1327" s="7" t="s">
        <v>5130</v>
      </c>
      <c r="C1327" s="17" t="s">
        <v>6104</v>
      </c>
      <c r="D1327" s="17"/>
      <c r="E1327" s="7" t="s">
        <v>6105</v>
      </c>
      <c r="F1327" s="9">
        <v>75</v>
      </c>
      <c r="G1327" s="6" t="s">
        <v>6106</v>
      </c>
      <c r="H1327" s="7" t="s">
        <v>25</v>
      </c>
      <c r="I1327" s="6" t="s">
        <v>19</v>
      </c>
      <c r="J1327" s="7" t="s">
        <v>20</v>
      </c>
      <c r="K1327" s="7" t="s">
        <v>32</v>
      </c>
      <c r="L1327" s="6"/>
      <c r="M1327" s="10">
        <v>5.8200000000000002E-2</v>
      </c>
      <c r="N1327" s="6" t="s">
        <v>6107</v>
      </c>
      <c r="O1327" s="6" t="s">
        <v>19</v>
      </c>
      <c r="P1327" s="6"/>
      <c r="Q1327" s="19" t="s">
        <v>19</v>
      </c>
      <c r="R1327" s="19"/>
    </row>
    <row r="1328" spans="1:18" ht="43.2" x14ac:dyDescent="0.3">
      <c r="A1328" s="6" t="s">
        <v>6108</v>
      </c>
      <c r="B1328" s="7" t="s">
        <v>125</v>
      </c>
      <c r="C1328" s="17" t="s">
        <v>6109</v>
      </c>
      <c r="D1328" s="17"/>
      <c r="E1328" s="8">
        <v>18526</v>
      </c>
      <c r="F1328" s="9">
        <v>72</v>
      </c>
      <c r="G1328" s="6" t="s">
        <v>6110</v>
      </c>
      <c r="H1328" s="7" t="s">
        <v>39</v>
      </c>
      <c r="I1328" s="6" t="s">
        <v>2877</v>
      </c>
      <c r="J1328" s="7" t="s">
        <v>41</v>
      </c>
      <c r="K1328" s="7" t="s">
        <v>26</v>
      </c>
      <c r="L1328" s="9">
        <v>65</v>
      </c>
      <c r="M1328" s="10">
        <v>0.04</v>
      </c>
      <c r="N1328" s="6" t="s">
        <v>6111</v>
      </c>
      <c r="O1328" s="11">
        <v>56000</v>
      </c>
      <c r="P1328" s="11"/>
      <c r="Q1328" s="18">
        <v>7000</v>
      </c>
      <c r="R1328" s="19"/>
    </row>
    <row r="1329" spans="1:18" ht="43.2" hidden="1" x14ac:dyDescent="0.3">
      <c r="A1329" s="6" t="s">
        <v>6112</v>
      </c>
      <c r="B1329" s="7" t="s">
        <v>401</v>
      </c>
      <c r="C1329" s="17" t="s">
        <v>6113</v>
      </c>
      <c r="D1329" s="17"/>
      <c r="E1329" s="8">
        <v>18111</v>
      </c>
      <c r="F1329" s="9">
        <v>73</v>
      </c>
      <c r="G1329" s="6" t="s">
        <v>6114</v>
      </c>
      <c r="H1329" s="7" t="s">
        <v>39</v>
      </c>
      <c r="I1329" s="6" t="s">
        <v>47</v>
      </c>
      <c r="J1329" s="7" t="s">
        <v>20</v>
      </c>
      <c r="K1329" s="7" t="s">
        <v>26</v>
      </c>
      <c r="L1329" s="6"/>
      <c r="M1329" s="10">
        <v>5.5300000000000002E-2</v>
      </c>
      <c r="N1329" s="6" t="s">
        <v>6115</v>
      </c>
      <c r="O1329" s="11">
        <v>8000</v>
      </c>
      <c r="P1329" s="11"/>
      <c r="Q1329" s="18">
        <v>1000</v>
      </c>
      <c r="R1329" s="19"/>
    </row>
    <row r="1330" spans="1:18" hidden="1" x14ac:dyDescent="0.3">
      <c r="A1330" s="6" t="s">
        <v>6116</v>
      </c>
      <c r="B1330" s="7" t="s">
        <v>5391</v>
      </c>
      <c r="C1330" s="17" t="s">
        <v>6117</v>
      </c>
      <c r="D1330" s="17"/>
      <c r="E1330" s="8">
        <v>14846</v>
      </c>
      <c r="F1330" s="9">
        <v>82</v>
      </c>
      <c r="G1330" s="6" t="s">
        <v>6118</v>
      </c>
      <c r="H1330" s="7" t="s">
        <v>25</v>
      </c>
      <c r="I1330" s="6"/>
      <c r="J1330" s="7" t="s">
        <v>20</v>
      </c>
      <c r="K1330" s="7" t="s">
        <v>26</v>
      </c>
      <c r="L1330" s="6"/>
      <c r="M1330" s="10">
        <v>7.3800000000000004E-2</v>
      </c>
      <c r="N1330" s="6" t="s">
        <v>6119</v>
      </c>
      <c r="O1330" s="11">
        <v>44118.48</v>
      </c>
      <c r="P1330" s="11"/>
      <c r="Q1330" s="18">
        <v>5514.81</v>
      </c>
      <c r="R1330" s="19"/>
    </row>
    <row r="1331" spans="1:18" ht="43.2" hidden="1" x14ac:dyDescent="0.3">
      <c r="A1331" s="6" t="s">
        <v>6120</v>
      </c>
      <c r="B1331" s="7" t="s">
        <v>6121</v>
      </c>
      <c r="C1331" s="17" t="s">
        <v>6122</v>
      </c>
      <c r="D1331" s="17"/>
      <c r="E1331" s="8">
        <v>17332</v>
      </c>
      <c r="F1331" s="9">
        <v>75</v>
      </c>
      <c r="G1331" s="6" t="s">
        <v>6123</v>
      </c>
      <c r="H1331" s="7" t="s">
        <v>39</v>
      </c>
      <c r="I1331" s="6" t="s">
        <v>267</v>
      </c>
      <c r="J1331" s="7" t="s">
        <v>20</v>
      </c>
      <c r="K1331" s="7" t="s">
        <v>26</v>
      </c>
      <c r="L1331" s="6"/>
      <c r="M1331" s="10">
        <v>5.8200000000000002E-2</v>
      </c>
      <c r="N1331" s="6" t="s">
        <v>6124</v>
      </c>
      <c r="O1331" s="11">
        <v>17600</v>
      </c>
      <c r="P1331" s="11"/>
      <c r="Q1331" s="18">
        <v>2200</v>
      </c>
      <c r="R1331" s="19"/>
    </row>
    <row r="1332" spans="1:18" hidden="1" x14ac:dyDescent="0.3">
      <c r="A1332" s="6" t="s">
        <v>6125</v>
      </c>
      <c r="B1332" s="7" t="s">
        <v>6126</v>
      </c>
      <c r="C1332" s="17" t="s">
        <v>6127</v>
      </c>
      <c r="D1332" s="17"/>
      <c r="E1332" s="8">
        <v>17400</v>
      </c>
      <c r="F1332" s="9">
        <v>75</v>
      </c>
      <c r="G1332" s="6" t="s">
        <v>6128</v>
      </c>
      <c r="H1332" s="7" t="s">
        <v>25</v>
      </c>
      <c r="I1332" s="6"/>
      <c r="J1332" s="7" t="s">
        <v>20</v>
      </c>
      <c r="K1332" s="7" t="s">
        <v>26</v>
      </c>
      <c r="L1332" s="6"/>
      <c r="M1332" s="10">
        <v>5.8200000000000002E-2</v>
      </c>
      <c r="N1332" s="6" t="s">
        <v>6129</v>
      </c>
      <c r="O1332" s="11">
        <v>4603.84</v>
      </c>
      <c r="P1332" s="11"/>
      <c r="Q1332" s="18">
        <v>575.48</v>
      </c>
      <c r="R1332" s="19"/>
    </row>
    <row r="1333" spans="1:18" ht="43.2" x14ac:dyDescent="0.3">
      <c r="A1333" s="6" t="s">
        <v>6130</v>
      </c>
      <c r="B1333" s="7" t="s">
        <v>3738</v>
      </c>
      <c r="C1333" s="17" t="s">
        <v>6131</v>
      </c>
      <c r="D1333" s="17"/>
      <c r="E1333" s="8">
        <v>18006</v>
      </c>
      <c r="F1333" s="9">
        <v>73</v>
      </c>
      <c r="G1333" s="6" t="s">
        <v>6132</v>
      </c>
      <c r="H1333" s="7" t="s">
        <v>39</v>
      </c>
      <c r="I1333" s="6" t="s">
        <v>47</v>
      </c>
      <c r="J1333" s="7" t="s">
        <v>41</v>
      </c>
      <c r="K1333" s="7" t="s">
        <v>26</v>
      </c>
      <c r="L1333" s="9">
        <v>67</v>
      </c>
      <c r="M1333" s="10">
        <v>4.3499999999999997E-2</v>
      </c>
      <c r="N1333" s="6" t="s">
        <v>6133</v>
      </c>
      <c r="O1333" s="11">
        <v>8000</v>
      </c>
      <c r="P1333" s="11"/>
      <c r="Q1333" s="18">
        <v>1000</v>
      </c>
      <c r="R1333" s="19"/>
    </row>
    <row r="1334" spans="1:18" ht="28.8" hidden="1" x14ac:dyDescent="0.3">
      <c r="A1334" s="6" t="s">
        <v>6134</v>
      </c>
      <c r="B1334" s="7" t="s">
        <v>678</v>
      </c>
      <c r="C1334" s="17" t="s">
        <v>6135</v>
      </c>
      <c r="D1334" s="17"/>
      <c r="E1334" s="8">
        <v>15986</v>
      </c>
      <c r="F1334" s="9">
        <v>79</v>
      </c>
      <c r="G1334" s="6" t="s">
        <v>6136</v>
      </c>
      <c r="H1334" s="7" t="s">
        <v>39</v>
      </c>
      <c r="I1334" s="6" t="s">
        <v>1941</v>
      </c>
      <c r="J1334" s="7" t="s">
        <v>20</v>
      </c>
      <c r="K1334" s="7" t="s">
        <v>26</v>
      </c>
      <c r="L1334" s="6"/>
      <c r="M1334" s="10">
        <v>6.5799999999999997E-2</v>
      </c>
      <c r="N1334" s="6" t="s">
        <v>6137</v>
      </c>
      <c r="O1334" s="11">
        <v>2800</v>
      </c>
      <c r="P1334" s="11"/>
      <c r="Q1334" s="18">
        <v>350</v>
      </c>
      <c r="R1334" s="19"/>
    </row>
    <row r="1335" spans="1:18" ht="43.2" hidden="1" x14ac:dyDescent="0.3">
      <c r="A1335" s="6" t="s">
        <v>6138</v>
      </c>
      <c r="B1335" s="7" t="s">
        <v>918</v>
      </c>
      <c r="C1335" s="17" t="s">
        <v>6139</v>
      </c>
      <c r="D1335" s="17"/>
      <c r="E1335" s="8">
        <v>18244</v>
      </c>
      <c r="F1335" s="9">
        <v>73</v>
      </c>
      <c r="G1335" s="6" t="s">
        <v>6140</v>
      </c>
      <c r="H1335" s="7" t="s">
        <v>39</v>
      </c>
      <c r="I1335" s="6" t="s">
        <v>2151</v>
      </c>
      <c r="J1335" s="7" t="s">
        <v>20</v>
      </c>
      <c r="K1335" s="7" t="s">
        <v>32</v>
      </c>
      <c r="L1335" s="6"/>
      <c r="M1335" s="10">
        <v>5.5300000000000002E-2</v>
      </c>
      <c r="N1335" s="6" t="s">
        <v>6141</v>
      </c>
      <c r="O1335" s="11">
        <v>12000</v>
      </c>
      <c r="P1335" s="11"/>
      <c r="Q1335" s="18">
        <v>12000</v>
      </c>
      <c r="R1335" s="19"/>
    </row>
    <row r="1336" spans="1:18" ht="28.8" hidden="1" x14ac:dyDescent="0.3">
      <c r="A1336" s="6" t="s">
        <v>6142</v>
      </c>
      <c r="B1336" s="7" t="s">
        <v>2930</v>
      </c>
      <c r="C1336" s="17" t="s">
        <v>6143</v>
      </c>
      <c r="D1336" s="17"/>
      <c r="E1336" s="8">
        <v>15969</v>
      </c>
      <c r="F1336" s="9">
        <v>79</v>
      </c>
      <c r="G1336" s="6" t="s">
        <v>6144</v>
      </c>
      <c r="H1336" s="7" t="s">
        <v>39</v>
      </c>
      <c r="I1336" s="6" t="s">
        <v>681</v>
      </c>
      <c r="J1336" s="7" t="s">
        <v>20</v>
      </c>
      <c r="K1336" s="7" t="s">
        <v>26</v>
      </c>
      <c r="L1336" s="6"/>
      <c r="M1336" s="10">
        <v>6.5799999999999997E-2</v>
      </c>
      <c r="N1336" s="6" t="s">
        <v>6145</v>
      </c>
      <c r="O1336" s="11">
        <v>5600</v>
      </c>
      <c r="P1336" s="11"/>
      <c r="Q1336" s="18">
        <v>700</v>
      </c>
      <c r="R1336" s="19"/>
    </row>
    <row r="1337" spans="1:18" hidden="1" x14ac:dyDescent="0.3">
      <c r="A1337" s="6" t="s">
        <v>6146</v>
      </c>
      <c r="B1337" s="7" t="s">
        <v>195</v>
      </c>
      <c r="C1337" s="17" t="s">
        <v>6147</v>
      </c>
      <c r="D1337" s="17"/>
      <c r="E1337" s="8">
        <v>18096</v>
      </c>
      <c r="F1337" s="9">
        <v>73</v>
      </c>
      <c r="G1337" s="6" t="s">
        <v>6148</v>
      </c>
      <c r="H1337" s="7" t="s">
        <v>25</v>
      </c>
      <c r="I1337" s="6"/>
      <c r="J1337" s="7" t="s">
        <v>20</v>
      </c>
      <c r="K1337" s="7" t="s">
        <v>26</v>
      </c>
      <c r="L1337" s="6"/>
      <c r="M1337" s="10">
        <v>5.5300000000000002E-2</v>
      </c>
      <c r="N1337" s="6" t="s">
        <v>6149</v>
      </c>
      <c r="O1337" s="11">
        <v>18756.72</v>
      </c>
      <c r="P1337" s="11"/>
      <c r="Q1337" s="18">
        <v>2344.59</v>
      </c>
      <c r="R1337" s="19"/>
    </row>
    <row r="1338" spans="1:18" x14ac:dyDescent="0.3">
      <c r="A1338" s="6" t="s">
        <v>6150</v>
      </c>
      <c r="B1338" s="7" t="s">
        <v>1565</v>
      </c>
      <c r="C1338" s="17" t="s">
        <v>6147</v>
      </c>
      <c r="D1338" s="17"/>
      <c r="E1338" s="8">
        <v>17212</v>
      </c>
      <c r="F1338" s="9">
        <v>75</v>
      </c>
      <c r="G1338" s="6" t="s">
        <v>6151</v>
      </c>
      <c r="H1338" s="7" t="s">
        <v>25</v>
      </c>
      <c r="I1338" s="6"/>
      <c r="J1338" s="7" t="s">
        <v>41</v>
      </c>
      <c r="K1338" s="7" t="s">
        <v>26</v>
      </c>
      <c r="L1338" s="9">
        <v>73</v>
      </c>
      <c r="M1338" s="10">
        <v>5.5300000000000002E-2</v>
      </c>
      <c r="N1338" s="6" t="s">
        <v>6152</v>
      </c>
      <c r="O1338" s="11">
        <v>16844.16</v>
      </c>
      <c r="P1338" s="11"/>
      <c r="Q1338" s="18">
        <v>2105.52</v>
      </c>
      <c r="R1338" s="19"/>
    </row>
    <row r="1339" spans="1:18" x14ac:dyDescent="0.3">
      <c r="A1339" s="6" t="s">
        <v>6153</v>
      </c>
      <c r="B1339" s="7" t="s">
        <v>958</v>
      </c>
      <c r="C1339" s="17" t="s">
        <v>6154</v>
      </c>
      <c r="D1339" s="17"/>
      <c r="E1339" s="8">
        <v>17177</v>
      </c>
      <c r="F1339" s="9">
        <v>75</v>
      </c>
      <c r="G1339" s="6" t="s">
        <v>6155</v>
      </c>
      <c r="H1339" s="7" t="s">
        <v>25</v>
      </c>
      <c r="I1339" s="6"/>
      <c r="J1339" s="7" t="s">
        <v>41</v>
      </c>
      <c r="K1339" s="7" t="s">
        <v>32</v>
      </c>
      <c r="L1339" s="9">
        <v>74</v>
      </c>
      <c r="M1339" s="10">
        <v>5.67E-2</v>
      </c>
      <c r="N1339" s="6" t="s">
        <v>6156</v>
      </c>
      <c r="O1339" s="11">
        <v>35851.26</v>
      </c>
      <c r="P1339" s="11"/>
      <c r="Q1339" s="18">
        <v>35851.26</v>
      </c>
      <c r="R1339" s="19"/>
    </row>
    <row r="1340" spans="1:18" ht="28.8" hidden="1" x14ac:dyDescent="0.3">
      <c r="A1340" s="6" t="s">
        <v>6157</v>
      </c>
      <c r="B1340" s="7" t="s">
        <v>6158</v>
      </c>
      <c r="C1340" s="17" t="s">
        <v>6159</v>
      </c>
      <c r="D1340" s="17"/>
      <c r="E1340" s="8">
        <v>18297</v>
      </c>
      <c r="F1340" s="9">
        <v>72</v>
      </c>
      <c r="G1340" s="6" t="s">
        <v>6160</v>
      </c>
      <c r="H1340" s="7" t="s">
        <v>39</v>
      </c>
      <c r="I1340" s="6" t="s">
        <v>321</v>
      </c>
      <c r="J1340" s="7" t="s">
        <v>20</v>
      </c>
      <c r="K1340" s="7" t="s">
        <v>26</v>
      </c>
      <c r="L1340" s="6"/>
      <c r="M1340" s="10">
        <v>5.3999999999999999E-2</v>
      </c>
      <c r="N1340" s="6" t="s">
        <v>6161</v>
      </c>
      <c r="O1340" s="11">
        <v>14000</v>
      </c>
      <c r="P1340" s="11"/>
      <c r="Q1340" s="18">
        <v>500</v>
      </c>
      <c r="R1340" s="19"/>
    </row>
    <row r="1341" spans="1:18" x14ac:dyDescent="0.3">
      <c r="A1341" s="6" t="s">
        <v>6162</v>
      </c>
      <c r="B1341" s="7" t="s">
        <v>830</v>
      </c>
      <c r="C1341" s="17" t="s">
        <v>6163</v>
      </c>
      <c r="D1341" s="17"/>
      <c r="E1341" s="8">
        <v>17411</v>
      </c>
      <c r="F1341" s="9">
        <v>75</v>
      </c>
      <c r="G1341" s="6" t="s">
        <v>6164</v>
      </c>
      <c r="H1341" s="7" t="s">
        <v>25</v>
      </c>
      <c r="I1341" s="6"/>
      <c r="J1341" s="7" t="s">
        <v>41</v>
      </c>
      <c r="K1341" s="7" t="s">
        <v>26</v>
      </c>
      <c r="L1341" s="9">
        <v>68</v>
      </c>
      <c r="M1341" s="10">
        <v>4.5499999999999999E-2</v>
      </c>
      <c r="N1341" s="6" t="s">
        <v>6165</v>
      </c>
      <c r="O1341" s="11">
        <v>25896.16</v>
      </c>
      <c r="P1341" s="11"/>
      <c r="Q1341" s="18">
        <v>1987.02</v>
      </c>
      <c r="R1341" s="19"/>
    </row>
    <row r="1342" spans="1:18" x14ac:dyDescent="0.3">
      <c r="A1342" s="6" t="s">
        <v>6166</v>
      </c>
      <c r="B1342" s="7" t="s">
        <v>6167</v>
      </c>
      <c r="C1342" s="17" t="s">
        <v>6168</v>
      </c>
      <c r="D1342" s="17"/>
      <c r="E1342" s="8">
        <v>18365</v>
      </c>
      <c r="F1342" s="9">
        <v>72</v>
      </c>
      <c r="G1342" s="6" t="s">
        <v>6169</v>
      </c>
      <c r="H1342" s="7" t="s">
        <v>25</v>
      </c>
      <c r="I1342" s="6"/>
      <c r="J1342" s="7" t="s">
        <v>41</v>
      </c>
      <c r="K1342" s="7" t="s">
        <v>26</v>
      </c>
      <c r="L1342" s="9">
        <v>71</v>
      </c>
      <c r="M1342" s="10">
        <v>5.28E-2</v>
      </c>
      <c r="N1342" s="6" t="s">
        <v>6170</v>
      </c>
      <c r="O1342" s="11">
        <v>17258</v>
      </c>
      <c r="P1342" s="11"/>
      <c r="Q1342" s="18">
        <v>2157.25</v>
      </c>
      <c r="R1342" s="19"/>
    </row>
    <row r="1343" spans="1:18" ht="43.2" hidden="1" x14ac:dyDescent="0.3">
      <c r="A1343" s="6" t="s">
        <v>6171</v>
      </c>
      <c r="B1343" s="7" t="s">
        <v>401</v>
      </c>
      <c r="C1343" s="17" t="s">
        <v>6172</v>
      </c>
      <c r="D1343" s="17"/>
      <c r="E1343" s="8">
        <v>17194</v>
      </c>
      <c r="F1343" s="9">
        <v>75</v>
      </c>
      <c r="G1343" s="6" t="s">
        <v>6173</v>
      </c>
      <c r="H1343" s="7" t="s">
        <v>39</v>
      </c>
      <c r="I1343" s="6" t="s">
        <v>182</v>
      </c>
      <c r="J1343" s="7" t="s">
        <v>20</v>
      </c>
      <c r="K1343" s="7" t="s">
        <v>26</v>
      </c>
      <c r="L1343" s="6"/>
      <c r="M1343" s="10">
        <v>5.8200000000000002E-2</v>
      </c>
      <c r="N1343" s="6" t="s">
        <v>6174</v>
      </c>
      <c r="O1343" s="11">
        <v>36000</v>
      </c>
      <c r="P1343" s="11"/>
      <c r="Q1343" s="18">
        <v>4500</v>
      </c>
      <c r="R1343" s="19"/>
    </row>
    <row r="1344" spans="1:18" ht="43.2" x14ac:dyDescent="0.3">
      <c r="A1344" s="6" t="s">
        <v>6175</v>
      </c>
      <c r="B1344" s="7" t="s">
        <v>81</v>
      </c>
      <c r="C1344" s="17" t="s">
        <v>6176</v>
      </c>
      <c r="D1344" s="17"/>
      <c r="E1344" s="8">
        <v>18178</v>
      </c>
      <c r="F1344" s="9">
        <v>73</v>
      </c>
      <c r="G1344" s="6" t="s">
        <v>6177</v>
      </c>
      <c r="H1344" s="7" t="s">
        <v>39</v>
      </c>
      <c r="I1344" s="6" t="s">
        <v>182</v>
      </c>
      <c r="J1344" s="7" t="s">
        <v>41</v>
      </c>
      <c r="K1344" s="7" t="s">
        <v>26</v>
      </c>
      <c r="L1344" s="9">
        <v>71</v>
      </c>
      <c r="M1344" s="10">
        <v>5.28E-2</v>
      </c>
      <c r="N1344" s="6" t="s">
        <v>6178</v>
      </c>
      <c r="O1344" s="11">
        <v>36000</v>
      </c>
      <c r="P1344" s="11"/>
      <c r="Q1344" s="18">
        <v>4500</v>
      </c>
      <c r="R1344" s="19"/>
    </row>
    <row r="1345" spans="1:18" ht="28.8" hidden="1" x14ac:dyDescent="0.3">
      <c r="A1345" s="6" t="s">
        <v>6179</v>
      </c>
      <c r="B1345" s="7" t="s">
        <v>2016</v>
      </c>
      <c r="C1345" s="17" t="s">
        <v>6180</v>
      </c>
      <c r="D1345" s="17"/>
      <c r="E1345" s="8">
        <v>17173</v>
      </c>
      <c r="F1345" s="9">
        <v>75</v>
      </c>
      <c r="G1345" s="6" t="s">
        <v>6181</v>
      </c>
      <c r="H1345" s="7" t="s">
        <v>39</v>
      </c>
      <c r="I1345" s="6" t="s">
        <v>681</v>
      </c>
      <c r="J1345" s="7" t="s">
        <v>20</v>
      </c>
      <c r="K1345" s="7" t="s">
        <v>26</v>
      </c>
      <c r="L1345" s="6"/>
      <c r="M1345" s="10">
        <v>5.8200000000000002E-2</v>
      </c>
      <c r="N1345" s="6" t="s">
        <v>6182</v>
      </c>
      <c r="O1345" s="11">
        <v>50000</v>
      </c>
      <c r="P1345" s="11"/>
      <c r="Q1345" s="18">
        <v>14216.88</v>
      </c>
      <c r="R1345" s="19"/>
    </row>
    <row r="1346" spans="1:18" hidden="1" x14ac:dyDescent="0.3">
      <c r="A1346" s="6" t="s">
        <v>6183</v>
      </c>
      <c r="B1346" s="7" t="s">
        <v>6184</v>
      </c>
      <c r="C1346" s="17" t="s">
        <v>6185</v>
      </c>
      <c r="D1346" s="17"/>
      <c r="E1346" s="8">
        <v>17638</v>
      </c>
      <c r="F1346" s="9">
        <v>74</v>
      </c>
      <c r="G1346" s="6" t="s">
        <v>6186</v>
      </c>
      <c r="H1346" s="7" t="s">
        <v>25</v>
      </c>
      <c r="I1346" s="6"/>
      <c r="J1346" s="7" t="s">
        <v>20</v>
      </c>
      <c r="K1346" s="7" t="s">
        <v>26</v>
      </c>
      <c r="L1346" s="6"/>
      <c r="M1346" s="10">
        <v>5.67E-2</v>
      </c>
      <c r="N1346" s="6" t="s">
        <v>6187</v>
      </c>
      <c r="O1346" s="11">
        <v>15869.84</v>
      </c>
      <c r="P1346" s="11"/>
      <c r="Q1346" s="18">
        <v>1983.73</v>
      </c>
      <c r="R1346" s="19"/>
    </row>
    <row r="1347" spans="1:18" hidden="1" x14ac:dyDescent="0.3">
      <c r="A1347" s="6" t="s">
        <v>6188</v>
      </c>
      <c r="B1347" s="7" t="s">
        <v>2983</v>
      </c>
      <c r="C1347" s="17" t="s">
        <v>6189</v>
      </c>
      <c r="D1347" s="17"/>
      <c r="E1347" s="7" t="s">
        <v>6190</v>
      </c>
      <c r="F1347" s="9">
        <v>78</v>
      </c>
      <c r="G1347" s="6" t="s">
        <v>6191</v>
      </c>
      <c r="H1347" s="7" t="s">
        <v>25</v>
      </c>
      <c r="I1347" s="6" t="s">
        <v>19</v>
      </c>
      <c r="J1347" s="7" t="s">
        <v>20</v>
      </c>
      <c r="K1347" s="7" t="s">
        <v>26</v>
      </c>
      <c r="L1347" s="6"/>
      <c r="M1347" s="10">
        <v>6.3600000000000004E-2</v>
      </c>
      <c r="N1347" s="6" t="s">
        <v>619</v>
      </c>
      <c r="O1347" s="6" t="s">
        <v>19</v>
      </c>
      <c r="P1347" s="6"/>
      <c r="Q1347" s="19" t="s">
        <v>19</v>
      </c>
      <c r="R1347" s="19"/>
    </row>
    <row r="1348" spans="1:18" ht="43.2" hidden="1" x14ac:dyDescent="0.3">
      <c r="A1348" s="6" t="s">
        <v>6192</v>
      </c>
      <c r="B1348" s="7" t="s">
        <v>1125</v>
      </c>
      <c r="C1348" s="17" t="s">
        <v>6189</v>
      </c>
      <c r="D1348" s="17"/>
      <c r="E1348" s="8">
        <v>15776</v>
      </c>
      <c r="F1348" s="9">
        <v>79</v>
      </c>
      <c r="G1348" s="6" t="s">
        <v>6193</v>
      </c>
      <c r="H1348" s="7" t="s">
        <v>39</v>
      </c>
      <c r="I1348" s="6" t="s">
        <v>151</v>
      </c>
      <c r="J1348" s="7" t="s">
        <v>20</v>
      </c>
      <c r="K1348" s="7" t="s">
        <v>26</v>
      </c>
      <c r="L1348" s="6"/>
      <c r="M1348" s="10">
        <v>6.5799999999999997E-2</v>
      </c>
      <c r="N1348" s="6" t="s">
        <v>6194</v>
      </c>
      <c r="O1348" s="11">
        <v>20000</v>
      </c>
      <c r="P1348" s="11"/>
      <c r="Q1348" s="18">
        <v>2500</v>
      </c>
      <c r="R1348" s="19"/>
    </row>
    <row r="1349" spans="1:18" ht="28.8" hidden="1" x14ac:dyDescent="0.3">
      <c r="A1349" s="6" t="s">
        <v>6195</v>
      </c>
      <c r="B1349" s="7" t="s">
        <v>6196</v>
      </c>
      <c r="C1349" s="17" t="s">
        <v>6197</v>
      </c>
      <c r="D1349" s="17"/>
      <c r="E1349" s="8">
        <v>15643</v>
      </c>
      <c r="F1349" s="9">
        <v>80</v>
      </c>
      <c r="G1349" s="6" t="s">
        <v>6198</v>
      </c>
      <c r="H1349" s="7" t="s">
        <v>39</v>
      </c>
      <c r="I1349" s="6" t="s">
        <v>321</v>
      </c>
      <c r="J1349" s="7" t="s">
        <v>20</v>
      </c>
      <c r="K1349" s="7" t="s">
        <v>26</v>
      </c>
      <c r="L1349" s="6"/>
      <c r="M1349" s="10">
        <v>6.8199999999999997E-2</v>
      </c>
      <c r="N1349" s="6" t="s">
        <v>6199</v>
      </c>
      <c r="O1349" s="11">
        <v>3329.7</v>
      </c>
      <c r="P1349" s="11"/>
      <c r="Q1349" s="18">
        <v>500</v>
      </c>
      <c r="R1349" s="19"/>
    </row>
    <row r="1350" spans="1:18" ht="43.2" x14ac:dyDescent="0.3">
      <c r="A1350" s="6" t="s">
        <v>6200</v>
      </c>
      <c r="B1350" s="7" t="s">
        <v>3321</v>
      </c>
      <c r="C1350" s="17" t="s">
        <v>6201</v>
      </c>
      <c r="D1350" s="17"/>
      <c r="E1350" s="8">
        <v>16486</v>
      </c>
      <c r="F1350" s="9">
        <v>77</v>
      </c>
      <c r="G1350" s="6" t="s">
        <v>6202</v>
      </c>
      <c r="H1350" s="7" t="s">
        <v>39</v>
      </c>
      <c r="I1350" s="6" t="s">
        <v>122</v>
      </c>
      <c r="J1350" s="7" t="s">
        <v>41</v>
      </c>
      <c r="K1350" s="7" t="s">
        <v>26</v>
      </c>
      <c r="L1350" s="9">
        <v>64</v>
      </c>
      <c r="M1350" s="10">
        <v>3.85E-2</v>
      </c>
      <c r="N1350" s="6" t="s">
        <v>6203</v>
      </c>
      <c r="O1350" s="11">
        <v>16000</v>
      </c>
      <c r="P1350" s="11"/>
      <c r="Q1350" s="18">
        <v>2000</v>
      </c>
      <c r="R1350" s="19"/>
    </row>
    <row r="1351" spans="1:18" ht="43.2" hidden="1" x14ac:dyDescent="0.3">
      <c r="A1351" s="6" t="s">
        <v>6204</v>
      </c>
      <c r="B1351" s="7" t="s">
        <v>235</v>
      </c>
      <c r="C1351" s="17" t="s">
        <v>6205</v>
      </c>
      <c r="D1351" s="17"/>
      <c r="E1351" s="8">
        <v>18481</v>
      </c>
      <c r="F1351" s="9">
        <v>72</v>
      </c>
      <c r="G1351" s="6" t="s">
        <v>6206</v>
      </c>
      <c r="H1351" s="7" t="s">
        <v>39</v>
      </c>
      <c r="I1351" s="6" t="s">
        <v>132</v>
      </c>
      <c r="J1351" s="7" t="s">
        <v>20</v>
      </c>
      <c r="K1351" s="7" t="s">
        <v>26</v>
      </c>
      <c r="L1351" s="6"/>
      <c r="M1351" s="10">
        <v>5.3999999999999999E-2</v>
      </c>
      <c r="N1351" s="6" t="s">
        <v>6207</v>
      </c>
      <c r="O1351" s="11">
        <v>12000</v>
      </c>
      <c r="P1351" s="11"/>
      <c r="Q1351" s="18">
        <v>1500</v>
      </c>
      <c r="R1351" s="19"/>
    </row>
    <row r="1352" spans="1:18" ht="43.2" hidden="1" x14ac:dyDescent="0.3">
      <c r="A1352" s="6" t="s">
        <v>6208</v>
      </c>
      <c r="B1352" s="7" t="s">
        <v>412</v>
      </c>
      <c r="C1352" s="17" t="s">
        <v>6209</v>
      </c>
      <c r="D1352" s="17"/>
      <c r="E1352" s="8">
        <v>16806</v>
      </c>
      <c r="F1352" s="9">
        <v>76</v>
      </c>
      <c r="G1352" s="6" t="s">
        <v>6210</v>
      </c>
      <c r="H1352" s="7" t="s">
        <v>39</v>
      </c>
      <c r="I1352" s="6" t="s">
        <v>89</v>
      </c>
      <c r="J1352" s="7" t="s">
        <v>20</v>
      </c>
      <c r="K1352" s="7" t="s">
        <v>26</v>
      </c>
      <c r="L1352" s="6"/>
      <c r="M1352" s="10">
        <v>5.9799999999999999E-2</v>
      </c>
      <c r="N1352" s="6" t="s">
        <v>6211</v>
      </c>
      <c r="O1352" s="11">
        <v>9600</v>
      </c>
      <c r="P1352" s="11"/>
      <c r="Q1352" s="18">
        <v>1200</v>
      </c>
      <c r="R1352" s="19"/>
    </row>
    <row r="1353" spans="1:18" ht="28.8" hidden="1" x14ac:dyDescent="0.3">
      <c r="A1353" s="6" t="s">
        <v>6212</v>
      </c>
      <c r="B1353" s="7" t="s">
        <v>655</v>
      </c>
      <c r="C1353" s="17" t="s">
        <v>6213</v>
      </c>
      <c r="D1353" s="17"/>
      <c r="E1353" s="8">
        <v>18105</v>
      </c>
      <c r="F1353" s="9">
        <v>73</v>
      </c>
      <c r="G1353" s="6" t="s">
        <v>6214</v>
      </c>
      <c r="H1353" s="7" t="s">
        <v>39</v>
      </c>
      <c r="I1353" s="6" t="s">
        <v>1160</v>
      </c>
      <c r="J1353" s="7" t="s">
        <v>20</v>
      </c>
      <c r="K1353" s="7" t="s">
        <v>26</v>
      </c>
      <c r="L1353" s="6"/>
      <c r="M1353" s="10">
        <v>5.5300000000000002E-2</v>
      </c>
      <c r="N1353" s="6" t="s">
        <v>6215</v>
      </c>
      <c r="O1353" s="11">
        <v>3200</v>
      </c>
      <c r="P1353" s="11"/>
      <c r="Q1353" s="18">
        <v>400</v>
      </c>
      <c r="R1353" s="19"/>
    </row>
    <row r="1354" spans="1:18" ht="43.2" hidden="1" x14ac:dyDescent="0.3">
      <c r="A1354" s="6" t="s">
        <v>6216</v>
      </c>
      <c r="B1354" s="7" t="s">
        <v>6217</v>
      </c>
      <c r="C1354" s="17" t="s">
        <v>6218</v>
      </c>
      <c r="D1354" s="17"/>
      <c r="E1354" s="8">
        <v>16652</v>
      </c>
      <c r="F1354" s="9">
        <v>77</v>
      </c>
      <c r="G1354" s="6" t="s">
        <v>6219</v>
      </c>
      <c r="H1354" s="7" t="s">
        <v>39</v>
      </c>
      <c r="I1354" s="6" t="s">
        <v>40</v>
      </c>
      <c r="J1354" s="7" t="s">
        <v>20</v>
      </c>
      <c r="K1354" s="7" t="s">
        <v>26</v>
      </c>
      <c r="L1354" s="6"/>
      <c r="M1354" s="10">
        <v>6.1699999999999998E-2</v>
      </c>
      <c r="N1354" s="6" t="s">
        <v>6220</v>
      </c>
      <c r="O1354" s="11">
        <v>24000</v>
      </c>
      <c r="P1354" s="11"/>
      <c r="Q1354" s="18">
        <v>3000</v>
      </c>
      <c r="R1354" s="19"/>
    </row>
    <row r="1355" spans="1:18" ht="43.2" hidden="1" x14ac:dyDescent="0.3">
      <c r="A1355" s="6" t="s">
        <v>6221</v>
      </c>
      <c r="B1355" s="7" t="s">
        <v>4050</v>
      </c>
      <c r="C1355" s="17" t="s">
        <v>6222</v>
      </c>
      <c r="D1355" s="17"/>
      <c r="E1355" s="8">
        <v>18618</v>
      </c>
      <c r="F1355" s="9">
        <v>72</v>
      </c>
      <c r="G1355" s="6" t="s">
        <v>6224</v>
      </c>
      <c r="H1355" s="7" t="s">
        <v>39</v>
      </c>
      <c r="I1355" s="6" t="s">
        <v>89</v>
      </c>
      <c r="J1355" s="7" t="s">
        <v>20</v>
      </c>
      <c r="K1355" s="7" t="s">
        <v>26</v>
      </c>
      <c r="L1355" s="6"/>
      <c r="M1355" s="10">
        <v>5.3999999999999999E-2</v>
      </c>
      <c r="N1355" s="6" t="s">
        <v>6225</v>
      </c>
      <c r="O1355" s="11">
        <v>11410</v>
      </c>
      <c r="P1355" s="11"/>
      <c r="Q1355" s="18">
        <v>566</v>
      </c>
      <c r="R1355" s="19"/>
    </row>
    <row r="1356" spans="1:18" ht="43.2" x14ac:dyDescent="0.3">
      <c r="A1356" s="6" t="s">
        <v>6226</v>
      </c>
      <c r="B1356" s="7" t="s">
        <v>125</v>
      </c>
      <c r="C1356" s="17" t="s">
        <v>6227</v>
      </c>
      <c r="D1356" s="17"/>
      <c r="E1356" s="8">
        <v>17699</v>
      </c>
      <c r="F1356" s="9">
        <v>74</v>
      </c>
      <c r="G1356" s="6" t="s">
        <v>6228</v>
      </c>
      <c r="H1356" s="7" t="s">
        <v>39</v>
      </c>
      <c r="I1356" s="6" t="s">
        <v>6229</v>
      </c>
      <c r="J1356" s="7" t="s">
        <v>41</v>
      </c>
      <c r="K1356" s="7" t="s">
        <v>26</v>
      </c>
      <c r="L1356" s="9">
        <v>73</v>
      </c>
      <c r="M1356" s="10">
        <v>5.5300000000000002E-2</v>
      </c>
      <c r="N1356" s="6" t="s">
        <v>6230</v>
      </c>
      <c r="O1356" s="11">
        <v>31000</v>
      </c>
      <c r="P1356" s="11"/>
      <c r="Q1356" s="18">
        <v>3875</v>
      </c>
      <c r="R1356" s="19"/>
    </row>
    <row r="1357" spans="1:18" hidden="1" x14ac:dyDescent="0.3">
      <c r="A1357" s="6" t="s">
        <v>6231</v>
      </c>
      <c r="B1357" s="7" t="s">
        <v>556</v>
      </c>
      <c r="C1357" s="17" t="s">
        <v>6232</v>
      </c>
      <c r="D1357" s="17"/>
      <c r="E1357" s="8">
        <v>18288</v>
      </c>
      <c r="F1357" s="9">
        <v>72</v>
      </c>
      <c r="G1357" s="6" t="s">
        <v>6233</v>
      </c>
      <c r="H1357" s="7" t="s">
        <v>25</v>
      </c>
      <c r="I1357" s="6"/>
      <c r="J1357" s="7" t="s">
        <v>20</v>
      </c>
      <c r="K1357" s="7" t="s">
        <v>26</v>
      </c>
      <c r="L1357" s="6"/>
      <c r="M1357" s="10">
        <v>5.3999999999999999E-2</v>
      </c>
      <c r="N1357" s="6" t="s">
        <v>6234</v>
      </c>
      <c r="O1357" s="11">
        <v>1452.56</v>
      </c>
      <c r="P1357" s="11"/>
      <c r="Q1357" s="18">
        <v>181.57</v>
      </c>
      <c r="R1357" s="19"/>
    </row>
    <row r="1358" spans="1:18" hidden="1" x14ac:dyDescent="0.3">
      <c r="A1358" s="6" t="s">
        <v>6235</v>
      </c>
      <c r="B1358" s="7" t="s">
        <v>830</v>
      </c>
      <c r="C1358" s="17" t="s">
        <v>6236</v>
      </c>
      <c r="D1358" s="17"/>
      <c r="E1358" s="8">
        <v>18380</v>
      </c>
      <c r="F1358" s="9">
        <v>72</v>
      </c>
      <c r="G1358" s="6" t="s">
        <v>6237</v>
      </c>
      <c r="H1358" s="7" t="s">
        <v>25</v>
      </c>
      <c r="I1358" s="6"/>
      <c r="J1358" s="7" t="s">
        <v>20</v>
      </c>
      <c r="K1358" s="7" t="s">
        <v>26</v>
      </c>
      <c r="L1358" s="6"/>
      <c r="M1358" s="10">
        <v>5.3999999999999999E-2</v>
      </c>
      <c r="N1358" s="6" t="s">
        <v>6238</v>
      </c>
      <c r="O1358" s="11">
        <v>14572.24</v>
      </c>
      <c r="P1358" s="11"/>
      <c r="Q1358" s="18">
        <v>1821.53</v>
      </c>
      <c r="R1358" s="19"/>
    </row>
    <row r="1359" spans="1:18" ht="28.8" hidden="1" x14ac:dyDescent="0.3">
      <c r="A1359" s="6" t="s">
        <v>6239</v>
      </c>
      <c r="B1359" s="7" t="s">
        <v>22</v>
      </c>
      <c r="C1359" s="17" t="s">
        <v>6240</v>
      </c>
      <c r="D1359" s="17"/>
      <c r="E1359" s="8">
        <v>18124</v>
      </c>
      <c r="F1359" s="9">
        <v>73</v>
      </c>
      <c r="G1359" s="6" t="s">
        <v>6241</v>
      </c>
      <c r="H1359" s="7" t="s">
        <v>39</v>
      </c>
      <c r="I1359" s="6" t="s">
        <v>1790</v>
      </c>
      <c r="J1359" s="7" t="s">
        <v>20</v>
      </c>
      <c r="K1359" s="7" t="s">
        <v>26</v>
      </c>
      <c r="L1359" s="6"/>
      <c r="M1359" s="10">
        <v>5.5300000000000002E-2</v>
      </c>
      <c r="N1359" s="6" t="s">
        <v>6242</v>
      </c>
      <c r="O1359" s="11">
        <v>880</v>
      </c>
      <c r="P1359" s="11"/>
      <c r="Q1359" s="18">
        <v>17.690000000000001</v>
      </c>
      <c r="R1359" s="19"/>
    </row>
    <row r="1360" spans="1:18" ht="43.2" hidden="1" x14ac:dyDescent="0.3">
      <c r="A1360" s="6" t="s">
        <v>6243</v>
      </c>
      <c r="B1360" s="7" t="s">
        <v>6244</v>
      </c>
      <c r="C1360" s="17" t="s">
        <v>6245</v>
      </c>
      <c r="D1360" s="17"/>
      <c r="E1360" s="8">
        <v>14584</v>
      </c>
      <c r="F1360" s="9">
        <v>83</v>
      </c>
      <c r="G1360" s="6" t="s">
        <v>6246</v>
      </c>
      <c r="H1360" s="7" t="s">
        <v>39</v>
      </c>
      <c r="I1360" s="6" t="s">
        <v>106</v>
      </c>
      <c r="J1360" s="7" t="s">
        <v>20</v>
      </c>
      <c r="K1360" s="7" t="s">
        <v>26</v>
      </c>
      <c r="L1360" s="6"/>
      <c r="M1360" s="10">
        <v>7.7100000000000002E-2</v>
      </c>
      <c r="N1360" s="6" t="s">
        <v>6247</v>
      </c>
      <c r="O1360" s="11">
        <v>32000</v>
      </c>
      <c r="P1360" s="11"/>
      <c r="Q1360" s="18">
        <v>4000</v>
      </c>
      <c r="R1360" s="19"/>
    </row>
    <row r="1361" spans="1:18" ht="43.2" hidden="1" x14ac:dyDescent="0.3">
      <c r="A1361" s="6" t="s">
        <v>6248</v>
      </c>
      <c r="B1361" s="7" t="s">
        <v>406</v>
      </c>
      <c r="C1361" s="17" t="s">
        <v>6249</v>
      </c>
      <c r="D1361" s="17"/>
      <c r="E1361" s="8">
        <v>18021</v>
      </c>
      <c r="F1361" s="9">
        <v>73</v>
      </c>
      <c r="G1361" s="6" t="s">
        <v>6250</v>
      </c>
      <c r="H1361" s="7" t="s">
        <v>39</v>
      </c>
      <c r="I1361" s="6" t="s">
        <v>144</v>
      </c>
      <c r="J1361" s="7" t="s">
        <v>20</v>
      </c>
      <c r="K1361" s="7" t="s">
        <v>26</v>
      </c>
      <c r="L1361" s="6"/>
      <c r="M1361" s="10">
        <v>5.5300000000000002E-2</v>
      </c>
      <c r="N1361" s="6" t="s">
        <v>6251</v>
      </c>
      <c r="O1361" s="11">
        <v>40000</v>
      </c>
      <c r="P1361" s="11"/>
      <c r="Q1361" s="18">
        <v>5000</v>
      </c>
      <c r="R1361" s="19"/>
    </row>
    <row r="1362" spans="1:18" ht="43.2" x14ac:dyDescent="0.3">
      <c r="A1362" s="6" t="s">
        <v>6252</v>
      </c>
      <c r="B1362" s="7" t="s">
        <v>1143</v>
      </c>
      <c r="C1362" s="17" t="s">
        <v>6249</v>
      </c>
      <c r="D1362" s="17"/>
      <c r="E1362" s="8">
        <v>18106</v>
      </c>
      <c r="F1362" s="9">
        <v>73</v>
      </c>
      <c r="G1362" s="6" t="s">
        <v>6253</v>
      </c>
      <c r="H1362" s="7" t="s">
        <v>39</v>
      </c>
      <c r="I1362" s="6" t="s">
        <v>40</v>
      </c>
      <c r="J1362" s="7" t="s">
        <v>41</v>
      </c>
      <c r="K1362" s="7" t="s">
        <v>26</v>
      </c>
      <c r="L1362" s="9">
        <v>69</v>
      </c>
      <c r="M1362" s="10">
        <v>4.7600000000000003E-2</v>
      </c>
      <c r="N1362" s="6" t="s">
        <v>6254</v>
      </c>
      <c r="O1362" s="11">
        <v>24000</v>
      </c>
      <c r="P1362" s="11"/>
      <c r="Q1362" s="18">
        <v>3000</v>
      </c>
      <c r="R1362" s="19"/>
    </row>
    <row r="1363" spans="1:18" hidden="1" x14ac:dyDescent="0.3">
      <c r="A1363" s="6" t="s">
        <v>6255</v>
      </c>
      <c r="B1363" s="7" t="s">
        <v>129</v>
      </c>
      <c r="C1363" s="17" t="s">
        <v>6256</v>
      </c>
      <c r="D1363" s="17"/>
      <c r="E1363" s="8">
        <v>18318</v>
      </c>
      <c r="F1363" s="9">
        <v>72</v>
      </c>
      <c r="G1363" s="6" t="s">
        <v>6257</v>
      </c>
      <c r="H1363" s="7" t="s">
        <v>25</v>
      </c>
      <c r="I1363" s="6"/>
      <c r="J1363" s="7" t="s">
        <v>20</v>
      </c>
      <c r="K1363" s="7" t="s">
        <v>26</v>
      </c>
      <c r="L1363" s="6"/>
      <c r="M1363" s="10">
        <v>5.3999999999999999E-2</v>
      </c>
      <c r="N1363" s="6" t="s">
        <v>6258</v>
      </c>
      <c r="O1363" s="11">
        <v>12386.96</v>
      </c>
      <c r="P1363" s="11"/>
      <c r="Q1363" s="18">
        <v>222.5</v>
      </c>
      <c r="R1363" s="19"/>
    </row>
    <row r="1364" spans="1:18" ht="43.2" x14ac:dyDescent="0.3">
      <c r="A1364" s="6" t="s">
        <v>6259</v>
      </c>
      <c r="B1364" s="7" t="s">
        <v>29</v>
      </c>
      <c r="C1364" s="17" t="s">
        <v>6260</v>
      </c>
      <c r="D1364" s="17"/>
      <c r="E1364" s="8">
        <v>18527</v>
      </c>
      <c r="F1364" s="9">
        <v>72</v>
      </c>
      <c r="G1364" s="6" t="s">
        <v>6261</v>
      </c>
      <c r="H1364" s="7" t="s">
        <v>39</v>
      </c>
      <c r="I1364" s="6" t="s">
        <v>6262</v>
      </c>
      <c r="J1364" s="7" t="s">
        <v>41</v>
      </c>
      <c r="K1364" s="7" t="s">
        <v>26</v>
      </c>
      <c r="L1364" s="9">
        <v>68</v>
      </c>
      <c r="M1364" s="10">
        <v>4.5499999999999999E-2</v>
      </c>
      <c r="N1364" s="6" t="s">
        <v>6263</v>
      </c>
      <c r="O1364" s="11">
        <v>13360</v>
      </c>
      <c r="P1364" s="11"/>
      <c r="Q1364" s="18">
        <v>1670</v>
      </c>
      <c r="R1364" s="19"/>
    </row>
    <row r="1365" spans="1:18" ht="43.2" hidden="1" x14ac:dyDescent="0.3">
      <c r="A1365" s="6" t="s">
        <v>6264</v>
      </c>
      <c r="B1365" s="7" t="s">
        <v>2751</v>
      </c>
      <c r="C1365" s="17" t="s">
        <v>6265</v>
      </c>
      <c r="D1365" s="17"/>
      <c r="E1365" s="8">
        <v>17504</v>
      </c>
      <c r="F1365" s="9">
        <v>75</v>
      </c>
      <c r="G1365" s="6" t="s">
        <v>6266</v>
      </c>
      <c r="H1365" s="7" t="s">
        <v>39</v>
      </c>
      <c r="I1365" s="6" t="s">
        <v>728</v>
      </c>
      <c r="J1365" s="7" t="s">
        <v>20</v>
      </c>
      <c r="K1365" s="7" t="s">
        <v>26</v>
      </c>
      <c r="L1365" s="6"/>
      <c r="M1365" s="10">
        <v>5.8200000000000002E-2</v>
      </c>
      <c r="N1365" s="6" t="s">
        <v>6267</v>
      </c>
      <c r="O1365" s="11">
        <v>36500</v>
      </c>
      <c r="P1365" s="11"/>
      <c r="Q1365" s="18">
        <v>3500</v>
      </c>
      <c r="R1365" s="19"/>
    </row>
    <row r="1366" spans="1:18" ht="28.8" hidden="1" x14ac:dyDescent="0.3">
      <c r="A1366" s="6" t="s">
        <v>6268</v>
      </c>
      <c r="B1366" s="7" t="s">
        <v>330</v>
      </c>
      <c r="C1366" s="17" t="s">
        <v>6269</v>
      </c>
      <c r="D1366" s="17"/>
      <c r="E1366" s="8">
        <v>17382</v>
      </c>
      <c r="F1366" s="9">
        <v>75</v>
      </c>
      <c r="G1366" s="6" t="s">
        <v>6270</v>
      </c>
      <c r="H1366" s="7" t="s">
        <v>39</v>
      </c>
      <c r="I1366" s="6" t="s">
        <v>6271</v>
      </c>
      <c r="J1366" s="7" t="s">
        <v>20</v>
      </c>
      <c r="K1366" s="7" t="s">
        <v>26</v>
      </c>
      <c r="L1366" s="6"/>
      <c r="M1366" s="10">
        <v>5.8200000000000002E-2</v>
      </c>
      <c r="N1366" s="6" t="s">
        <v>6272</v>
      </c>
      <c r="O1366" s="11">
        <v>3600</v>
      </c>
      <c r="P1366" s="11"/>
      <c r="Q1366" s="18">
        <v>171.57</v>
      </c>
      <c r="R1366" s="19"/>
    </row>
    <row r="1367" spans="1:18" ht="43.2" hidden="1" x14ac:dyDescent="0.3">
      <c r="A1367" s="6" t="s">
        <v>6273</v>
      </c>
      <c r="B1367" s="7" t="s">
        <v>924</v>
      </c>
      <c r="C1367" s="17" t="s">
        <v>6274</v>
      </c>
      <c r="D1367" s="17"/>
      <c r="E1367" s="7" t="s">
        <v>6275</v>
      </c>
      <c r="F1367" s="9">
        <v>75</v>
      </c>
      <c r="G1367" s="6" t="s">
        <v>6276</v>
      </c>
      <c r="H1367" s="7" t="s">
        <v>39</v>
      </c>
      <c r="I1367" s="6" t="s">
        <v>1313</v>
      </c>
      <c r="J1367" s="7" t="s">
        <v>20</v>
      </c>
      <c r="K1367" s="7" t="s">
        <v>32</v>
      </c>
      <c r="L1367" s="6"/>
      <c r="M1367" s="10">
        <v>5.8200000000000002E-2</v>
      </c>
      <c r="N1367" s="6" t="s">
        <v>6277</v>
      </c>
      <c r="O1367" s="6" t="s">
        <v>19</v>
      </c>
      <c r="P1367" s="6"/>
      <c r="Q1367" s="19" t="s">
        <v>19</v>
      </c>
      <c r="R1367" s="19"/>
    </row>
    <row r="1368" spans="1:18" ht="43.2" x14ac:dyDescent="0.3">
      <c r="A1368" s="6" t="s">
        <v>6278</v>
      </c>
      <c r="B1368" s="7" t="s">
        <v>1038</v>
      </c>
      <c r="C1368" s="17" t="s">
        <v>6279</v>
      </c>
      <c r="D1368" s="17"/>
      <c r="E1368" s="8">
        <v>16905</v>
      </c>
      <c r="F1368" s="9">
        <v>76</v>
      </c>
      <c r="G1368" s="6" t="s">
        <v>6280</v>
      </c>
      <c r="H1368" s="7" t="s">
        <v>39</v>
      </c>
      <c r="I1368" s="6" t="s">
        <v>522</v>
      </c>
      <c r="J1368" s="7" t="s">
        <v>41</v>
      </c>
      <c r="K1368" s="7" t="s">
        <v>26</v>
      </c>
      <c r="L1368" s="9">
        <v>74</v>
      </c>
      <c r="M1368" s="10">
        <v>5.67E-2</v>
      </c>
      <c r="N1368" s="6" t="s">
        <v>6281</v>
      </c>
      <c r="O1368" s="11">
        <v>28800</v>
      </c>
      <c r="P1368" s="11"/>
      <c r="Q1368" s="18">
        <v>3600</v>
      </c>
      <c r="R1368" s="19"/>
    </row>
    <row r="1369" spans="1:18" ht="28.8" hidden="1" x14ac:dyDescent="0.3">
      <c r="A1369" s="6" t="s">
        <v>6282</v>
      </c>
      <c r="B1369" s="7" t="s">
        <v>1782</v>
      </c>
      <c r="C1369" s="17" t="s">
        <v>6283</v>
      </c>
      <c r="D1369" s="17"/>
      <c r="E1369" s="8">
        <v>16665</v>
      </c>
      <c r="F1369" s="9">
        <v>77</v>
      </c>
      <c r="G1369" s="6" t="s">
        <v>6284</v>
      </c>
      <c r="H1369" s="7" t="s">
        <v>39</v>
      </c>
      <c r="I1369" s="6" t="s">
        <v>681</v>
      </c>
      <c r="J1369" s="7" t="s">
        <v>20</v>
      </c>
      <c r="K1369" s="7" t="s">
        <v>26</v>
      </c>
      <c r="L1369" s="6"/>
      <c r="M1369" s="10">
        <v>6.1699999999999998E-2</v>
      </c>
      <c r="N1369" s="6" t="s">
        <v>6285</v>
      </c>
      <c r="O1369" s="11">
        <v>5600</v>
      </c>
      <c r="P1369" s="11"/>
      <c r="Q1369" s="18">
        <v>700</v>
      </c>
      <c r="R1369" s="19"/>
    </row>
    <row r="1370" spans="1:18" hidden="1" x14ac:dyDescent="0.3">
      <c r="A1370" s="6" t="s">
        <v>6286</v>
      </c>
      <c r="B1370" s="7" t="s">
        <v>918</v>
      </c>
      <c r="C1370" s="17" t="s">
        <v>6287</v>
      </c>
      <c r="D1370" s="17"/>
      <c r="E1370" s="8">
        <v>17699</v>
      </c>
      <c r="F1370" s="9">
        <v>74</v>
      </c>
      <c r="G1370" s="6" t="s">
        <v>6288</v>
      </c>
      <c r="H1370" s="7" t="s">
        <v>25</v>
      </c>
      <c r="I1370" s="6"/>
      <c r="J1370" s="7" t="s">
        <v>20</v>
      </c>
      <c r="K1370" s="7" t="s">
        <v>26</v>
      </c>
      <c r="L1370" s="6"/>
      <c r="M1370" s="10">
        <v>5.67E-2</v>
      </c>
      <c r="N1370" s="6" t="s">
        <v>6289</v>
      </c>
      <c r="O1370" s="11">
        <v>15102.4</v>
      </c>
      <c r="P1370" s="11"/>
      <c r="Q1370" s="18">
        <v>1887.8</v>
      </c>
      <c r="R1370" s="19"/>
    </row>
    <row r="1371" spans="1:18" hidden="1" x14ac:dyDescent="0.3">
      <c r="A1371" s="6" t="s">
        <v>6290</v>
      </c>
      <c r="B1371" s="7" t="s">
        <v>6291</v>
      </c>
      <c r="C1371" s="17" t="s">
        <v>6292</v>
      </c>
      <c r="D1371" s="17"/>
      <c r="E1371" s="7" t="s">
        <v>6293</v>
      </c>
      <c r="F1371" s="9">
        <v>79</v>
      </c>
      <c r="G1371" s="6" t="s">
        <v>6294</v>
      </c>
      <c r="H1371" s="7" t="s">
        <v>25</v>
      </c>
      <c r="I1371" s="6" t="s">
        <v>19</v>
      </c>
      <c r="J1371" s="7" t="s">
        <v>41</v>
      </c>
      <c r="K1371" s="7" t="s">
        <v>32</v>
      </c>
      <c r="L1371" s="9">
        <v>78</v>
      </c>
      <c r="M1371" s="10">
        <v>6.3600000000000004E-2</v>
      </c>
      <c r="N1371" s="6" t="s">
        <v>6295</v>
      </c>
      <c r="O1371" s="6" t="s">
        <v>19</v>
      </c>
      <c r="P1371" s="6"/>
      <c r="Q1371" s="19" t="s">
        <v>19</v>
      </c>
      <c r="R1371" s="19"/>
    </row>
    <row r="1372" spans="1:18" hidden="1" x14ac:dyDescent="0.3">
      <c r="A1372" s="6" t="s">
        <v>6296</v>
      </c>
      <c r="B1372" s="7" t="s">
        <v>424</v>
      </c>
      <c r="C1372" s="17" t="s">
        <v>1134</v>
      </c>
      <c r="D1372" s="17"/>
      <c r="E1372" s="8">
        <v>18503</v>
      </c>
      <c r="F1372" s="9">
        <v>72</v>
      </c>
      <c r="G1372" s="6" t="s">
        <v>6297</v>
      </c>
      <c r="H1372" s="7" t="s">
        <v>25</v>
      </c>
      <c r="I1372" s="6"/>
      <c r="J1372" s="7" t="s">
        <v>20</v>
      </c>
      <c r="K1372" s="7" t="s">
        <v>26</v>
      </c>
      <c r="L1372" s="6"/>
      <c r="M1372" s="10">
        <v>5.3999999999999999E-2</v>
      </c>
      <c r="N1372" s="6" t="s">
        <v>6298</v>
      </c>
      <c r="O1372" s="11">
        <v>6906</v>
      </c>
      <c r="P1372" s="11"/>
      <c r="Q1372" s="18">
        <v>863.25</v>
      </c>
      <c r="R1372" s="19"/>
    </row>
    <row r="1373" spans="1:18" ht="28.8" hidden="1" x14ac:dyDescent="0.3">
      <c r="A1373" s="6" t="s">
        <v>6299</v>
      </c>
      <c r="B1373" s="7" t="s">
        <v>81</v>
      </c>
      <c r="C1373" s="17" t="s">
        <v>6300</v>
      </c>
      <c r="D1373" s="17"/>
      <c r="E1373" s="8">
        <v>18577</v>
      </c>
      <c r="F1373" s="9">
        <v>72</v>
      </c>
      <c r="G1373" s="6" t="s">
        <v>6301</v>
      </c>
      <c r="H1373" s="7" t="s">
        <v>39</v>
      </c>
      <c r="I1373" s="6" t="s">
        <v>2738</v>
      </c>
      <c r="J1373" s="7" t="s">
        <v>20</v>
      </c>
      <c r="K1373" s="7" t="s">
        <v>26</v>
      </c>
      <c r="L1373" s="6"/>
      <c r="M1373" s="10">
        <v>5.3999999999999999E-2</v>
      </c>
      <c r="N1373" s="6" t="s">
        <v>6302</v>
      </c>
      <c r="O1373" s="11">
        <v>73000</v>
      </c>
      <c r="P1373" s="11"/>
      <c r="Q1373" s="18">
        <v>5477.46</v>
      </c>
      <c r="R1373" s="19"/>
    </row>
    <row r="1374" spans="1:18" hidden="1" x14ac:dyDescent="0.3">
      <c r="A1374" s="6" t="s">
        <v>6303</v>
      </c>
      <c r="B1374" s="7" t="s">
        <v>224</v>
      </c>
      <c r="C1374" s="17" t="s">
        <v>6304</v>
      </c>
      <c r="D1374" s="17"/>
      <c r="E1374" s="7" t="s">
        <v>4381</v>
      </c>
      <c r="F1374" s="9">
        <v>73</v>
      </c>
      <c r="G1374" s="6" t="s">
        <v>6305</v>
      </c>
      <c r="H1374" s="7" t="s">
        <v>25</v>
      </c>
      <c r="I1374" s="6" t="s">
        <v>19</v>
      </c>
      <c r="J1374" s="7" t="s">
        <v>20</v>
      </c>
      <c r="K1374" s="7" t="s">
        <v>26</v>
      </c>
      <c r="L1374" s="6"/>
      <c r="M1374" s="10">
        <v>5.5300000000000002E-2</v>
      </c>
      <c r="N1374" s="6" t="s">
        <v>6306</v>
      </c>
      <c r="O1374" s="6" t="s">
        <v>19</v>
      </c>
      <c r="P1374" s="6"/>
      <c r="Q1374" s="19" t="s">
        <v>19</v>
      </c>
      <c r="R1374" s="19"/>
    </row>
    <row r="1375" spans="1:18" hidden="1" x14ac:dyDescent="0.3">
      <c r="A1375" s="6" t="s">
        <v>6307</v>
      </c>
      <c r="B1375" s="7" t="s">
        <v>678</v>
      </c>
      <c r="C1375" s="17" t="s">
        <v>6304</v>
      </c>
      <c r="D1375" s="17"/>
      <c r="E1375" s="7" t="s">
        <v>6308</v>
      </c>
      <c r="F1375" s="9">
        <v>75</v>
      </c>
      <c r="G1375" s="6" t="s">
        <v>6309</v>
      </c>
      <c r="H1375" s="7" t="s">
        <v>25</v>
      </c>
      <c r="I1375" s="6" t="s">
        <v>19</v>
      </c>
      <c r="J1375" s="7" t="s">
        <v>20</v>
      </c>
      <c r="K1375" s="7" t="s">
        <v>26</v>
      </c>
      <c r="L1375" s="6"/>
      <c r="M1375" s="10">
        <v>5.8200000000000002E-2</v>
      </c>
      <c r="N1375" s="6" t="s">
        <v>6310</v>
      </c>
      <c r="O1375" s="6" t="s">
        <v>19</v>
      </c>
      <c r="P1375" s="6"/>
      <c r="Q1375" s="19" t="s">
        <v>19</v>
      </c>
      <c r="R1375" s="19"/>
    </row>
    <row r="1376" spans="1:18" ht="43.2" hidden="1" x14ac:dyDescent="0.3">
      <c r="A1376" s="6" t="s">
        <v>6311</v>
      </c>
      <c r="B1376" s="7" t="s">
        <v>6312</v>
      </c>
      <c r="C1376" s="17" t="s">
        <v>6313</v>
      </c>
      <c r="D1376" s="17"/>
      <c r="E1376" s="8">
        <v>15522</v>
      </c>
      <c r="F1376" s="9">
        <v>80</v>
      </c>
      <c r="G1376" s="6" t="s">
        <v>6314</v>
      </c>
      <c r="H1376" s="7" t="s">
        <v>39</v>
      </c>
      <c r="I1376" s="6" t="s">
        <v>122</v>
      </c>
      <c r="J1376" s="7" t="s">
        <v>20</v>
      </c>
      <c r="K1376" s="7" t="s">
        <v>26</v>
      </c>
      <c r="L1376" s="6"/>
      <c r="M1376" s="10">
        <v>6.8199999999999997E-2</v>
      </c>
      <c r="N1376" s="6" t="s">
        <v>6315</v>
      </c>
      <c r="O1376" s="11">
        <v>16000</v>
      </c>
      <c r="P1376" s="11"/>
      <c r="Q1376" s="18">
        <v>708.82</v>
      </c>
      <c r="R1376" s="19"/>
    </row>
    <row r="1377" spans="1:18" ht="43.2" hidden="1" x14ac:dyDescent="0.3">
      <c r="A1377" s="6" t="s">
        <v>6316</v>
      </c>
      <c r="B1377" s="7" t="s">
        <v>707</v>
      </c>
      <c r="C1377" s="17" t="s">
        <v>6317</v>
      </c>
      <c r="D1377" s="17"/>
      <c r="E1377" s="8">
        <v>18226</v>
      </c>
      <c r="F1377" s="9">
        <v>73</v>
      </c>
      <c r="G1377" s="6" t="s">
        <v>6319</v>
      </c>
      <c r="H1377" s="7" t="s">
        <v>39</v>
      </c>
      <c r="I1377" s="6" t="s">
        <v>122</v>
      </c>
      <c r="J1377" s="7" t="s">
        <v>20</v>
      </c>
      <c r="K1377" s="7" t="s">
        <v>26</v>
      </c>
      <c r="L1377" s="6"/>
      <c r="M1377" s="10">
        <v>5.5300000000000002E-2</v>
      </c>
      <c r="N1377" s="6" t="s">
        <v>6320</v>
      </c>
      <c r="O1377" s="11">
        <v>16000</v>
      </c>
      <c r="P1377" s="11"/>
      <c r="Q1377" s="18">
        <v>2000</v>
      </c>
      <c r="R1377" s="19"/>
    </row>
    <row r="1378" spans="1:18" ht="43.2" hidden="1" x14ac:dyDescent="0.3">
      <c r="A1378" s="6" t="s">
        <v>6321</v>
      </c>
      <c r="B1378" s="7" t="s">
        <v>6322</v>
      </c>
      <c r="C1378" s="17" t="s">
        <v>6323</v>
      </c>
      <c r="D1378" s="17"/>
      <c r="E1378" s="8">
        <v>17546</v>
      </c>
      <c r="F1378" s="9">
        <v>74</v>
      </c>
      <c r="G1378" s="6" t="s">
        <v>6324</v>
      </c>
      <c r="H1378" s="7" t="s">
        <v>39</v>
      </c>
      <c r="I1378" s="6" t="s">
        <v>89</v>
      </c>
      <c r="J1378" s="7" t="s">
        <v>20</v>
      </c>
      <c r="K1378" s="7" t="s">
        <v>26</v>
      </c>
      <c r="L1378" s="6"/>
      <c r="M1378" s="10">
        <v>5.67E-2</v>
      </c>
      <c r="N1378" s="6" t="s">
        <v>6325</v>
      </c>
      <c r="O1378" s="11">
        <v>9600</v>
      </c>
      <c r="P1378" s="11"/>
      <c r="Q1378" s="18">
        <v>1200</v>
      </c>
      <c r="R1378" s="19"/>
    </row>
    <row r="1379" spans="1:18" ht="43.2" hidden="1" x14ac:dyDescent="0.3">
      <c r="A1379" s="6" t="s">
        <v>6326</v>
      </c>
      <c r="B1379" s="7" t="s">
        <v>334</v>
      </c>
      <c r="C1379" s="17" t="s">
        <v>6327</v>
      </c>
      <c r="D1379" s="17"/>
      <c r="E1379" s="8">
        <v>17914</v>
      </c>
      <c r="F1379" s="9">
        <v>73</v>
      </c>
      <c r="G1379" s="6" t="s">
        <v>6328</v>
      </c>
      <c r="H1379" s="7" t="s">
        <v>39</v>
      </c>
      <c r="I1379" s="6" t="s">
        <v>415</v>
      </c>
      <c r="J1379" s="7" t="s">
        <v>20</v>
      </c>
      <c r="K1379" s="7" t="s">
        <v>26</v>
      </c>
      <c r="L1379" s="6"/>
      <c r="M1379" s="10">
        <v>5.5300000000000002E-2</v>
      </c>
      <c r="N1379" s="6" t="s">
        <v>6329</v>
      </c>
      <c r="O1379" s="11">
        <v>16800</v>
      </c>
      <c r="P1379" s="11"/>
      <c r="Q1379" s="18">
        <v>2100</v>
      </c>
      <c r="R1379" s="19"/>
    </row>
    <row r="1380" spans="1:18" ht="28.8" hidden="1" x14ac:dyDescent="0.3">
      <c r="A1380" s="6" t="s">
        <v>6330</v>
      </c>
      <c r="B1380" s="7" t="s">
        <v>6331</v>
      </c>
      <c r="C1380" s="17" t="s">
        <v>6332</v>
      </c>
      <c r="D1380" s="17"/>
      <c r="E1380" s="8">
        <v>17418</v>
      </c>
      <c r="F1380" s="9">
        <v>75</v>
      </c>
      <c r="G1380" s="6" t="s">
        <v>6333</v>
      </c>
      <c r="H1380" s="7" t="s">
        <v>39</v>
      </c>
      <c r="I1380" s="6" t="s">
        <v>249</v>
      </c>
      <c r="J1380" s="7" t="s">
        <v>20</v>
      </c>
      <c r="K1380" s="7" t="s">
        <v>26</v>
      </c>
      <c r="L1380" s="6"/>
      <c r="M1380" s="10">
        <v>5.8200000000000002E-2</v>
      </c>
      <c r="N1380" s="6" t="s">
        <v>6334</v>
      </c>
      <c r="O1380" s="11">
        <v>1600</v>
      </c>
      <c r="P1380" s="11"/>
      <c r="Q1380" s="18">
        <v>75.14</v>
      </c>
      <c r="R1380" s="19"/>
    </row>
    <row r="1381" spans="1:18" hidden="1" x14ac:dyDescent="0.3">
      <c r="A1381" s="6" t="s">
        <v>6335</v>
      </c>
      <c r="B1381" s="7" t="s">
        <v>6336</v>
      </c>
      <c r="C1381" s="17" t="s">
        <v>6337</v>
      </c>
      <c r="D1381" s="17"/>
      <c r="E1381" s="8">
        <v>15491</v>
      </c>
      <c r="F1381" s="9">
        <v>80</v>
      </c>
      <c r="G1381" s="6" t="s">
        <v>6338</v>
      </c>
      <c r="H1381" s="7" t="s">
        <v>25</v>
      </c>
      <c r="I1381" s="6"/>
      <c r="J1381" s="7" t="s">
        <v>20</v>
      </c>
      <c r="K1381" s="7" t="s">
        <v>26</v>
      </c>
      <c r="L1381" s="6"/>
      <c r="M1381" s="10">
        <v>6.8199999999999997E-2</v>
      </c>
      <c r="N1381" s="6" t="s">
        <v>6339</v>
      </c>
      <c r="O1381" s="11">
        <v>24780.720000000001</v>
      </c>
      <c r="P1381" s="11"/>
      <c r="Q1381" s="18">
        <v>3097.59</v>
      </c>
      <c r="R1381" s="19"/>
    </row>
    <row r="1382" spans="1:18" ht="43.2" x14ac:dyDescent="0.3">
      <c r="A1382" s="6" t="s">
        <v>6340</v>
      </c>
      <c r="B1382" s="7" t="s">
        <v>270</v>
      </c>
      <c r="C1382" s="17" t="s">
        <v>6341</v>
      </c>
      <c r="D1382" s="17"/>
      <c r="E1382" s="8">
        <v>17315</v>
      </c>
      <c r="F1382" s="9">
        <v>75</v>
      </c>
      <c r="G1382" s="6" t="s">
        <v>6342</v>
      </c>
      <c r="H1382" s="7" t="s">
        <v>39</v>
      </c>
      <c r="I1382" s="6" t="s">
        <v>6343</v>
      </c>
      <c r="J1382" s="7" t="s">
        <v>41</v>
      </c>
      <c r="K1382" s="7" t="s">
        <v>26</v>
      </c>
      <c r="L1382" s="9">
        <v>60</v>
      </c>
      <c r="M1382" s="10">
        <v>3.3300000000000003E-2</v>
      </c>
      <c r="N1382" s="6" t="s">
        <v>6344</v>
      </c>
      <c r="O1382" s="11">
        <v>8905</v>
      </c>
      <c r="P1382" s="11"/>
      <c r="Q1382" s="18">
        <v>1135</v>
      </c>
      <c r="R1382" s="19"/>
    </row>
    <row r="1383" spans="1:18" ht="43.2" hidden="1" x14ac:dyDescent="0.3">
      <c r="A1383" s="6" t="s">
        <v>6345</v>
      </c>
      <c r="B1383" s="7" t="s">
        <v>4260</v>
      </c>
      <c r="C1383" s="17" t="s">
        <v>6341</v>
      </c>
      <c r="D1383" s="17"/>
      <c r="E1383" s="8">
        <v>18328</v>
      </c>
      <c r="F1383" s="9">
        <v>72</v>
      </c>
      <c r="G1383" s="6" t="s">
        <v>6346</v>
      </c>
      <c r="H1383" s="7" t="s">
        <v>39</v>
      </c>
      <c r="I1383" s="6" t="s">
        <v>4967</v>
      </c>
      <c r="J1383" s="7" t="s">
        <v>20</v>
      </c>
      <c r="K1383" s="7" t="s">
        <v>26</v>
      </c>
      <c r="L1383" s="6"/>
      <c r="M1383" s="10">
        <v>5.3999999999999999E-2</v>
      </c>
      <c r="N1383" s="6" t="s">
        <v>6347</v>
      </c>
      <c r="O1383" s="11">
        <v>54400</v>
      </c>
      <c r="P1383" s="11"/>
      <c r="Q1383" s="18">
        <v>4300</v>
      </c>
      <c r="R1383" s="19"/>
    </row>
    <row r="1384" spans="1:18" ht="43.2" hidden="1" x14ac:dyDescent="0.3">
      <c r="A1384" s="6" t="s">
        <v>6348</v>
      </c>
      <c r="B1384" s="7" t="s">
        <v>6349</v>
      </c>
      <c r="C1384" s="17" t="s">
        <v>6341</v>
      </c>
      <c r="D1384" s="17"/>
      <c r="E1384" s="7" t="s">
        <v>6350</v>
      </c>
      <c r="F1384" s="9">
        <v>82</v>
      </c>
      <c r="G1384" s="6" t="s">
        <v>6351</v>
      </c>
      <c r="H1384" s="7" t="s">
        <v>39</v>
      </c>
      <c r="I1384" s="6" t="s">
        <v>47</v>
      </c>
      <c r="J1384" s="7" t="s">
        <v>20</v>
      </c>
      <c r="K1384" s="7" t="s">
        <v>32</v>
      </c>
      <c r="L1384" s="6"/>
      <c r="M1384" s="10">
        <v>7.3800000000000004E-2</v>
      </c>
      <c r="N1384" s="6" t="s">
        <v>6352</v>
      </c>
      <c r="O1384" s="6" t="s">
        <v>19</v>
      </c>
      <c r="P1384" s="6"/>
      <c r="Q1384" s="19" t="s">
        <v>19</v>
      </c>
      <c r="R1384" s="19"/>
    </row>
    <row r="1385" spans="1:18" ht="43.2" hidden="1" x14ac:dyDescent="0.3">
      <c r="A1385" s="6" t="s">
        <v>6353</v>
      </c>
      <c r="B1385" s="7" t="s">
        <v>1103</v>
      </c>
      <c r="C1385" s="17" t="s">
        <v>6354</v>
      </c>
      <c r="D1385" s="17"/>
      <c r="E1385" s="8">
        <v>16555</v>
      </c>
      <c r="F1385" s="9">
        <v>77</v>
      </c>
      <c r="G1385" s="6" t="s">
        <v>6355</v>
      </c>
      <c r="H1385" s="7" t="s">
        <v>39</v>
      </c>
      <c r="I1385" s="6" t="s">
        <v>267</v>
      </c>
      <c r="J1385" s="7" t="s">
        <v>20</v>
      </c>
      <c r="K1385" s="7" t="s">
        <v>26</v>
      </c>
      <c r="L1385" s="6"/>
      <c r="M1385" s="10">
        <v>6.1699999999999998E-2</v>
      </c>
      <c r="N1385" s="6" t="s">
        <v>6356</v>
      </c>
      <c r="O1385" s="11">
        <v>17600</v>
      </c>
      <c r="P1385" s="11"/>
      <c r="Q1385" s="18">
        <v>2200</v>
      </c>
      <c r="R1385" s="19"/>
    </row>
    <row r="1386" spans="1:18" ht="28.8" hidden="1" x14ac:dyDescent="0.3">
      <c r="A1386" s="6" t="s">
        <v>6357</v>
      </c>
      <c r="B1386" s="7" t="s">
        <v>120</v>
      </c>
      <c r="C1386" s="17" t="s">
        <v>6358</v>
      </c>
      <c r="D1386" s="17"/>
      <c r="E1386" s="8">
        <v>17348</v>
      </c>
      <c r="F1386" s="9">
        <v>75</v>
      </c>
      <c r="G1386" s="6" t="s">
        <v>6359</v>
      </c>
      <c r="H1386" s="7" t="s">
        <v>39</v>
      </c>
      <c r="I1386" s="6" t="s">
        <v>2738</v>
      </c>
      <c r="J1386" s="7" t="s">
        <v>20</v>
      </c>
      <c r="K1386" s="7" t="s">
        <v>26</v>
      </c>
      <c r="L1386" s="6"/>
      <c r="M1386" s="10">
        <v>5.8200000000000002E-2</v>
      </c>
      <c r="N1386" s="6" t="s">
        <v>6360</v>
      </c>
      <c r="O1386" s="11">
        <v>800</v>
      </c>
      <c r="P1386" s="11"/>
      <c r="Q1386" s="18">
        <v>100</v>
      </c>
      <c r="R1386" s="19"/>
    </row>
    <row r="1387" spans="1:18" ht="28.8" hidden="1" x14ac:dyDescent="0.3">
      <c r="A1387" s="6" t="s">
        <v>6361</v>
      </c>
      <c r="B1387" s="7" t="s">
        <v>135</v>
      </c>
      <c r="C1387" s="17" t="s">
        <v>6362</v>
      </c>
      <c r="D1387" s="17"/>
      <c r="E1387" s="7" t="s">
        <v>3025</v>
      </c>
      <c r="F1387" s="9">
        <v>72</v>
      </c>
      <c r="G1387" s="6" t="s">
        <v>6363</v>
      </c>
      <c r="H1387" s="7" t="s">
        <v>39</v>
      </c>
      <c r="I1387" s="6" t="s">
        <v>321</v>
      </c>
      <c r="J1387" s="7" t="s">
        <v>20</v>
      </c>
      <c r="K1387" s="7" t="s">
        <v>26</v>
      </c>
      <c r="L1387" s="6"/>
      <c r="M1387" s="10">
        <v>5.3999999999999999E-2</v>
      </c>
      <c r="N1387" s="6" t="s">
        <v>6364</v>
      </c>
      <c r="O1387" s="6" t="s">
        <v>19</v>
      </c>
      <c r="P1387" s="6"/>
      <c r="Q1387" s="19" t="s">
        <v>19</v>
      </c>
      <c r="R1387" s="19"/>
    </row>
    <row r="1388" spans="1:18" ht="43.2" hidden="1" x14ac:dyDescent="0.3">
      <c r="A1388" s="6" t="s">
        <v>6365</v>
      </c>
      <c r="B1388" s="7" t="s">
        <v>1267</v>
      </c>
      <c r="C1388" s="17" t="s">
        <v>6366</v>
      </c>
      <c r="D1388" s="17"/>
      <c r="E1388" s="8">
        <v>17871</v>
      </c>
      <c r="F1388" s="9">
        <v>74</v>
      </c>
      <c r="G1388" s="6" t="s">
        <v>6367</v>
      </c>
      <c r="H1388" s="7" t="s">
        <v>39</v>
      </c>
      <c r="I1388" s="6" t="s">
        <v>1599</v>
      </c>
      <c r="J1388" s="7" t="s">
        <v>20</v>
      </c>
      <c r="K1388" s="7" t="s">
        <v>26</v>
      </c>
      <c r="L1388" s="6"/>
      <c r="M1388" s="10">
        <v>5.67E-2</v>
      </c>
      <c r="N1388" s="6" t="s">
        <v>6368</v>
      </c>
      <c r="O1388" s="11">
        <v>25600</v>
      </c>
      <c r="P1388" s="11"/>
      <c r="Q1388" s="18">
        <v>3200</v>
      </c>
      <c r="R1388" s="19"/>
    </row>
    <row r="1389" spans="1:18" ht="43.2" hidden="1" x14ac:dyDescent="0.3">
      <c r="A1389" s="6" t="s">
        <v>6369</v>
      </c>
      <c r="B1389" s="7" t="s">
        <v>1143</v>
      </c>
      <c r="C1389" s="17" t="s">
        <v>6370</v>
      </c>
      <c r="D1389" s="17"/>
      <c r="E1389" s="8">
        <v>18300</v>
      </c>
      <c r="F1389" s="9">
        <v>72</v>
      </c>
      <c r="G1389" s="6" t="s">
        <v>6371</v>
      </c>
      <c r="H1389" s="7" t="s">
        <v>39</v>
      </c>
      <c r="I1389" s="6" t="s">
        <v>122</v>
      </c>
      <c r="J1389" s="7" t="s">
        <v>20</v>
      </c>
      <c r="K1389" s="7" t="s">
        <v>26</v>
      </c>
      <c r="L1389" s="6"/>
      <c r="M1389" s="10">
        <v>5.3999999999999999E-2</v>
      </c>
      <c r="N1389" s="6" t="s">
        <v>6372</v>
      </c>
      <c r="O1389" s="11">
        <v>16000</v>
      </c>
      <c r="P1389" s="11"/>
      <c r="Q1389" s="18">
        <v>28.06</v>
      </c>
      <c r="R1389" s="19"/>
    </row>
    <row r="1390" spans="1:18" ht="43.2" x14ac:dyDescent="0.3">
      <c r="A1390" s="6" t="s">
        <v>6373</v>
      </c>
      <c r="B1390" s="7" t="s">
        <v>6374</v>
      </c>
      <c r="C1390" s="17" t="s">
        <v>6375</v>
      </c>
      <c r="D1390" s="17"/>
      <c r="E1390" s="8">
        <v>17638</v>
      </c>
      <c r="F1390" s="9">
        <v>74</v>
      </c>
      <c r="G1390" s="6" t="s">
        <v>6376</v>
      </c>
      <c r="H1390" s="7" t="s">
        <v>39</v>
      </c>
      <c r="I1390" s="6" t="s">
        <v>106</v>
      </c>
      <c r="J1390" s="7" t="s">
        <v>41</v>
      </c>
      <c r="K1390" s="7" t="s">
        <v>26</v>
      </c>
      <c r="L1390" s="9">
        <v>66</v>
      </c>
      <c r="M1390" s="10">
        <v>4.1700000000000001E-2</v>
      </c>
      <c r="N1390" s="6" t="s">
        <v>6377</v>
      </c>
      <c r="O1390" s="11">
        <v>32000</v>
      </c>
      <c r="P1390" s="11"/>
      <c r="Q1390" s="18">
        <v>4000</v>
      </c>
      <c r="R1390" s="19"/>
    </row>
    <row r="1391" spans="1:18" hidden="1" x14ac:dyDescent="0.3">
      <c r="A1391" s="6" t="s">
        <v>6378</v>
      </c>
      <c r="B1391" s="7" t="s">
        <v>2852</v>
      </c>
      <c r="C1391" s="17" t="s">
        <v>6379</v>
      </c>
      <c r="D1391" s="17"/>
      <c r="E1391" s="8">
        <v>17462</v>
      </c>
      <c r="F1391" s="9">
        <v>75</v>
      </c>
      <c r="G1391" s="6" t="s">
        <v>6380</v>
      </c>
      <c r="H1391" s="7" t="s">
        <v>25</v>
      </c>
      <c r="I1391" s="6"/>
      <c r="J1391" s="7" t="s">
        <v>20</v>
      </c>
      <c r="K1391" s="7" t="s">
        <v>32</v>
      </c>
      <c r="L1391" s="6"/>
      <c r="M1391" s="10">
        <v>5.8200000000000002E-2</v>
      </c>
      <c r="N1391" s="6" t="s">
        <v>6381</v>
      </c>
      <c r="O1391" s="11">
        <v>12134.01</v>
      </c>
      <c r="P1391" s="11"/>
      <c r="Q1391" s="18">
        <v>12134.01</v>
      </c>
      <c r="R1391" s="19"/>
    </row>
    <row r="1392" spans="1:18" ht="43.2" x14ac:dyDescent="0.3">
      <c r="A1392" s="6" t="s">
        <v>6382</v>
      </c>
      <c r="B1392" s="7" t="s">
        <v>3720</v>
      </c>
      <c r="C1392" s="17" t="s">
        <v>6383</v>
      </c>
      <c r="D1392" s="17"/>
      <c r="E1392" s="8">
        <v>15979</v>
      </c>
      <c r="F1392" s="9">
        <v>79</v>
      </c>
      <c r="G1392" s="6" t="s">
        <v>6384</v>
      </c>
      <c r="H1392" s="7" t="s">
        <v>39</v>
      </c>
      <c r="I1392" s="6" t="s">
        <v>6385</v>
      </c>
      <c r="J1392" s="7" t="s">
        <v>41</v>
      </c>
      <c r="K1392" s="7" t="s">
        <v>26</v>
      </c>
      <c r="L1392" s="9">
        <v>78</v>
      </c>
      <c r="M1392" s="10">
        <v>6.3600000000000004E-2</v>
      </c>
      <c r="N1392" s="6" t="s">
        <v>6386</v>
      </c>
      <c r="O1392" s="11">
        <v>74127.360000000001</v>
      </c>
      <c r="P1392" s="11"/>
      <c r="Q1392" s="18">
        <v>9265.92</v>
      </c>
      <c r="R1392" s="19"/>
    </row>
    <row r="1393" spans="1:18" hidden="1" x14ac:dyDescent="0.3">
      <c r="A1393" s="6" t="s">
        <v>6387</v>
      </c>
      <c r="B1393" s="7" t="s">
        <v>6388</v>
      </c>
      <c r="C1393" s="17" t="s">
        <v>6389</v>
      </c>
      <c r="D1393" s="17"/>
      <c r="E1393" s="8">
        <v>17911</v>
      </c>
      <c r="F1393" s="9">
        <v>73</v>
      </c>
      <c r="G1393" s="6" t="s">
        <v>6390</v>
      </c>
      <c r="H1393" s="7" t="s">
        <v>25</v>
      </c>
      <c r="I1393" s="6"/>
      <c r="J1393" s="7" t="s">
        <v>20</v>
      </c>
      <c r="K1393" s="7" t="s">
        <v>26</v>
      </c>
      <c r="L1393" s="6"/>
      <c r="M1393" s="10">
        <v>5.5300000000000002E-2</v>
      </c>
      <c r="N1393" s="6" t="s">
        <v>6391</v>
      </c>
      <c r="O1393" s="11">
        <v>3742.24</v>
      </c>
      <c r="P1393" s="11"/>
      <c r="Q1393" s="18">
        <v>75.36</v>
      </c>
      <c r="R1393" s="19"/>
    </row>
    <row r="1394" spans="1:18" hidden="1" x14ac:dyDescent="0.3">
      <c r="A1394" s="6" t="s">
        <v>6392</v>
      </c>
      <c r="B1394" s="7" t="s">
        <v>2306</v>
      </c>
      <c r="C1394" s="17" t="s">
        <v>6393</v>
      </c>
      <c r="D1394" s="17"/>
      <c r="E1394" s="7" t="s">
        <v>6394</v>
      </c>
      <c r="F1394" s="9">
        <v>76</v>
      </c>
      <c r="G1394" s="6" t="s">
        <v>6395</v>
      </c>
      <c r="H1394" s="7" t="s">
        <v>25</v>
      </c>
      <c r="I1394" s="6" t="s">
        <v>19</v>
      </c>
      <c r="J1394" s="7" t="s">
        <v>20</v>
      </c>
      <c r="K1394" s="7" t="s">
        <v>32</v>
      </c>
      <c r="L1394" s="6"/>
      <c r="M1394" s="10">
        <v>5.9799999999999999E-2</v>
      </c>
      <c r="N1394" s="6" t="s">
        <v>6396</v>
      </c>
      <c r="O1394" s="6" t="s">
        <v>19</v>
      </c>
      <c r="P1394" s="6"/>
      <c r="Q1394" s="19" t="s">
        <v>19</v>
      </c>
      <c r="R1394" s="19"/>
    </row>
    <row r="1395" spans="1:18" hidden="1" x14ac:dyDescent="0.3">
      <c r="A1395" s="6" t="s">
        <v>6397</v>
      </c>
      <c r="B1395" s="7" t="s">
        <v>3015</v>
      </c>
      <c r="C1395" s="17" t="s">
        <v>6398</v>
      </c>
      <c r="D1395" s="17"/>
      <c r="E1395" s="8">
        <v>18080</v>
      </c>
      <c r="F1395" s="9">
        <v>73</v>
      </c>
      <c r="G1395" s="6" t="s">
        <v>6399</v>
      </c>
      <c r="H1395" s="7" t="s">
        <v>25</v>
      </c>
      <c r="I1395" s="6"/>
      <c r="J1395" s="7" t="s">
        <v>20</v>
      </c>
      <c r="K1395" s="7" t="s">
        <v>26</v>
      </c>
      <c r="L1395" s="6"/>
      <c r="M1395" s="10">
        <v>5.5300000000000002E-2</v>
      </c>
      <c r="N1395" s="6" t="s">
        <v>6400</v>
      </c>
      <c r="O1395" s="11">
        <v>4836.72</v>
      </c>
      <c r="P1395" s="11"/>
      <c r="Q1395" s="18">
        <v>604.59</v>
      </c>
      <c r="R1395" s="19"/>
    </row>
    <row r="1396" spans="1:18" ht="43.2" hidden="1" x14ac:dyDescent="0.3">
      <c r="A1396" s="6" t="s">
        <v>6401</v>
      </c>
      <c r="B1396" s="7" t="s">
        <v>1531</v>
      </c>
      <c r="C1396" s="17" t="s">
        <v>6398</v>
      </c>
      <c r="D1396" s="17"/>
      <c r="E1396" s="7" t="s">
        <v>6402</v>
      </c>
      <c r="F1396" s="9">
        <v>72</v>
      </c>
      <c r="G1396" s="6" t="s">
        <v>6403</v>
      </c>
      <c r="H1396" s="7" t="s">
        <v>39</v>
      </c>
      <c r="I1396" s="6" t="s">
        <v>4962</v>
      </c>
      <c r="J1396" s="7" t="s">
        <v>20</v>
      </c>
      <c r="K1396" s="7" t="s">
        <v>26</v>
      </c>
      <c r="L1396" s="6"/>
      <c r="M1396" s="10">
        <v>5.3999999999999999E-2</v>
      </c>
      <c r="N1396" s="6" t="s">
        <v>6404</v>
      </c>
      <c r="O1396" s="6" t="s">
        <v>19</v>
      </c>
      <c r="P1396" s="6"/>
      <c r="Q1396" s="19" t="s">
        <v>19</v>
      </c>
      <c r="R1396" s="19"/>
    </row>
    <row r="1397" spans="1:18" hidden="1" x14ac:dyDescent="0.3">
      <c r="A1397" s="6" t="s">
        <v>6405</v>
      </c>
      <c r="B1397" s="7" t="s">
        <v>684</v>
      </c>
      <c r="C1397" s="17" t="s">
        <v>6406</v>
      </c>
      <c r="D1397" s="17"/>
      <c r="E1397" s="7" t="s">
        <v>1873</v>
      </c>
      <c r="F1397" s="9">
        <v>75</v>
      </c>
      <c r="G1397" s="6" t="s">
        <v>6407</v>
      </c>
      <c r="H1397" s="7" t="s">
        <v>25</v>
      </c>
      <c r="I1397" s="6" t="s">
        <v>19</v>
      </c>
      <c r="J1397" s="7" t="s">
        <v>20</v>
      </c>
      <c r="K1397" s="7" t="s">
        <v>26</v>
      </c>
      <c r="L1397" s="6"/>
      <c r="M1397" s="10">
        <v>5.8200000000000002E-2</v>
      </c>
      <c r="N1397" s="6" t="s">
        <v>6408</v>
      </c>
      <c r="O1397" s="6" t="s">
        <v>19</v>
      </c>
      <c r="P1397" s="6"/>
      <c r="Q1397" s="19" t="s">
        <v>19</v>
      </c>
      <c r="R1397" s="19"/>
    </row>
    <row r="1398" spans="1:18" x14ac:dyDescent="0.3">
      <c r="A1398" s="6" t="s">
        <v>6409</v>
      </c>
      <c r="B1398" s="7" t="s">
        <v>81</v>
      </c>
      <c r="C1398" s="17" t="s">
        <v>6410</v>
      </c>
      <c r="D1398" s="17"/>
      <c r="E1398" s="8">
        <v>15323</v>
      </c>
      <c r="F1398" s="9">
        <v>81</v>
      </c>
      <c r="G1398" s="6" t="s">
        <v>6411</v>
      </c>
      <c r="H1398" s="7" t="s">
        <v>25</v>
      </c>
      <c r="I1398" s="6"/>
      <c r="J1398" s="7" t="s">
        <v>41</v>
      </c>
      <c r="K1398" s="7" t="s">
        <v>32</v>
      </c>
      <c r="L1398" s="9">
        <v>79</v>
      </c>
      <c r="M1398" s="10">
        <v>6.5799999999999997E-2</v>
      </c>
      <c r="N1398" s="6" t="s">
        <v>6412</v>
      </c>
      <c r="O1398" s="11">
        <v>1668.34</v>
      </c>
      <c r="P1398" s="11"/>
      <c r="Q1398" s="18">
        <v>1668.34</v>
      </c>
      <c r="R1398" s="19"/>
    </row>
    <row r="1399" spans="1:18" ht="43.2" hidden="1" x14ac:dyDescent="0.3">
      <c r="A1399" s="6" t="s">
        <v>6413</v>
      </c>
      <c r="B1399" s="7" t="s">
        <v>6414</v>
      </c>
      <c r="C1399" s="17" t="s">
        <v>6415</v>
      </c>
      <c r="D1399" s="17"/>
      <c r="E1399" s="8">
        <v>17299</v>
      </c>
      <c r="F1399" s="9">
        <v>75</v>
      </c>
      <c r="G1399" s="6" t="s">
        <v>6416</v>
      </c>
      <c r="H1399" s="7" t="s">
        <v>39</v>
      </c>
      <c r="I1399" s="6" t="s">
        <v>122</v>
      </c>
      <c r="J1399" s="7" t="s">
        <v>20</v>
      </c>
      <c r="K1399" s="7" t="s">
        <v>32</v>
      </c>
      <c r="L1399" s="6"/>
      <c r="M1399" s="10">
        <v>5.8200000000000002E-2</v>
      </c>
      <c r="N1399" s="6" t="s">
        <v>6417</v>
      </c>
      <c r="O1399" s="11">
        <v>2000</v>
      </c>
      <c r="P1399" s="11"/>
      <c r="Q1399" s="18">
        <v>2000</v>
      </c>
      <c r="R1399" s="19"/>
    </row>
    <row r="1400" spans="1:18" ht="43.2" x14ac:dyDescent="0.3">
      <c r="A1400" s="6" t="s">
        <v>6418</v>
      </c>
      <c r="B1400" s="7" t="s">
        <v>6419</v>
      </c>
      <c r="C1400" s="17" t="s">
        <v>6415</v>
      </c>
      <c r="D1400" s="17"/>
      <c r="E1400" s="8">
        <v>18336</v>
      </c>
      <c r="F1400" s="9">
        <v>72</v>
      </c>
      <c r="G1400" s="6" t="s">
        <v>6420</v>
      </c>
      <c r="H1400" s="7" t="s">
        <v>39</v>
      </c>
      <c r="I1400" s="6" t="s">
        <v>728</v>
      </c>
      <c r="J1400" s="7" t="s">
        <v>41</v>
      </c>
      <c r="K1400" s="7" t="s">
        <v>26</v>
      </c>
      <c r="L1400" s="9">
        <v>65</v>
      </c>
      <c r="M1400" s="10">
        <v>0.04</v>
      </c>
      <c r="N1400" s="6" t="s">
        <v>6421</v>
      </c>
      <c r="O1400" s="11">
        <v>28000</v>
      </c>
      <c r="P1400" s="11"/>
      <c r="Q1400" s="18">
        <v>3500</v>
      </c>
      <c r="R1400" s="19"/>
    </row>
    <row r="1401" spans="1:18" ht="43.2" hidden="1" x14ac:dyDescent="0.3">
      <c r="A1401" s="6" t="s">
        <v>6422</v>
      </c>
      <c r="B1401" s="7" t="s">
        <v>29</v>
      </c>
      <c r="C1401" s="17" t="s">
        <v>6423</v>
      </c>
      <c r="D1401" s="17"/>
      <c r="E1401" s="8">
        <v>17779</v>
      </c>
      <c r="F1401" s="9">
        <v>74</v>
      </c>
      <c r="G1401" s="6" t="s">
        <v>6424</v>
      </c>
      <c r="H1401" s="7" t="s">
        <v>39</v>
      </c>
      <c r="I1401" s="6" t="s">
        <v>144</v>
      </c>
      <c r="J1401" s="7" t="s">
        <v>20</v>
      </c>
      <c r="K1401" s="7" t="s">
        <v>32</v>
      </c>
      <c r="L1401" s="6"/>
      <c r="M1401" s="10">
        <v>5.67E-2</v>
      </c>
      <c r="N1401" s="6" t="s">
        <v>6425</v>
      </c>
      <c r="O1401" s="11">
        <v>5000</v>
      </c>
      <c r="P1401" s="11"/>
      <c r="Q1401" s="18">
        <v>5000</v>
      </c>
      <c r="R1401" s="19"/>
    </row>
    <row r="1402" spans="1:18" ht="43.2" hidden="1" x14ac:dyDescent="0.3">
      <c r="A1402" s="6" t="s">
        <v>6426</v>
      </c>
      <c r="B1402" s="7" t="s">
        <v>493</v>
      </c>
      <c r="C1402" s="17" t="s">
        <v>6427</v>
      </c>
      <c r="D1402" s="17"/>
      <c r="E1402" s="8">
        <v>17451</v>
      </c>
      <c r="F1402" s="9">
        <v>75</v>
      </c>
      <c r="G1402" s="6" t="s">
        <v>6428</v>
      </c>
      <c r="H1402" s="7" t="s">
        <v>39</v>
      </c>
      <c r="I1402" s="6" t="s">
        <v>267</v>
      </c>
      <c r="J1402" s="7" t="s">
        <v>20</v>
      </c>
      <c r="K1402" s="7" t="s">
        <v>26</v>
      </c>
      <c r="L1402" s="6"/>
      <c r="M1402" s="10">
        <v>5.8200000000000002E-2</v>
      </c>
      <c r="N1402" s="6" t="s">
        <v>6429</v>
      </c>
      <c r="O1402" s="11">
        <v>17600</v>
      </c>
      <c r="P1402" s="11"/>
      <c r="Q1402" s="18">
        <v>2200</v>
      </c>
      <c r="R1402" s="19"/>
    </row>
    <row r="1403" spans="1:18" ht="43.2" hidden="1" x14ac:dyDescent="0.3">
      <c r="A1403" s="6" t="s">
        <v>6430</v>
      </c>
      <c r="B1403" s="7" t="s">
        <v>678</v>
      </c>
      <c r="C1403" s="17" t="s">
        <v>6431</v>
      </c>
      <c r="D1403" s="17"/>
      <c r="E1403" s="8">
        <v>17767</v>
      </c>
      <c r="F1403" s="9">
        <v>74</v>
      </c>
      <c r="G1403" s="6" t="s">
        <v>6432</v>
      </c>
      <c r="H1403" s="7" t="s">
        <v>39</v>
      </c>
      <c r="I1403" s="6" t="s">
        <v>6433</v>
      </c>
      <c r="J1403" s="7" t="s">
        <v>20</v>
      </c>
      <c r="K1403" s="7" t="s">
        <v>26</v>
      </c>
      <c r="L1403" s="6"/>
      <c r="M1403" s="10">
        <v>5.67E-2</v>
      </c>
      <c r="N1403" s="6" t="s">
        <v>6434</v>
      </c>
      <c r="O1403" s="11">
        <v>26000</v>
      </c>
      <c r="P1403" s="11"/>
      <c r="Q1403" s="18">
        <v>389.37</v>
      </c>
      <c r="R1403" s="19"/>
    </row>
    <row r="1404" spans="1:18" ht="43.2" hidden="1" x14ac:dyDescent="0.3">
      <c r="A1404" s="6" t="s">
        <v>6435</v>
      </c>
      <c r="B1404" s="7" t="s">
        <v>1787</v>
      </c>
      <c r="C1404" s="17" t="s">
        <v>6436</v>
      </c>
      <c r="D1404" s="17"/>
      <c r="E1404" s="8">
        <v>18121</v>
      </c>
      <c r="F1404" s="9">
        <v>73</v>
      </c>
      <c r="G1404" s="6" t="s">
        <v>6437</v>
      </c>
      <c r="H1404" s="7" t="s">
        <v>39</v>
      </c>
      <c r="I1404" s="6" t="s">
        <v>89</v>
      </c>
      <c r="J1404" s="7" t="s">
        <v>20</v>
      </c>
      <c r="K1404" s="7" t="s">
        <v>26</v>
      </c>
      <c r="L1404" s="6"/>
      <c r="M1404" s="10">
        <v>5.5300000000000002E-2</v>
      </c>
      <c r="N1404" s="6" t="s">
        <v>6438</v>
      </c>
      <c r="O1404" s="11">
        <v>9600</v>
      </c>
      <c r="P1404" s="11"/>
      <c r="Q1404" s="18">
        <v>1200</v>
      </c>
      <c r="R1404" s="19"/>
    </row>
    <row r="1405" spans="1:18" ht="28.8" hidden="1" x14ac:dyDescent="0.3">
      <c r="A1405" s="6" t="s">
        <v>6439</v>
      </c>
      <c r="B1405" s="7" t="s">
        <v>2110</v>
      </c>
      <c r="C1405" s="17" t="s">
        <v>6440</v>
      </c>
      <c r="D1405" s="17"/>
      <c r="E1405" s="7" t="s">
        <v>6441</v>
      </c>
      <c r="F1405" s="9">
        <v>84</v>
      </c>
      <c r="G1405" s="6" t="s">
        <v>6442</v>
      </c>
      <c r="H1405" s="7" t="s">
        <v>25</v>
      </c>
      <c r="I1405" s="6" t="s">
        <v>19</v>
      </c>
      <c r="J1405" s="7" t="s">
        <v>41</v>
      </c>
      <c r="K1405" s="7" t="s">
        <v>26</v>
      </c>
      <c r="L1405" s="9">
        <v>78</v>
      </c>
      <c r="M1405" s="10">
        <v>6.3600000000000004E-2</v>
      </c>
      <c r="N1405" s="6" t="s">
        <v>6443</v>
      </c>
      <c r="O1405" s="6" t="s">
        <v>19</v>
      </c>
      <c r="P1405" s="6"/>
      <c r="Q1405" s="19" t="s">
        <v>19</v>
      </c>
      <c r="R1405" s="19"/>
    </row>
    <row r="1406" spans="1:18" x14ac:dyDescent="0.3">
      <c r="A1406" s="6" t="s">
        <v>6444</v>
      </c>
      <c r="B1406" s="7" t="s">
        <v>3780</v>
      </c>
      <c r="C1406" s="17" t="s">
        <v>6445</v>
      </c>
      <c r="D1406" s="17"/>
      <c r="E1406" s="8">
        <v>16737</v>
      </c>
      <c r="F1406" s="9">
        <v>77</v>
      </c>
      <c r="G1406" s="6" t="s">
        <v>6446</v>
      </c>
      <c r="H1406" s="7" t="s">
        <v>25</v>
      </c>
      <c r="I1406" s="6"/>
      <c r="J1406" s="7" t="s">
        <v>41</v>
      </c>
      <c r="K1406" s="7" t="s">
        <v>26</v>
      </c>
      <c r="L1406" s="9">
        <v>73</v>
      </c>
      <c r="M1406" s="10">
        <v>5.5300000000000002E-2</v>
      </c>
      <c r="N1406" s="6" t="s">
        <v>6447</v>
      </c>
      <c r="O1406" s="11">
        <v>2435.52</v>
      </c>
      <c r="P1406" s="11"/>
      <c r="Q1406" s="18">
        <v>304.44</v>
      </c>
      <c r="R1406" s="19"/>
    </row>
    <row r="1407" spans="1:18" hidden="1" x14ac:dyDescent="0.3">
      <c r="A1407" s="6" t="s">
        <v>6448</v>
      </c>
      <c r="B1407" s="7" t="s">
        <v>753</v>
      </c>
      <c r="C1407" s="17" t="s">
        <v>6449</v>
      </c>
      <c r="D1407" s="17"/>
      <c r="E1407" s="8">
        <v>16894</v>
      </c>
      <c r="F1407" s="9">
        <v>76</v>
      </c>
      <c r="G1407" s="6" t="s">
        <v>6450</v>
      </c>
      <c r="H1407" s="7" t="s">
        <v>25</v>
      </c>
      <c r="I1407" s="6"/>
      <c r="J1407" s="7" t="s">
        <v>20</v>
      </c>
      <c r="K1407" s="7" t="s">
        <v>26</v>
      </c>
      <c r="L1407" s="6"/>
      <c r="M1407" s="10">
        <v>5.9799999999999999E-2</v>
      </c>
      <c r="N1407" s="6" t="s">
        <v>6451</v>
      </c>
      <c r="O1407" s="11">
        <v>2777.84</v>
      </c>
      <c r="P1407" s="11"/>
      <c r="Q1407" s="18">
        <v>347.23</v>
      </c>
      <c r="R1407" s="19"/>
    </row>
    <row r="1408" spans="1:18" ht="43.2" hidden="1" x14ac:dyDescent="0.3">
      <c r="A1408" s="6" t="s">
        <v>6452</v>
      </c>
      <c r="B1408" s="7" t="s">
        <v>2182</v>
      </c>
      <c r="C1408" s="17" t="s">
        <v>6449</v>
      </c>
      <c r="D1408" s="17"/>
      <c r="E1408" s="8">
        <v>17763</v>
      </c>
      <c r="F1408" s="9">
        <v>74</v>
      </c>
      <c r="G1408" s="6" t="s">
        <v>6454</v>
      </c>
      <c r="H1408" s="7" t="s">
        <v>39</v>
      </c>
      <c r="I1408" s="6" t="s">
        <v>1796</v>
      </c>
      <c r="J1408" s="7" t="s">
        <v>20</v>
      </c>
      <c r="K1408" s="7" t="s">
        <v>26</v>
      </c>
      <c r="L1408" s="6"/>
      <c r="M1408" s="10">
        <v>5.67E-2</v>
      </c>
      <c r="N1408" s="6" t="s">
        <v>6455</v>
      </c>
      <c r="O1408" s="11">
        <v>29200</v>
      </c>
      <c r="P1408" s="11"/>
      <c r="Q1408" s="18">
        <v>3650</v>
      </c>
      <c r="R1408" s="19"/>
    </row>
    <row r="1409" spans="1:18" hidden="1" x14ac:dyDescent="0.3">
      <c r="A1409" s="6" t="s">
        <v>6456</v>
      </c>
      <c r="B1409" s="7" t="s">
        <v>22</v>
      </c>
      <c r="C1409" s="17" t="s">
        <v>6449</v>
      </c>
      <c r="D1409" s="17"/>
      <c r="E1409" s="8">
        <v>18091</v>
      </c>
      <c r="F1409" s="9">
        <v>73</v>
      </c>
      <c r="G1409" s="6" t="s">
        <v>6457</v>
      </c>
      <c r="H1409" s="7" t="s">
        <v>25</v>
      </c>
      <c r="I1409" s="6"/>
      <c r="J1409" s="7" t="s">
        <v>20</v>
      </c>
      <c r="K1409" s="7" t="s">
        <v>26</v>
      </c>
      <c r="L1409" s="6"/>
      <c r="M1409" s="10">
        <v>5.5300000000000002E-2</v>
      </c>
      <c r="N1409" s="6" t="s">
        <v>6458</v>
      </c>
      <c r="O1409" s="11">
        <v>7618.24</v>
      </c>
      <c r="P1409" s="11"/>
      <c r="Q1409" s="18">
        <v>1.4</v>
      </c>
      <c r="R1409" s="19"/>
    </row>
    <row r="1410" spans="1:18" ht="43.2" x14ac:dyDescent="0.3">
      <c r="A1410" s="6" t="s">
        <v>6459</v>
      </c>
      <c r="B1410" s="7" t="s">
        <v>240</v>
      </c>
      <c r="C1410" s="17" t="s">
        <v>6449</v>
      </c>
      <c r="D1410" s="17"/>
      <c r="E1410" s="8">
        <v>16843</v>
      </c>
      <c r="F1410" s="9">
        <v>76</v>
      </c>
      <c r="G1410" s="6" t="s">
        <v>6460</v>
      </c>
      <c r="H1410" s="7" t="s">
        <v>39</v>
      </c>
      <c r="I1410" s="6" t="s">
        <v>6461</v>
      </c>
      <c r="J1410" s="7" t="s">
        <v>41</v>
      </c>
      <c r="K1410" s="7" t="s">
        <v>26</v>
      </c>
      <c r="L1410" s="9">
        <v>70</v>
      </c>
      <c r="M1410" s="10">
        <v>0.05</v>
      </c>
      <c r="N1410" s="6" t="s">
        <v>6462</v>
      </c>
      <c r="O1410" s="11">
        <v>41021.040000000001</v>
      </c>
      <c r="P1410" s="11"/>
      <c r="Q1410" s="18">
        <v>69.09</v>
      </c>
      <c r="R1410" s="19"/>
    </row>
    <row r="1411" spans="1:18" ht="43.2" hidden="1" x14ac:dyDescent="0.3">
      <c r="A1411" s="6" t="s">
        <v>6463</v>
      </c>
      <c r="B1411" s="7" t="s">
        <v>1143</v>
      </c>
      <c r="C1411" s="17" t="s">
        <v>6449</v>
      </c>
      <c r="D1411" s="17"/>
      <c r="E1411" s="8">
        <v>17667</v>
      </c>
      <c r="F1411" s="9">
        <v>74</v>
      </c>
      <c r="G1411" s="6" t="s">
        <v>6464</v>
      </c>
      <c r="H1411" s="7" t="s">
        <v>39</v>
      </c>
      <c r="I1411" s="6" t="s">
        <v>6465</v>
      </c>
      <c r="J1411" s="7" t="s">
        <v>20</v>
      </c>
      <c r="K1411" s="7" t="s">
        <v>26</v>
      </c>
      <c r="L1411" s="6"/>
      <c r="M1411" s="10">
        <v>5.67E-2</v>
      </c>
      <c r="N1411" s="6" t="s">
        <v>6466</v>
      </c>
      <c r="O1411" s="11">
        <v>15600</v>
      </c>
      <c r="P1411" s="11"/>
      <c r="Q1411" s="18">
        <v>1950</v>
      </c>
      <c r="R1411" s="19"/>
    </row>
    <row r="1412" spans="1:18" ht="43.2" hidden="1" x14ac:dyDescent="0.3">
      <c r="A1412" s="6" t="s">
        <v>6467</v>
      </c>
      <c r="B1412" s="7" t="s">
        <v>6468</v>
      </c>
      <c r="C1412" s="17" t="s">
        <v>6449</v>
      </c>
      <c r="D1412" s="17"/>
      <c r="E1412" s="8">
        <v>17072</v>
      </c>
      <c r="F1412" s="9">
        <v>76</v>
      </c>
      <c r="G1412" s="6" t="s">
        <v>6469</v>
      </c>
      <c r="H1412" s="7" t="s">
        <v>39</v>
      </c>
      <c r="I1412" s="6" t="s">
        <v>538</v>
      </c>
      <c r="J1412" s="7" t="s">
        <v>20</v>
      </c>
      <c r="K1412" s="7" t="s">
        <v>26</v>
      </c>
      <c r="L1412" s="6"/>
      <c r="M1412" s="10">
        <v>5.9799999999999999E-2</v>
      </c>
      <c r="N1412" s="6" t="s">
        <v>6470</v>
      </c>
      <c r="O1412" s="11">
        <v>12800</v>
      </c>
      <c r="P1412" s="11"/>
      <c r="Q1412" s="18">
        <v>1600</v>
      </c>
      <c r="R1412" s="19"/>
    </row>
    <row r="1413" spans="1:18" x14ac:dyDescent="0.3">
      <c r="A1413" s="6" t="s">
        <v>6471</v>
      </c>
      <c r="B1413" s="7" t="s">
        <v>6472</v>
      </c>
      <c r="C1413" s="17" t="s">
        <v>6473</v>
      </c>
      <c r="D1413" s="17"/>
      <c r="E1413" s="8">
        <v>17470</v>
      </c>
      <c r="F1413" s="9">
        <v>75</v>
      </c>
      <c r="G1413" s="6" t="s">
        <v>6474</v>
      </c>
      <c r="H1413" s="7" t="s">
        <v>25</v>
      </c>
      <c r="I1413" s="6"/>
      <c r="J1413" s="7" t="s">
        <v>41</v>
      </c>
      <c r="K1413" s="7" t="s">
        <v>26</v>
      </c>
      <c r="L1413" s="9">
        <v>65</v>
      </c>
      <c r="M1413" s="10">
        <v>0.04</v>
      </c>
      <c r="N1413" s="6" t="s">
        <v>6475</v>
      </c>
      <c r="O1413" s="11">
        <v>804.72</v>
      </c>
      <c r="P1413" s="11"/>
      <c r="Q1413" s="18">
        <v>100.59</v>
      </c>
      <c r="R1413" s="19"/>
    </row>
    <row r="1414" spans="1:18" hidden="1" x14ac:dyDescent="0.3">
      <c r="A1414" s="6" t="s">
        <v>6476</v>
      </c>
      <c r="B1414" s="7" t="s">
        <v>4300</v>
      </c>
      <c r="C1414" s="17" t="s">
        <v>6477</v>
      </c>
      <c r="D1414" s="17"/>
      <c r="E1414" s="8">
        <v>18138</v>
      </c>
      <c r="F1414" s="9">
        <v>73</v>
      </c>
      <c r="G1414" s="6" t="s">
        <v>6478</v>
      </c>
      <c r="H1414" s="7" t="s">
        <v>25</v>
      </c>
      <c r="I1414" s="6"/>
      <c r="J1414" s="7" t="s">
        <v>20</v>
      </c>
      <c r="K1414" s="7" t="s">
        <v>26</v>
      </c>
      <c r="L1414" s="6"/>
      <c r="M1414" s="10">
        <v>5.5300000000000002E-2</v>
      </c>
      <c r="N1414" s="6" t="s">
        <v>6479</v>
      </c>
      <c r="O1414" s="11">
        <v>7858.08</v>
      </c>
      <c r="P1414" s="11"/>
      <c r="Q1414" s="18">
        <v>982.26</v>
      </c>
      <c r="R1414" s="19"/>
    </row>
    <row r="1415" spans="1:18" ht="43.2" hidden="1" x14ac:dyDescent="0.3">
      <c r="A1415" s="6" t="s">
        <v>6480</v>
      </c>
      <c r="B1415" s="7" t="s">
        <v>55</v>
      </c>
      <c r="C1415" s="17" t="s">
        <v>6481</v>
      </c>
      <c r="D1415" s="17"/>
      <c r="E1415" s="8">
        <v>16493</v>
      </c>
      <c r="F1415" s="9">
        <v>77</v>
      </c>
      <c r="G1415" s="6" t="s">
        <v>6482</v>
      </c>
      <c r="H1415" s="7" t="s">
        <v>39</v>
      </c>
      <c r="I1415" s="6" t="s">
        <v>40</v>
      </c>
      <c r="J1415" s="7" t="s">
        <v>20</v>
      </c>
      <c r="K1415" s="7" t="s">
        <v>26</v>
      </c>
      <c r="L1415" s="6"/>
      <c r="M1415" s="10">
        <v>6.1699999999999998E-2</v>
      </c>
      <c r="N1415" s="6" t="s">
        <v>6483</v>
      </c>
      <c r="O1415" s="11">
        <v>24000</v>
      </c>
      <c r="P1415" s="11"/>
      <c r="Q1415" s="18">
        <v>3000</v>
      </c>
      <c r="R1415" s="19"/>
    </row>
    <row r="1416" spans="1:18" ht="43.2" x14ac:dyDescent="0.3">
      <c r="A1416" s="6" t="s">
        <v>6484</v>
      </c>
      <c r="B1416" s="7" t="s">
        <v>678</v>
      </c>
      <c r="C1416" s="17" t="s">
        <v>6485</v>
      </c>
      <c r="D1416" s="17"/>
      <c r="E1416" s="8">
        <v>18316</v>
      </c>
      <c r="F1416" s="9">
        <v>72</v>
      </c>
      <c r="G1416" s="6" t="s">
        <v>6486</v>
      </c>
      <c r="H1416" s="7" t="s">
        <v>39</v>
      </c>
      <c r="I1416" s="6" t="s">
        <v>132</v>
      </c>
      <c r="J1416" s="7" t="s">
        <v>41</v>
      </c>
      <c r="K1416" s="7" t="s">
        <v>26</v>
      </c>
      <c r="L1416" s="9">
        <v>69</v>
      </c>
      <c r="M1416" s="10">
        <v>4.7600000000000003E-2</v>
      </c>
      <c r="N1416" s="6" t="s">
        <v>6487</v>
      </c>
      <c r="O1416" s="11">
        <v>12000</v>
      </c>
      <c r="P1416" s="11"/>
      <c r="Q1416" s="18">
        <v>1500</v>
      </c>
      <c r="R1416" s="19"/>
    </row>
    <row r="1417" spans="1:18" x14ac:dyDescent="0.3">
      <c r="A1417" s="6" t="s">
        <v>6488</v>
      </c>
      <c r="B1417" s="7" t="s">
        <v>6419</v>
      </c>
      <c r="C1417" s="17" t="s">
        <v>6485</v>
      </c>
      <c r="D1417" s="17"/>
      <c r="E1417" s="8">
        <v>17245</v>
      </c>
      <c r="F1417" s="9">
        <v>75</v>
      </c>
      <c r="G1417" s="6" t="s">
        <v>6489</v>
      </c>
      <c r="H1417" s="7" t="s">
        <v>25</v>
      </c>
      <c r="I1417" s="6"/>
      <c r="J1417" s="7" t="s">
        <v>41</v>
      </c>
      <c r="K1417" s="7" t="s">
        <v>26</v>
      </c>
      <c r="L1417" s="9">
        <v>75</v>
      </c>
      <c r="M1417" s="10">
        <v>5.8200000000000002E-2</v>
      </c>
      <c r="N1417" s="6" t="s">
        <v>6490</v>
      </c>
      <c r="O1417" s="11">
        <v>50869.919999999998</v>
      </c>
      <c r="P1417" s="11"/>
      <c r="Q1417" s="18">
        <v>6358.74</v>
      </c>
      <c r="R1417" s="19"/>
    </row>
    <row r="1418" spans="1:18" ht="43.2" hidden="1" x14ac:dyDescent="0.3">
      <c r="A1418" s="6" t="s">
        <v>6491</v>
      </c>
      <c r="B1418" s="7" t="s">
        <v>168</v>
      </c>
      <c r="C1418" s="17" t="s">
        <v>6492</v>
      </c>
      <c r="D1418" s="17"/>
      <c r="E1418" s="8">
        <v>17154</v>
      </c>
      <c r="F1418" s="9">
        <v>76</v>
      </c>
      <c r="G1418" s="6" t="s">
        <v>6493</v>
      </c>
      <c r="H1418" s="7" t="s">
        <v>39</v>
      </c>
      <c r="I1418" s="6" t="s">
        <v>122</v>
      </c>
      <c r="J1418" s="7" t="s">
        <v>20</v>
      </c>
      <c r="K1418" s="7" t="s">
        <v>26</v>
      </c>
      <c r="L1418" s="6"/>
      <c r="M1418" s="10">
        <v>5.9799999999999999E-2</v>
      </c>
      <c r="N1418" s="6" t="s">
        <v>6494</v>
      </c>
      <c r="O1418" s="11">
        <v>16000</v>
      </c>
      <c r="P1418" s="11"/>
      <c r="Q1418" s="18">
        <v>2000</v>
      </c>
      <c r="R1418" s="19"/>
    </row>
    <row r="1419" spans="1:18" ht="43.2" x14ac:dyDescent="0.3">
      <c r="A1419" s="6" t="s">
        <v>6495</v>
      </c>
      <c r="B1419" s="7" t="s">
        <v>830</v>
      </c>
      <c r="C1419" s="17" t="s">
        <v>6496</v>
      </c>
      <c r="D1419" s="17"/>
      <c r="E1419" s="8">
        <v>18088</v>
      </c>
      <c r="F1419" s="9">
        <v>73</v>
      </c>
      <c r="G1419" s="6" t="s">
        <v>6497</v>
      </c>
      <c r="H1419" s="7" t="s">
        <v>39</v>
      </c>
      <c r="I1419" s="6" t="s">
        <v>40</v>
      </c>
      <c r="J1419" s="7" t="s">
        <v>41</v>
      </c>
      <c r="K1419" s="7" t="s">
        <v>26</v>
      </c>
      <c r="L1419" s="9">
        <v>70</v>
      </c>
      <c r="M1419" s="10">
        <v>0.05</v>
      </c>
      <c r="N1419" s="6" t="s">
        <v>6498</v>
      </c>
      <c r="O1419" s="11">
        <v>24000</v>
      </c>
      <c r="P1419" s="11"/>
      <c r="Q1419" s="18">
        <v>3000</v>
      </c>
      <c r="R1419" s="19"/>
    </row>
    <row r="1420" spans="1:18" x14ac:dyDescent="0.3">
      <c r="A1420" s="6" t="s">
        <v>6499</v>
      </c>
      <c r="B1420" s="7" t="s">
        <v>4081</v>
      </c>
      <c r="C1420" s="17" t="s">
        <v>6500</v>
      </c>
      <c r="D1420" s="17"/>
      <c r="E1420" s="8">
        <v>16704</v>
      </c>
      <c r="F1420" s="9">
        <v>77</v>
      </c>
      <c r="G1420" s="6" t="s">
        <v>6501</v>
      </c>
      <c r="H1420" s="7" t="s">
        <v>25</v>
      </c>
      <c r="I1420" s="6"/>
      <c r="J1420" s="7" t="s">
        <v>41</v>
      </c>
      <c r="K1420" s="7" t="s">
        <v>32</v>
      </c>
      <c r="L1420" s="9">
        <v>74</v>
      </c>
      <c r="M1420" s="10">
        <v>5.67E-2</v>
      </c>
      <c r="N1420" s="6" t="s">
        <v>6502</v>
      </c>
      <c r="O1420" s="11">
        <v>8367.2900000000009</v>
      </c>
      <c r="P1420" s="11"/>
      <c r="Q1420" s="18">
        <v>8367.2900000000009</v>
      </c>
      <c r="R1420" s="19"/>
    </row>
    <row r="1421" spans="1:18" ht="43.2" x14ac:dyDescent="0.3">
      <c r="A1421" s="6" t="s">
        <v>6503</v>
      </c>
      <c r="B1421" s="7" t="s">
        <v>6504</v>
      </c>
      <c r="C1421" s="17" t="s">
        <v>6505</v>
      </c>
      <c r="D1421" s="17"/>
      <c r="E1421" s="8">
        <v>17693</v>
      </c>
      <c r="F1421" s="9">
        <v>74</v>
      </c>
      <c r="G1421" s="6" t="s">
        <v>6506</v>
      </c>
      <c r="H1421" s="7" t="s">
        <v>39</v>
      </c>
      <c r="I1421" s="6" t="s">
        <v>106</v>
      </c>
      <c r="J1421" s="7" t="s">
        <v>41</v>
      </c>
      <c r="K1421" s="7" t="s">
        <v>26</v>
      </c>
      <c r="L1421" s="9">
        <v>70</v>
      </c>
      <c r="M1421" s="10">
        <v>0.05</v>
      </c>
      <c r="N1421" s="6" t="s">
        <v>6507</v>
      </c>
      <c r="O1421" s="11">
        <v>32000</v>
      </c>
      <c r="P1421" s="11"/>
      <c r="Q1421" s="18">
        <v>4000</v>
      </c>
      <c r="R1421" s="19"/>
    </row>
    <row r="1422" spans="1:18" ht="28.8" hidden="1" x14ac:dyDescent="0.3">
      <c r="A1422" s="6" t="s">
        <v>6508</v>
      </c>
      <c r="B1422" s="7" t="s">
        <v>3015</v>
      </c>
      <c r="C1422" s="17" t="s">
        <v>6505</v>
      </c>
      <c r="D1422" s="17"/>
      <c r="E1422" s="8">
        <v>18354</v>
      </c>
      <c r="F1422" s="9">
        <v>72</v>
      </c>
      <c r="G1422" s="6" t="s">
        <v>6509</v>
      </c>
      <c r="H1422" s="7" t="s">
        <v>39</v>
      </c>
      <c r="I1422" s="6" t="s">
        <v>2315</v>
      </c>
      <c r="J1422" s="7" t="s">
        <v>20</v>
      </c>
      <c r="K1422" s="7" t="s">
        <v>26</v>
      </c>
      <c r="L1422" s="6"/>
      <c r="M1422" s="10">
        <v>5.3999999999999999E-2</v>
      </c>
      <c r="N1422" s="6" t="s">
        <v>6510</v>
      </c>
      <c r="O1422" s="11">
        <v>85000</v>
      </c>
      <c r="P1422" s="11"/>
      <c r="Q1422" s="18">
        <v>19813.009999999998</v>
      </c>
      <c r="R1422" s="19"/>
    </row>
    <row r="1423" spans="1:18" hidden="1" x14ac:dyDescent="0.3">
      <c r="A1423" s="6" t="s">
        <v>6511</v>
      </c>
      <c r="B1423" s="7" t="s">
        <v>6512</v>
      </c>
      <c r="C1423" s="17" t="s">
        <v>6513</v>
      </c>
      <c r="D1423" s="17"/>
      <c r="E1423" s="8">
        <v>18544</v>
      </c>
      <c r="F1423" s="9">
        <v>72</v>
      </c>
      <c r="G1423" s="6" t="s">
        <v>6514</v>
      </c>
      <c r="H1423" s="7" t="s">
        <v>25</v>
      </c>
      <c r="I1423" s="6"/>
      <c r="J1423" s="7" t="s">
        <v>20</v>
      </c>
      <c r="K1423" s="7" t="s">
        <v>32</v>
      </c>
      <c r="L1423" s="6"/>
      <c r="M1423" s="10">
        <v>5.3999999999999999E-2</v>
      </c>
      <c r="N1423" s="6" t="s">
        <v>6515</v>
      </c>
      <c r="O1423" s="11">
        <v>19517.310000000001</v>
      </c>
      <c r="P1423" s="11"/>
      <c r="Q1423" s="18">
        <v>7.56</v>
      </c>
      <c r="R1423" s="19"/>
    </row>
    <row r="1424" spans="1:18" hidden="1" x14ac:dyDescent="0.3">
      <c r="A1424" s="6" t="s">
        <v>6516</v>
      </c>
      <c r="B1424" s="7" t="s">
        <v>129</v>
      </c>
      <c r="C1424" s="17" t="s">
        <v>6513</v>
      </c>
      <c r="D1424" s="17"/>
      <c r="E1424" s="7" t="s">
        <v>6517</v>
      </c>
      <c r="F1424" s="9">
        <v>76</v>
      </c>
      <c r="G1424" s="6" t="s">
        <v>6518</v>
      </c>
      <c r="H1424" s="7" t="s">
        <v>25</v>
      </c>
      <c r="I1424" s="6" t="s">
        <v>19</v>
      </c>
      <c r="J1424" s="7" t="s">
        <v>41</v>
      </c>
      <c r="K1424" s="7" t="s">
        <v>26</v>
      </c>
      <c r="L1424" s="9">
        <v>72</v>
      </c>
      <c r="M1424" s="10">
        <v>5.3999999999999999E-2</v>
      </c>
      <c r="N1424" s="6" t="s">
        <v>6519</v>
      </c>
      <c r="O1424" s="6" t="s">
        <v>19</v>
      </c>
      <c r="P1424" s="6"/>
      <c r="Q1424" s="19" t="s">
        <v>19</v>
      </c>
      <c r="R1424" s="19"/>
    </row>
    <row r="1425" spans="1:18" hidden="1" x14ac:dyDescent="0.3">
      <c r="A1425" s="6" t="s">
        <v>6520</v>
      </c>
      <c r="B1425" s="7" t="s">
        <v>6521</v>
      </c>
      <c r="C1425" s="17" t="s">
        <v>6513</v>
      </c>
      <c r="D1425" s="17"/>
      <c r="E1425" s="7" t="s">
        <v>6522</v>
      </c>
      <c r="F1425" s="9">
        <v>73</v>
      </c>
      <c r="G1425" s="6" t="s">
        <v>6523</v>
      </c>
      <c r="H1425" s="7" t="s">
        <v>25</v>
      </c>
      <c r="I1425" s="6" t="s">
        <v>19</v>
      </c>
      <c r="J1425" s="7" t="s">
        <v>41</v>
      </c>
      <c r="K1425" s="7" t="s">
        <v>26</v>
      </c>
      <c r="L1425" s="9">
        <v>72</v>
      </c>
      <c r="M1425" s="10">
        <v>5.3999999999999999E-2</v>
      </c>
      <c r="N1425" s="6" t="s">
        <v>6524</v>
      </c>
      <c r="O1425" s="6" t="s">
        <v>19</v>
      </c>
      <c r="P1425" s="6"/>
      <c r="Q1425" s="19" t="s">
        <v>19</v>
      </c>
      <c r="R1425" s="19"/>
    </row>
    <row r="1426" spans="1:18" ht="28.8" x14ac:dyDescent="0.3">
      <c r="A1426" s="6" t="s">
        <v>6525</v>
      </c>
      <c r="B1426" s="7" t="s">
        <v>6526</v>
      </c>
      <c r="C1426" s="17" t="s">
        <v>6513</v>
      </c>
      <c r="D1426" s="17"/>
      <c r="E1426" s="8">
        <v>18157</v>
      </c>
      <c r="F1426" s="9">
        <v>73</v>
      </c>
      <c r="G1426" s="6" t="s">
        <v>6527</v>
      </c>
      <c r="H1426" s="7" t="s">
        <v>25</v>
      </c>
      <c r="I1426" s="6"/>
      <c r="J1426" s="7" t="s">
        <v>41</v>
      </c>
      <c r="K1426" s="7" t="s">
        <v>26</v>
      </c>
      <c r="L1426" s="9">
        <v>73</v>
      </c>
      <c r="M1426" s="10">
        <v>5.5300000000000002E-2</v>
      </c>
      <c r="N1426" s="6" t="s">
        <v>6528</v>
      </c>
      <c r="O1426" s="11">
        <v>32217.119999999999</v>
      </c>
      <c r="P1426" s="11"/>
      <c r="Q1426" s="18">
        <v>4027.14</v>
      </c>
      <c r="R1426" s="19"/>
    </row>
    <row r="1427" spans="1:18" hidden="1" x14ac:dyDescent="0.3">
      <c r="A1427" s="6" t="s">
        <v>6529</v>
      </c>
      <c r="B1427" s="7" t="s">
        <v>918</v>
      </c>
      <c r="C1427" s="17" t="s">
        <v>6513</v>
      </c>
      <c r="D1427" s="17"/>
      <c r="E1427" s="8">
        <v>17982</v>
      </c>
      <c r="F1427" s="9">
        <v>73</v>
      </c>
      <c r="G1427" s="6" t="s">
        <v>6530</v>
      </c>
      <c r="H1427" s="7" t="s">
        <v>25</v>
      </c>
      <c r="I1427" s="6"/>
      <c r="J1427" s="7" t="s">
        <v>20</v>
      </c>
      <c r="K1427" s="7" t="s">
        <v>26</v>
      </c>
      <c r="L1427" s="6"/>
      <c r="M1427" s="10">
        <v>5.5300000000000002E-2</v>
      </c>
      <c r="N1427" s="6" t="s">
        <v>6531</v>
      </c>
      <c r="O1427" s="11">
        <v>14744</v>
      </c>
      <c r="P1427" s="11"/>
      <c r="Q1427" s="18">
        <v>1843</v>
      </c>
      <c r="R1427" s="19"/>
    </row>
    <row r="1428" spans="1:18" x14ac:dyDescent="0.3">
      <c r="A1428" s="6" t="s">
        <v>6532</v>
      </c>
      <c r="B1428" s="7" t="s">
        <v>6322</v>
      </c>
      <c r="C1428" s="17" t="s">
        <v>6513</v>
      </c>
      <c r="D1428" s="17"/>
      <c r="E1428" s="8">
        <v>18150</v>
      </c>
      <c r="F1428" s="9">
        <v>73</v>
      </c>
      <c r="G1428" s="6" t="s">
        <v>6533</v>
      </c>
      <c r="H1428" s="7" t="s">
        <v>25</v>
      </c>
      <c r="I1428" s="6"/>
      <c r="J1428" s="7" t="s">
        <v>41</v>
      </c>
      <c r="K1428" s="7" t="s">
        <v>26</v>
      </c>
      <c r="L1428" s="9">
        <v>73</v>
      </c>
      <c r="M1428" s="10">
        <v>5.5300000000000002E-2</v>
      </c>
      <c r="N1428" s="6" t="s">
        <v>6534</v>
      </c>
      <c r="O1428" s="11">
        <v>20540.88</v>
      </c>
      <c r="P1428" s="11"/>
      <c r="Q1428" s="18">
        <v>120.46</v>
      </c>
      <c r="R1428" s="19"/>
    </row>
    <row r="1429" spans="1:18" hidden="1" x14ac:dyDescent="0.3">
      <c r="A1429" s="6" t="s">
        <v>6535</v>
      </c>
      <c r="B1429" s="7" t="s">
        <v>6536</v>
      </c>
      <c r="C1429" s="17" t="s">
        <v>6537</v>
      </c>
      <c r="D1429" s="17"/>
      <c r="E1429" s="8">
        <v>17268</v>
      </c>
      <c r="F1429" s="9">
        <v>75</v>
      </c>
      <c r="G1429" s="6" t="s">
        <v>6538</v>
      </c>
      <c r="H1429" s="7" t="s">
        <v>25</v>
      </c>
      <c r="I1429" s="6"/>
      <c r="J1429" s="7" t="s">
        <v>20</v>
      </c>
      <c r="K1429" s="7" t="s">
        <v>26</v>
      </c>
      <c r="L1429" s="6"/>
      <c r="M1429" s="10">
        <v>5.8200000000000002E-2</v>
      </c>
      <c r="N1429" s="6" t="s">
        <v>6539</v>
      </c>
      <c r="O1429" s="11">
        <v>45725.120000000003</v>
      </c>
      <c r="P1429" s="11"/>
      <c r="Q1429" s="18">
        <v>5715.64</v>
      </c>
      <c r="R1429" s="19"/>
    </row>
    <row r="1430" spans="1:18" hidden="1" x14ac:dyDescent="0.3">
      <c r="A1430" s="6" t="s">
        <v>6540</v>
      </c>
      <c r="B1430" s="7" t="s">
        <v>81</v>
      </c>
      <c r="C1430" s="17" t="s">
        <v>6537</v>
      </c>
      <c r="D1430" s="17"/>
      <c r="E1430" s="7" t="s">
        <v>6541</v>
      </c>
      <c r="F1430" s="9">
        <v>72</v>
      </c>
      <c r="G1430" s="6" t="s">
        <v>6542</v>
      </c>
      <c r="H1430" s="7" t="s">
        <v>19</v>
      </c>
      <c r="I1430" s="6" t="s">
        <v>19</v>
      </c>
      <c r="J1430" s="7" t="s">
        <v>20</v>
      </c>
      <c r="K1430" s="7"/>
      <c r="L1430" s="6"/>
      <c r="M1430" s="10">
        <v>5.3999999999999999E-2</v>
      </c>
      <c r="N1430" s="6" t="s">
        <v>6543</v>
      </c>
      <c r="O1430" s="6" t="s">
        <v>19</v>
      </c>
      <c r="P1430" s="6"/>
      <c r="Q1430" s="19" t="s">
        <v>19</v>
      </c>
      <c r="R1430" s="19"/>
    </row>
    <row r="1431" spans="1:18" ht="28.8" x14ac:dyDescent="0.3">
      <c r="A1431" s="6" t="s">
        <v>6544</v>
      </c>
      <c r="B1431" s="7" t="s">
        <v>330</v>
      </c>
      <c r="C1431" s="17" t="s">
        <v>6545</v>
      </c>
      <c r="D1431" s="17"/>
      <c r="E1431" s="8">
        <v>18561</v>
      </c>
      <c r="F1431" s="9">
        <v>72</v>
      </c>
      <c r="G1431" s="6" t="s">
        <v>6546</v>
      </c>
      <c r="H1431" s="7" t="s">
        <v>39</v>
      </c>
      <c r="I1431" s="6" t="s">
        <v>1160</v>
      </c>
      <c r="J1431" s="7" t="s">
        <v>41</v>
      </c>
      <c r="K1431" s="7" t="s">
        <v>26</v>
      </c>
      <c r="L1431" s="9">
        <v>69</v>
      </c>
      <c r="M1431" s="10">
        <v>4.7600000000000003E-2</v>
      </c>
      <c r="N1431" s="6" t="s">
        <v>6547</v>
      </c>
      <c r="O1431" s="11">
        <v>3200</v>
      </c>
      <c r="P1431" s="11"/>
      <c r="Q1431" s="18">
        <v>7.78</v>
      </c>
      <c r="R1431" s="19"/>
    </row>
    <row r="1432" spans="1:18" ht="28.8" hidden="1" x14ac:dyDescent="0.3">
      <c r="A1432" s="6" t="s">
        <v>6548</v>
      </c>
      <c r="B1432" s="7" t="s">
        <v>435</v>
      </c>
      <c r="C1432" s="17" t="s">
        <v>6549</v>
      </c>
      <c r="D1432" s="17"/>
      <c r="E1432" s="8">
        <v>16975</v>
      </c>
      <c r="F1432" s="9">
        <v>76</v>
      </c>
      <c r="G1432" s="6" t="s">
        <v>6550</v>
      </c>
      <c r="H1432" s="7" t="s">
        <v>39</v>
      </c>
      <c r="I1432" s="6" t="s">
        <v>941</v>
      </c>
      <c r="J1432" s="7" t="s">
        <v>20</v>
      </c>
      <c r="K1432" s="7" t="s">
        <v>26</v>
      </c>
      <c r="L1432" s="6"/>
      <c r="M1432" s="10">
        <v>5.9799999999999999E-2</v>
      </c>
      <c r="N1432" s="6" t="s">
        <v>6551</v>
      </c>
      <c r="O1432" s="11">
        <v>2400</v>
      </c>
      <c r="P1432" s="11"/>
      <c r="Q1432" s="18">
        <v>116.76</v>
      </c>
      <c r="R1432" s="19"/>
    </row>
    <row r="1433" spans="1:18" hidden="1" x14ac:dyDescent="0.3">
      <c r="A1433" s="6" t="s">
        <v>6552</v>
      </c>
      <c r="B1433" s="7" t="s">
        <v>678</v>
      </c>
      <c r="C1433" s="17" t="s">
        <v>6553</v>
      </c>
      <c r="D1433" s="17"/>
      <c r="E1433" s="7" t="s">
        <v>6554</v>
      </c>
      <c r="F1433" s="9">
        <v>74</v>
      </c>
      <c r="G1433" s="6" t="s">
        <v>6555</v>
      </c>
      <c r="H1433" s="7" t="s">
        <v>25</v>
      </c>
      <c r="I1433" s="6" t="s">
        <v>19</v>
      </c>
      <c r="J1433" s="7" t="s">
        <v>20</v>
      </c>
      <c r="K1433" s="7" t="s">
        <v>32</v>
      </c>
      <c r="L1433" s="6"/>
      <c r="M1433" s="10">
        <v>5.67E-2</v>
      </c>
      <c r="N1433" s="6" t="s">
        <v>6556</v>
      </c>
      <c r="O1433" s="6" t="s">
        <v>19</v>
      </c>
      <c r="P1433" s="6"/>
      <c r="Q1433" s="19" t="s">
        <v>19</v>
      </c>
      <c r="R1433" s="19"/>
    </row>
    <row r="1434" spans="1:18" ht="43.2" hidden="1" x14ac:dyDescent="0.3">
      <c r="A1434" s="6" t="s">
        <v>6557</v>
      </c>
      <c r="B1434" s="7" t="s">
        <v>292</v>
      </c>
      <c r="C1434" s="17" t="s">
        <v>6558</v>
      </c>
      <c r="D1434" s="17"/>
      <c r="E1434" s="8">
        <v>16388</v>
      </c>
      <c r="F1434" s="9">
        <v>78</v>
      </c>
      <c r="G1434" s="6" t="s">
        <v>6559</v>
      </c>
      <c r="H1434" s="7" t="s">
        <v>39</v>
      </c>
      <c r="I1434" s="6" t="s">
        <v>6560</v>
      </c>
      <c r="J1434" s="7" t="s">
        <v>20</v>
      </c>
      <c r="K1434" s="7" t="s">
        <v>26</v>
      </c>
      <c r="L1434" s="6"/>
      <c r="M1434" s="10">
        <v>6.3600000000000004E-2</v>
      </c>
      <c r="N1434" s="6" t="s">
        <v>6561</v>
      </c>
      <c r="O1434" s="11">
        <v>29920</v>
      </c>
      <c r="P1434" s="11"/>
      <c r="Q1434" s="18">
        <v>3740</v>
      </c>
      <c r="R1434" s="19"/>
    </row>
    <row r="1435" spans="1:18" hidden="1" x14ac:dyDescent="0.3">
      <c r="A1435" s="6" t="s">
        <v>6562</v>
      </c>
      <c r="B1435" s="7" t="s">
        <v>6563</v>
      </c>
      <c r="C1435" s="17" t="s">
        <v>6564</v>
      </c>
      <c r="D1435" s="17"/>
      <c r="E1435" s="8">
        <v>17895</v>
      </c>
      <c r="F1435" s="9">
        <v>74</v>
      </c>
      <c r="G1435" s="6" t="s">
        <v>6565</v>
      </c>
      <c r="H1435" s="7" t="s">
        <v>25</v>
      </c>
      <c r="I1435" s="6"/>
      <c r="J1435" s="7" t="s">
        <v>20</v>
      </c>
      <c r="K1435" s="7" t="s">
        <v>26</v>
      </c>
      <c r="L1435" s="6"/>
      <c r="M1435" s="10">
        <v>5.67E-2</v>
      </c>
      <c r="N1435" s="6" t="s">
        <v>6566</v>
      </c>
      <c r="O1435" s="11">
        <v>10000</v>
      </c>
      <c r="P1435" s="11"/>
      <c r="Q1435" s="18">
        <v>10000</v>
      </c>
      <c r="R1435" s="19"/>
    </row>
    <row r="1436" spans="1:18" hidden="1" x14ac:dyDescent="0.3">
      <c r="A1436" s="6" t="s">
        <v>6567</v>
      </c>
      <c r="B1436" s="7" t="s">
        <v>531</v>
      </c>
      <c r="C1436" s="17" t="s">
        <v>6568</v>
      </c>
      <c r="D1436" s="17"/>
      <c r="E1436" s="7" t="s">
        <v>6569</v>
      </c>
      <c r="F1436" s="9">
        <v>75</v>
      </c>
      <c r="G1436" s="6" t="s">
        <v>6570</v>
      </c>
      <c r="H1436" s="7" t="s">
        <v>25</v>
      </c>
      <c r="I1436" s="6" t="s">
        <v>19</v>
      </c>
      <c r="J1436" s="7" t="s">
        <v>20</v>
      </c>
      <c r="K1436" s="7" t="s">
        <v>26</v>
      </c>
      <c r="L1436" s="6"/>
      <c r="M1436" s="10">
        <v>5.8200000000000002E-2</v>
      </c>
      <c r="N1436" s="6" t="s">
        <v>6571</v>
      </c>
      <c r="O1436" s="6" t="s">
        <v>19</v>
      </c>
      <c r="P1436" s="6"/>
      <c r="Q1436" s="19" t="s">
        <v>19</v>
      </c>
      <c r="R1436" s="19"/>
    </row>
    <row r="1437" spans="1:18" hidden="1" x14ac:dyDescent="0.3">
      <c r="A1437" s="6" t="s">
        <v>6572</v>
      </c>
      <c r="B1437" s="7" t="s">
        <v>6573</v>
      </c>
      <c r="C1437" s="17" t="s">
        <v>6574</v>
      </c>
      <c r="D1437" s="17"/>
      <c r="E1437" s="8">
        <v>18046</v>
      </c>
      <c r="F1437" s="9">
        <v>73</v>
      </c>
      <c r="G1437" s="6" t="s">
        <v>6575</v>
      </c>
      <c r="H1437" s="7" t="s">
        <v>25</v>
      </c>
      <c r="I1437" s="6"/>
      <c r="J1437" s="7" t="s">
        <v>20</v>
      </c>
      <c r="K1437" s="7" t="s">
        <v>26</v>
      </c>
      <c r="L1437" s="6"/>
      <c r="M1437" s="10">
        <v>5.5300000000000002E-2</v>
      </c>
      <c r="N1437" s="6" t="s">
        <v>6576</v>
      </c>
      <c r="O1437" s="11">
        <v>5111.16</v>
      </c>
      <c r="P1437" s="11"/>
      <c r="Q1437" s="18">
        <v>769.55</v>
      </c>
      <c r="R1437" s="19"/>
    </row>
    <row r="1438" spans="1:18" x14ac:dyDescent="0.3">
      <c r="A1438" s="6" t="s">
        <v>6577</v>
      </c>
      <c r="B1438" s="7" t="s">
        <v>6578</v>
      </c>
      <c r="C1438" s="17" t="s">
        <v>6574</v>
      </c>
      <c r="D1438" s="17"/>
      <c r="E1438" s="8">
        <v>17018</v>
      </c>
      <c r="F1438" s="9">
        <v>76</v>
      </c>
      <c r="G1438" s="6" t="s">
        <v>6579</v>
      </c>
      <c r="H1438" s="7" t="s">
        <v>25</v>
      </c>
      <c r="I1438" s="6"/>
      <c r="J1438" s="7" t="s">
        <v>41</v>
      </c>
      <c r="K1438" s="7" t="s">
        <v>26</v>
      </c>
      <c r="L1438" s="9">
        <v>73</v>
      </c>
      <c r="M1438" s="10">
        <v>5.5300000000000002E-2</v>
      </c>
      <c r="N1438" s="6" t="s">
        <v>6580</v>
      </c>
      <c r="O1438" s="11">
        <v>7866.72</v>
      </c>
      <c r="P1438" s="11"/>
      <c r="Q1438" s="18">
        <v>1003.66</v>
      </c>
      <c r="R1438" s="19"/>
    </row>
    <row r="1439" spans="1:18" ht="43.2" hidden="1" x14ac:dyDescent="0.3">
      <c r="A1439" s="6" t="s">
        <v>6581</v>
      </c>
      <c r="B1439" s="7" t="s">
        <v>6582</v>
      </c>
      <c r="C1439" s="17" t="s">
        <v>6583</v>
      </c>
      <c r="D1439" s="17"/>
      <c r="E1439" s="8">
        <v>17069</v>
      </c>
      <c r="F1439" s="9">
        <v>76</v>
      </c>
      <c r="G1439" s="6" t="s">
        <v>6584</v>
      </c>
      <c r="H1439" s="7" t="s">
        <v>39</v>
      </c>
      <c r="I1439" s="6" t="s">
        <v>89</v>
      </c>
      <c r="J1439" s="7" t="s">
        <v>20</v>
      </c>
      <c r="K1439" s="7" t="s">
        <v>26</v>
      </c>
      <c r="L1439" s="6"/>
      <c r="M1439" s="10">
        <v>5.9799999999999999E-2</v>
      </c>
      <c r="N1439" s="6" t="s">
        <v>6585</v>
      </c>
      <c r="O1439" s="11">
        <v>9600</v>
      </c>
      <c r="P1439" s="11"/>
      <c r="Q1439" s="18">
        <v>1200</v>
      </c>
      <c r="R1439" s="19"/>
    </row>
    <row r="1440" spans="1:18" hidden="1" x14ac:dyDescent="0.3">
      <c r="A1440" s="6" t="s">
        <v>6586</v>
      </c>
      <c r="B1440" s="7" t="s">
        <v>158</v>
      </c>
      <c r="C1440" s="17" t="s">
        <v>6587</v>
      </c>
      <c r="D1440" s="17"/>
      <c r="E1440" s="8">
        <v>18311</v>
      </c>
      <c r="F1440" s="9">
        <v>72</v>
      </c>
      <c r="G1440" s="6" t="s">
        <v>6588</v>
      </c>
      <c r="H1440" s="7" t="s">
        <v>25</v>
      </c>
      <c r="I1440" s="6"/>
      <c r="J1440" s="7" t="s">
        <v>20</v>
      </c>
      <c r="K1440" s="7" t="s">
        <v>32</v>
      </c>
      <c r="L1440" s="6"/>
      <c r="M1440" s="10">
        <v>5.3999999999999999E-2</v>
      </c>
      <c r="N1440" s="6" t="s">
        <v>6589</v>
      </c>
      <c r="O1440" s="11">
        <v>6910.28</v>
      </c>
      <c r="P1440" s="11"/>
      <c r="Q1440" s="18">
        <v>5754.08</v>
      </c>
      <c r="R1440" s="19"/>
    </row>
    <row r="1441" spans="1:18" ht="28.8" hidden="1" x14ac:dyDescent="0.3">
      <c r="A1441" s="6" t="s">
        <v>6590</v>
      </c>
      <c r="B1441" s="7" t="s">
        <v>2192</v>
      </c>
      <c r="C1441" s="17" t="s">
        <v>6591</v>
      </c>
      <c r="D1441" s="17"/>
      <c r="E1441" s="8">
        <v>15607</v>
      </c>
      <c r="F1441" s="9">
        <v>80</v>
      </c>
      <c r="G1441" s="6" t="s">
        <v>6592</v>
      </c>
      <c r="H1441" s="7" t="s">
        <v>39</v>
      </c>
      <c r="I1441" s="6" t="s">
        <v>5193</v>
      </c>
      <c r="J1441" s="7" t="s">
        <v>20</v>
      </c>
      <c r="K1441" s="7" t="s">
        <v>26</v>
      </c>
      <c r="L1441" s="6"/>
      <c r="M1441" s="10">
        <v>6.8199999999999997E-2</v>
      </c>
      <c r="N1441" s="6" t="s">
        <v>6593</v>
      </c>
      <c r="O1441" s="11">
        <v>3000</v>
      </c>
      <c r="P1441" s="11"/>
      <c r="Q1441" s="18">
        <v>375</v>
      </c>
      <c r="R1441" s="19"/>
    </row>
    <row r="1442" spans="1:18" ht="43.2" hidden="1" x14ac:dyDescent="0.3">
      <c r="A1442" s="6" t="s">
        <v>6594</v>
      </c>
      <c r="B1442" s="7" t="s">
        <v>22</v>
      </c>
      <c r="C1442" s="17" t="s">
        <v>6591</v>
      </c>
      <c r="D1442" s="17"/>
      <c r="E1442" s="8">
        <v>18092</v>
      </c>
      <c r="F1442" s="9">
        <v>73</v>
      </c>
      <c r="G1442" s="6" t="s">
        <v>6595</v>
      </c>
      <c r="H1442" s="7" t="s">
        <v>39</v>
      </c>
      <c r="I1442" s="6" t="s">
        <v>6596</v>
      </c>
      <c r="J1442" s="7" t="s">
        <v>20</v>
      </c>
      <c r="K1442" s="7" t="s">
        <v>26</v>
      </c>
      <c r="L1442" s="6"/>
      <c r="M1442" s="10">
        <v>5.5300000000000002E-2</v>
      </c>
      <c r="N1442" s="6" t="s">
        <v>6597</v>
      </c>
      <c r="O1442" s="11">
        <v>21160</v>
      </c>
      <c r="P1442" s="11"/>
      <c r="Q1442" s="18">
        <v>2645</v>
      </c>
      <c r="R1442" s="19"/>
    </row>
    <row r="1443" spans="1:18" hidden="1" x14ac:dyDescent="0.3">
      <c r="A1443" s="6" t="s">
        <v>6598</v>
      </c>
      <c r="B1443" s="7" t="s">
        <v>6599</v>
      </c>
      <c r="C1443" s="17" t="s">
        <v>6600</v>
      </c>
      <c r="D1443" s="17"/>
      <c r="E1443" s="7" t="s">
        <v>3518</v>
      </c>
      <c r="F1443" s="9">
        <v>79</v>
      </c>
      <c r="G1443" s="6" t="s">
        <v>6601</v>
      </c>
      <c r="H1443" s="7" t="s">
        <v>25</v>
      </c>
      <c r="I1443" s="6" t="s">
        <v>19</v>
      </c>
      <c r="J1443" s="7" t="s">
        <v>41</v>
      </c>
      <c r="K1443" s="7" t="s">
        <v>32</v>
      </c>
      <c r="L1443" s="9">
        <v>76</v>
      </c>
      <c r="M1443" s="10">
        <v>5.9799999999999999E-2</v>
      </c>
      <c r="N1443" s="6" t="s">
        <v>6602</v>
      </c>
      <c r="O1443" s="6" t="s">
        <v>19</v>
      </c>
      <c r="P1443" s="6"/>
      <c r="Q1443" s="19" t="s">
        <v>19</v>
      </c>
      <c r="R1443" s="19"/>
    </row>
    <row r="1444" spans="1:18" hidden="1" x14ac:dyDescent="0.3">
      <c r="A1444" s="6" t="s">
        <v>6603</v>
      </c>
      <c r="B1444" s="7" t="s">
        <v>6604</v>
      </c>
      <c r="C1444" s="17" t="s">
        <v>6600</v>
      </c>
      <c r="D1444" s="17"/>
      <c r="E1444" s="8">
        <v>18521</v>
      </c>
      <c r="F1444" s="9">
        <v>72</v>
      </c>
      <c r="G1444" s="6" t="s">
        <v>6605</v>
      </c>
      <c r="H1444" s="7" t="s">
        <v>25</v>
      </c>
      <c r="I1444" s="6"/>
      <c r="J1444" s="7" t="s">
        <v>20</v>
      </c>
      <c r="K1444" s="7" t="s">
        <v>32</v>
      </c>
      <c r="L1444" s="6"/>
      <c r="M1444" s="10">
        <v>5.3999999999999999E-2</v>
      </c>
      <c r="N1444" s="6" t="s">
        <v>6606</v>
      </c>
      <c r="O1444" s="11">
        <v>15103.48</v>
      </c>
      <c r="P1444" s="11"/>
      <c r="Q1444" s="18">
        <v>15103.48</v>
      </c>
      <c r="R1444" s="19"/>
    </row>
    <row r="1445" spans="1:18" hidden="1" x14ac:dyDescent="0.3">
      <c r="A1445" s="6" t="s">
        <v>6607</v>
      </c>
      <c r="B1445" s="7" t="s">
        <v>6608</v>
      </c>
      <c r="C1445" s="17" t="s">
        <v>6600</v>
      </c>
      <c r="D1445" s="17"/>
      <c r="E1445" s="7" t="s">
        <v>6609</v>
      </c>
      <c r="F1445" s="9">
        <v>76</v>
      </c>
      <c r="G1445" s="6" t="s">
        <v>6610</v>
      </c>
      <c r="H1445" s="7" t="s">
        <v>25</v>
      </c>
      <c r="I1445" s="6" t="s">
        <v>19</v>
      </c>
      <c r="J1445" s="7" t="s">
        <v>20</v>
      </c>
      <c r="K1445" s="7" t="s">
        <v>32</v>
      </c>
      <c r="L1445" s="6"/>
      <c r="M1445" s="10">
        <v>5.9799999999999999E-2</v>
      </c>
      <c r="N1445" s="6" t="s">
        <v>6611</v>
      </c>
      <c r="O1445" s="6" t="s">
        <v>19</v>
      </c>
      <c r="P1445" s="6"/>
      <c r="Q1445" s="19" t="s">
        <v>19</v>
      </c>
      <c r="R1445" s="19"/>
    </row>
    <row r="1446" spans="1:18" ht="43.2" x14ac:dyDescent="0.3">
      <c r="A1446" s="6" t="s">
        <v>6612</v>
      </c>
      <c r="B1446" s="7" t="s">
        <v>6613</v>
      </c>
      <c r="C1446" s="17" t="s">
        <v>6614</v>
      </c>
      <c r="D1446" s="17"/>
      <c r="E1446" s="8">
        <v>17298</v>
      </c>
      <c r="F1446" s="9">
        <v>75</v>
      </c>
      <c r="G1446" s="6" t="s">
        <v>6615</v>
      </c>
      <c r="H1446" s="7" t="s">
        <v>39</v>
      </c>
      <c r="I1446" s="6" t="s">
        <v>728</v>
      </c>
      <c r="J1446" s="7" t="s">
        <v>41</v>
      </c>
      <c r="K1446" s="7" t="s">
        <v>26</v>
      </c>
      <c r="L1446" s="9">
        <v>73</v>
      </c>
      <c r="M1446" s="10">
        <v>5.5300000000000002E-2</v>
      </c>
      <c r="N1446" s="6" t="s">
        <v>6616</v>
      </c>
      <c r="O1446" s="11">
        <v>28000</v>
      </c>
      <c r="P1446" s="11"/>
      <c r="Q1446" s="18">
        <v>3500</v>
      </c>
      <c r="R1446" s="19"/>
    </row>
    <row r="1447" spans="1:18" hidden="1" x14ac:dyDescent="0.3">
      <c r="A1447" s="6" t="s">
        <v>6617</v>
      </c>
      <c r="B1447" s="7" t="s">
        <v>424</v>
      </c>
      <c r="C1447" s="17" t="s">
        <v>6614</v>
      </c>
      <c r="D1447" s="17"/>
      <c r="E1447" s="7" t="s">
        <v>116</v>
      </c>
      <c r="F1447" s="9">
        <v>72</v>
      </c>
      <c r="G1447" s="6" t="s">
        <v>6618</v>
      </c>
      <c r="H1447" s="7" t="s">
        <v>25</v>
      </c>
      <c r="I1447" s="6" t="s">
        <v>19</v>
      </c>
      <c r="J1447" s="7" t="s">
        <v>20</v>
      </c>
      <c r="K1447" s="7" t="s">
        <v>26</v>
      </c>
      <c r="L1447" s="6"/>
      <c r="M1447" s="10">
        <v>5.3999999999999999E-2</v>
      </c>
      <c r="N1447" s="6" t="s">
        <v>6619</v>
      </c>
      <c r="O1447" s="6" t="s">
        <v>19</v>
      </c>
      <c r="P1447" s="6"/>
      <c r="Q1447" s="19" t="s">
        <v>19</v>
      </c>
      <c r="R1447" s="19"/>
    </row>
    <row r="1448" spans="1:18" hidden="1" x14ac:dyDescent="0.3">
      <c r="A1448" s="6" t="s">
        <v>6620</v>
      </c>
      <c r="B1448" s="7" t="s">
        <v>2565</v>
      </c>
      <c r="C1448" s="17" t="s">
        <v>6614</v>
      </c>
      <c r="D1448" s="17"/>
      <c r="E1448" s="8">
        <v>18176</v>
      </c>
      <c r="F1448" s="9">
        <v>73</v>
      </c>
      <c r="G1448" s="6" t="s">
        <v>6621</v>
      </c>
      <c r="H1448" s="7" t="s">
        <v>25</v>
      </c>
      <c r="I1448" s="6"/>
      <c r="J1448" s="7" t="s">
        <v>20</v>
      </c>
      <c r="K1448" s="7" t="s">
        <v>26</v>
      </c>
      <c r="L1448" s="6"/>
      <c r="M1448" s="10">
        <v>5.5300000000000002E-2</v>
      </c>
      <c r="N1448" s="6" t="s">
        <v>6622</v>
      </c>
      <c r="O1448" s="11">
        <v>12496.16</v>
      </c>
      <c r="P1448" s="11"/>
      <c r="Q1448" s="18">
        <v>1562.02</v>
      </c>
      <c r="R1448" s="19"/>
    </row>
    <row r="1449" spans="1:18" hidden="1" x14ac:dyDescent="0.3">
      <c r="A1449" s="6" t="s">
        <v>6623</v>
      </c>
      <c r="B1449" s="7" t="s">
        <v>125</v>
      </c>
      <c r="C1449" s="17" t="s">
        <v>6614</v>
      </c>
      <c r="D1449" s="17"/>
      <c r="E1449" s="8">
        <v>17560</v>
      </c>
      <c r="F1449" s="9">
        <v>74</v>
      </c>
      <c r="G1449" s="6" t="s">
        <v>6624</v>
      </c>
      <c r="H1449" s="7" t="s">
        <v>25</v>
      </c>
      <c r="I1449" s="6"/>
      <c r="J1449" s="7" t="s">
        <v>20</v>
      </c>
      <c r="K1449" s="7" t="s">
        <v>26</v>
      </c>
      <c r="L1449" s="6"/>
      <c r="M1449" s="10">
        <v>5.67E-2</v>
      </c>
      <c r="N1449" s="6" t="s">
        <v>6625</v>
      </c>
      <c r="O1449" s="11">
        <v>12992.16</v>
      </c>
      <c r="P1449" s="11"/>
      <c r="Q1449" s="18">
        <v>1624.02</v>
      </c>
      <c r="R1449" s="19"/>
    </row>
    <row r="1450" spans="1:18" ht="43.2" hidden="1" x14ac:dyDescent="0.3">
      <c r="A1450" s="6" t="s">
        <v>6626</v>
      </c>
      <c r="B1450" s="7" t="s">
        <v>4050</v>
      </c>
      <c r="C1450" s="17" t="s">
        <v>6614</v>
      </c>
      <c r="D1450" s="17"/>
      <c r="E1450" s="8">
        <v>18534</v>
      </c>
      <c r="F1450" s="9">
        <v>72</v>
      </c>
      <c r="G1450" s="6" t="s">
        <v>6627</v>
      </c>
      <c r="H1450" s="7" t="s">
        <v>39</v>
      </c>
      <c r="I1450" s="6" t="s">
        <v>6628</v>
      </c>
      <c r="J1450" s="7" t="s">
        <v>20</v>
      </c>
      <c r="K1450" s="7" t="s">
        <v>26</v>
      </c>
      <c r="L1450" s="6"/>
      <c r="M1450" s="10">
        <v>5.3999999999999999E-2</v>
      </c>
      <c r="N1450" s="6" t="s">
        <v>6629</v>
      </c>
      <c r="O1450" s="11">
        <v>35226</v>
      </c>
      <c r="P1450" s="11"/>
      <c r="Q1450" s="18">
        <v>4293</v>
      </c>
      <c r="R1450" s="19"/>
    </row>
    <row r="1451" spans="1:18" x14ac:dyDescent="0.3">
      <c r="A1451" s="6" t="s">
        <v>6630</v>
      </c>
      <c r="B1451" s="7" t="s">
        <v>6631</v>
      </c>
      <c r="C1451" s="17" t="s">
        <v>6632</v>
      </c>
      <c r="D1451" s="17"/>
      <c r="E1451" s="8">
        <v>15820</v>
      </c>
      <c r="F1451" s="9">
        <v>79</v>
      </c>
      <c r="G1451" s="6" t="s">
        <v>6633</v>
      </c>
      <c r="H1451" s="7" t="s">
        <v>25</v>
      </c>
      <c r="I1451" s="6"/>
      <c r="J1451" s="7" t="s">
        <v>41</v>
      </c>
      <c r="K1451" s="7" t="s">
        <v>32</v>
      </c>
      <c r="L1451" s="9">
        <v>74</v>
      </c>
      <c r="M1451" s="10">
        <v>5.67E-2</v>
      </c>
      <c r="N1451" s="6" t="s">
        <v>6634</v>
      </c>
      <c r="O1451" s="11">
        <v>70000</v>
      </c>
      <c r="P1451" s="11"/>
      <c r="Q1451" s="18">
        <v>70000</v>
      </c>
      <c r="R1451" s="19"/>
    </row>
    <row r="1452" spans="1:18" hidden="1" x14ac:dyDescent="0.3">
      <c r="A1452" s="6" t="s">
        <v>6635</v>
      </c>
      <c r="B1452" s="7" t="s">
        <v>640</v>
      </c>
      <c r="C1452" s="17" t="s">
        <v>6636</v>
      </c>
      <c r="D1452" s="17"/>
      <c r="E1452" s="8">
        <v>15487</v>
      </c>
      <c r="F1452" s="9">
        <v>80</v>
      </c>
      <c r="G1452" s="6" t="s">
        <v>6637</v>
      </c>
      <c r="H1452" s="7" t="s">
        <v>25</v>
      </c>
      <c r="I1452" s="6"/>
      <c r="J1452" s="7" t="s">
        <v>20</v>
      </c>
      <c r="K1452" s="7" t="s">
        <v>26</v>
      </c>
      <c r="L1452" s="6"/>
      <c r="M1452" s="10">
        <v>6.8199999999999997E-2</v>
      </c>
      <c r="N1452" s="6" t="s">
        <v>6638</v>
      </c>
      <c r="O1452" s="11">
        <v>32048.720000000001</v>
      </c>
      <c r="P1452" s="11"/>
      <c r="Q1452" s="18">
        <v>4006.09</v>
      </c>
      <c r="R1452" s="19"/>
    </row>
    <row r="1453" spans="1:18" hidden="1" x14ac:dyDescent="0.3">
      <c r="A1453" s="6" t="s">
        <v>6639</v>
      </c>
      <c r="B1453" s="7" t="s">
        <v>684</v>
      </c>
      <c r="C1453" s="17" t="s">
        <v>6640</v>
      </c>
      <c r="D1453" s="17"/>
      <c r="E1453" s="8">
        <v>17383</v>
      </c>
      <c r="F1453" s="9">
        <v>75</v>
      </c>
      <c r="G1453" s="6" t="s">
        <v>6641</v>
      </c>
      <c r="H1453" s="7" t="s">
        <v>25</v>
      </c>
      <c r="I1453" s="6"/>
      <c r="J1453" s="7" t="s">
        <v>20</v>
      </c>
      <c r="K1453" s="7" t="s">
        <v>26</v>
      </c>
      <c r="L1453" s="6"/>
      <c r="M1453" s="10">
        <v>5.8200000000000002E-2</v>
      </c>
      <c r="N1453" s="6" t="s">
        <v>6642</v>
      </c>
      <c r="O1453" s="11">
        <v>38069.599999999999</v>
      </c>
      <c r="P1453" s="11"/>
      <c r="Q1453" s="18">
        <v>4758.7</v>
      </c>
      <c r="R1453" s="19"/>
    </row>
    <row r="1454" spans="1:18" ht="43.2" hidden="1" x14ac:dyDescent="0.3">
      <c r="A1454" s="6" t="s">
        <v>6643</v>
      </c>
      <c r="B1454" s="7" t="s">
        <v>140</v>
      </c>
      <c r="C1454" s="17" t="s">
        <v>6644</v>
      </c>
      <c r="D1454" s="17"/>
      <c r="E1454" s="8">
        <v>18183</v>
      </c>
      <c r="F1454" s="9">
        <v>73</v>
      </c>
      <c r="G1454" s="6" t="s">
        <v>6645</v>
      </c>
      <c r="H1454" s="7" t="s">
        <v>39</v>
      </c>
      <c r="I1454" s="6" t="s">
        <v>6646</v>
      </c>
      <c r="J1454" s="7" t="s">
        <v>20</v>
      </c>
      <c r="K1454" s="7" t="s">
        <v>26</v>
      </c>
      <c r="L1454" s="6"/>
      <c r="M1454" s="10">
        <v>5.5300000000000002E-2</v>
      </c>
      <c r="N1454" s="6" t="s">
        <v>6647</v>
      </c>
      <c r="O1454" s="11">
        <v>20125</v>
      </c>
      <c r="P1454" s="11"/>
      <c r="Q1454" s="18">
        <v>4025</v>
      </c>
      <c r="R1454" s="19"/>
    </row>
    <row r="1455" spans="1:18" hidden="1" x14ac:dyDescent="0.3">
      <c r="A1455" s="6" t="s">
        <v>6648</v>
      </c>
      <c r="B1455" s="7" t="s">
        <v>6649</v>
      </c>
      <c r="C1455" s="17" t="s">
        <v>6650</v>
      </c>
      <c r="D1455" s="17"/>
      <c r="E1455" s="8">
        <v>15697</v>
      </c>
      <c r="F1455" s="9">
        <v>80</v>
      </c>
      <c r="G1455" s="6" t="s">
        <v>6651</v>
      </c>
      <c r="H1455" s="7" t="s">
        <v>25</v>
      </c>
      <c r="I1455" s="6"/>
      <c r="J1455" s="7" t="s">
        <v>20</v>
      </c>
      <c r="K1455" s="7" t="s">
        <v>26</v>
      </c>
      <c r="L1455" s="6"/>
      <c r="M1455" s="10">
        <v>6.8199999999999997E-2</v>
      </c>
      <c r="N1455" s="6" t="s">
        <v>6652</v>
      </c>
      <c r="O1455" s="11">
        <v>35254.32</v>
      </c>
      <c r="P1455" s="11"/>
      <c r="Q1455" s="18">
        <v>4406.79</v>
      </c>
      <c r="R1455" s="19"/>
    </row>
    <row r="1456" spans="1:18" ht="28.8" x14ac:dyDescent="0.3">
      <c r="A1456" s="6" t="s">
        <v>6653</v>
      </c>
      <c r="B1456" s="7" t="s">
        <v>6654</v>
      </c>
      <c r="C1456" s="17" t="s">
        <v>6655</v>
      </c>
      <c r="D1456" s="17"/>
      <c r="E1456" s="8">
        <v>17547</v>
      </c>
      <c r="F1456" s="9">
        <v>74</v>
      </c>
      <c r="G1456" s="6" t="s">
        <v>6656</v>
      </c>
      <c r="H1456" s="7" t="s">
        <v>39</v>
      </c>
      <c r="I1456" s="6" t="s">
        <v>2738</v>
      </c>
      <c r="J1456" s="7" t="s">
        <v>41</v>
      </c>
      <c r="K1456" s="7" t="s">
        <v>26</v>
      </c>
      <c r="L1456" s="9">
        <v>71</v>
      </c>
      <c r="M1456" s="10">
        <v>5.28E-2</v>
      </c>
      <c r="N1456" s="6" t="s">
        <v>6657</v>
      </c>
      <c r="O1456" s="11">
        <v>800</v>
      </c>
      <c r="P1456" s="11"/>
      <c r="Q1456" s="18">
        <v>100</v>
      </c>
      <c r="R1456" s="19"/>
    </row>
    <row r="1457" spans="1:18" ht="28.8" hidden="1" x14ac:dyDescent="0.3">
      <c r="A1457" s="6" t="s">
        <v>6658</v>
      </c>
      <c r="B1457" s="7" t="s">
        <v>2847</v>
      </c>
      <c r="C1457" s="17" t="s">
        <v>6659</v>
      </c>
      <c r="D1457" s="17"/>
      <c r="E1457" s="8">
        <v>14970</v>
      </c>
      <c r="F1457" s="9">
        <v>82</v>
      </c>
      <c r="G1457" s="6" t="s">
        <v>6660</v>
      </c>
      <c r="H1457" s="7" t="s">
        <v>39</v>
      </c>
      <c r="I1457" s="6" t="s">
        <v>1160</v>
      </c>
      <c r="J1457" s="7" t="s">
        <v>20</v>
      </c>
      <c r="K1457" s="7" t="s">
        <v>26</v>
      </c>
      <c r="L1457" s="6"/>
      <c r="M1457" s="10">
        <v>7.3800000000000004E-2</v>
      </c>
      <c r="N1457" s="6" t="s">
        <v>6661</v>
      </c>
      <c r="O1457" s="11">
        <v>3200</v>
      </c>
      <c r="P1457" s="11"/>
      <c r="Q1457" s="18">
        <v>400</v>
      </c>
      <c r="R1457" s="19"/>
    </row>
    <row r="1458" spans="1:18" ht="28.8" hidden="1" x14ac:dyDescent="0.3">
      <c r="A1458" s="6" t="s">
        <v>6662</v>
      </c>
      <c r="B1458" s="7" t="s">
        <v>2751</v>
      </c>
      <c r="C1458" s="17" t="s">
        <v>6663</v>
      </c>
      <c r="D1458" s="17"/>
      <c r="E1458" s="8">
        <v>17978</v>
      </c>
      <c r="F1458" s="9">
        <v>73</v>
      </c>
      <c r="G1458" s="6" t="s">
        <v>6664</v>
      </c>
      <c r="H1458" s="7" t="s">
        <v>39</v>
      </c>
      <c r="I1458" s="6" t="s">
        <v>6271</v>
      </c>
      <c r="J1458" s="7" t="s">
        <v>20</v>
      </c>
      <c r="K1458" s="7" t="s">
        <v>26</v>
      </c>
      <c r="L1458" s="6"/>
      <c r="M1458" s="10">
        <v>5.5300000000000002E-2</v>
      </c>
      <c r="N1458" s="6" t="s">
        <v>6665</v>
      </c>
      <c r="O1458" s="11">
        <v>3600</v>
      </c>
      <c r="P1458" s="11"/>
      <c r="Q1458" s="18">
        <v>222.51</v>
      </c>
      <c r="R1458" s="19"/>
    </row>
    <row r="1459" spans="1:18" ht="43.2" hidden="1" x14ac:dyDescent="0.3">
      <c r="A1459" s="6" t="s">
        <v>6666</v>
      </c>
      <c r="B1459" s="7" t="s">
        <v>81</v>
      </c>
      <c r="C1459" s="17" t="s">
        <v>6667</v>
      </c>
      <c r="D1459" s="17"/>
      <c r="E1459" s="8">
        <v>13565</v>
      </c>
      <c r="F1459" s="9">
        <v>85</v>
      </c>
      <c r="G1459" s="6" t="s">
        <v>6668</v>
      </c>
      <c r="H1459" s="7" t="s">
        <v>39</v>
      </c>
      <c r="I1459" s="6" t="s">
        <v>6669</v>
      </c>
      <c r="J1459" s="7" t="s">
        <v>20</v>
      </c>
      <c r="K1459" s="7" t="s">
        <v>26</v>
      </c>
      <c r="L1459" s="6"/>
      <c r="M1459" s="10">
        <v>8.5099999999999995E-2</v>
      </c>
      <c r="N1459" s="6" t="s">
        <v>6670</v>
      </c>
      <c r="O1459" s="11">
        <v>29595.360000000001</v>
      </c>
      <c r="P1459" s="11"/>
      <c r="Q1459" s="18">
        <v>3699.42</v>
      </c>
      <c r="R1459" s="19"/>
    </row>
    <row r="1460" spans="1:18" ht="43.2" hidden="1" x14ac:dyDescent="0.3">
      <c r="A1460" s="6" t="s">
        <v>6671</v>
      </c>
      <c r="B1460" s="7" t="s">
        <v>401</v>
      </c>
      <c r="C1460" s="17" t="s">
        <v>6672</v>
      </c>
      <c r="D1460" s="17"/>
      <c r="E1460" s="8">
        <v>17858</v>
      </c>
      <c r="F1460" s="9">
        <v>74</v>
      </c>
      <c r="G1460" s="6" t="s">
        <v>6673</v>
      </c>
      <c r="H1460" s="7" t="s">
        <v>39</v>
      </c>
      <c r="I1460" s="6" t="s">
        <v>122</v>
      </c>
      <c r="J1460" s="7" t="s">
        <v>20</v>
      </c>
      <c r="K1460" s="7" t="s">
        <v>26</v>
      </c>
      <c r="L1460" s="6"/>
      <c r="M1460" s="10">
        <v>5.67E-2</v>
      </c>
      <c r="N1460" s="6" t="s">
        <v>6674</v>
      </c>
      <c r="O1460" s="11">
        <v>16000</v>
      </c>
      <c r="P1460" s="11"/>
      <c r="Q1460" s="18">
        <v>2000</v>
      </c>
      <c r="R1460" s="19"/>
    </row>
    <row r="1461" spans="1:18" x14ac:dyDescent="0.3">
      <c r="A1461" s="6" t="s">
        <v>6675</v>
      </c>
      <c r="B1461" s="7" t="s">
        <v>3015</v>
      </c>
      <c r="C1461" s="17" t="s">
        <v>6676</v>
      </c>
      <c r="D1461" s="17"/>
      <c r="E1461" s="8">
        <v>18192</v>
      </c>
      <c r="F1461" s="9">
        <v>73</v>
      </c>
      <c r="G1461" s="6" t="s">
        <v>6677</v>
      </c>
      <c r="H1461" s="7" t="s">
        <v>25</v>
      </c>
      <c r="I1461" s="6"/>
      <c r="J1461" s="7" t="s">
        <v>41</v>
      </c>
      <c r="K1461" s="7" t="s">
        <v>26</v>
      </c>
      <c r="L1461" s="9">
        <v>70</v>
      </c>
      <c r="M1461" s="10">
        <v>0.05</v>
      </c>
      <c r="N1461" s="6" t="s">
        <v>6678</v>
      </c>
      <c r="O1461" s="11">
        <v>20542.080000000002</v>
      </c>
      <c r="P1461" s="11"/>
      <c r="Q1461" s="18">
        <v>2567.7600000000002</v>
      </c>
      <c r="R1461" s="19"/>
    </row>
    <row r="1462" spans="1:18" ht="28.8" hidden="1" x14ac:dyDescent="0.3">
      <c r="A1462" s="6" t="s">
        <v>6679</v>
      </c>
      <c r="B1462" s="7" t="s">
        <v>6680</v>
      </c>
      <c r="C1462" s="17" t="s">
        <v>6681</v>
      </c>
      <c r="D1462" s="17"/>
      <c r="E1462" s="8">
        <v>16810</v>
      </c>
      <c r="F1462" s="9">
        <v>76</v>
      </c>
      <c r="G1462" s="6" t="s">
        <v>6682</v>
      </c>
      <c r="H1462" s="7" t="s">
        <v>39</v>
      </c>
      <c r="I1462" s="6" t="s">
        <v>681</v>
      </c>
      <c r="J1462" s="7" t="s">
        <v>20</v>
      </c>
      <c r="K1462" s="7" t="s">
        <v>26</v>
      </c>
      <c r="L1462" s="6"/>
      <c r="M1462" s="10">
        <v>5.9799999999999999E-2</v>
      </c>
      <c r="N1462" s="6" t="s">
        <v>6683</v>
      </c>
      <c r="O1462" s="11">
        <v>5600</v>
      </c>
      <c r="P1462" s="11"/>
      <c r="Q1462" s="18">
        <v>700</v>
      </c>
      <c r="R1462" s="19"/>
    </row>
    <row r="1463" spans="1:18" hidden="1" x14ac:dyDescent="0.3">
      <c r="A1463" s="6" t="s">
        <v>6684</v>
      </c>
      <c r="B1463" s="7" t="s">
        <v>4661</v>
      </c>
      <c r="C1463" s="17" t="s">
        <v>8595</v>
      </c>
      <c r="D1463" s="17"/>
      <c r="E1463" s="8">
        <v>18468</v>
      </c>
      <c r="F1463" s="9">
        <v>72</v>
      </c>
      <c r="G1463" s="6" t="s">
        <v>6685</v>
      </c>
      <c r="H1463" s="7" t="s">
        <v>25</v>
      </c>
      <c r="I1463" s="6"/>
      <c r="J1463" s="7" t="s">
        <v>20</v>
      </c>
      <c r="K1463" s="7" t="s">
        <v>26</v>
      </c>
      <c r="L1463" s="6"/>
      <c r="M1463" s="10">
        <v>5.3999999999999999E-2</v>
      </c>
      <c r="N1463" s="6" t="s">
        <v>6686</v>
      </c>
      <c r="O1463" s="11">
        <v>2684.16</v>
      </c>
      <c r="P1463" s="11"/>
      <c r="Q1463" s="18">
        <v>335.52</v>
      </c>
      <c r="R1463" s="19"/>
    </row>
    <row r="1464" spans="1:18" hidden="1" x14ac:dyDescent="0.3">
      <c r="A1464" s="6" t="s">
        <v>6687</v>
      </c>
      <c r="B1464" s="7" t="s">
        <v>6688</v>
      </c>
      <c r="C1464" s="17" t="s">
        <v>5775</v>
      </c>
      <c r="D1464" s="17"/>
      <c r="E1464" s="7" t="s">
        <v>4538</v>
      </c>
      <c r="F1464" s="9">
        <v>75</v>
      </c>
      <c r="G1464" s="6" t="s">
        <v>6689</v>
      </c>
      <c r="H1464" s="7" t="s">
        <v>25</v>
      </c>
      <c r="I1464" s="6" t="s">
        <v>19</v>
      </c>
      <c r="J1464" s="7" t="s">
        <v>20</v>
      </c>
      <c r="K1464" s="7" t="s">
        <v>32</v>
      </c>
      <c r="L1464" s="6"/>
      <c r="M1464" s="10">
        <v>5.8200000000000002E-2</v>
      </c>
      <c r="N1464" s="6" t="s">
        <v>6690</v>
      </c>
      <c r="O1464" s="6" t="s">
        <v>19</v>
      </c>
      <c r="P1464" s="6"/>
      <c r="Q1464" s="19" t="s">
        <v>19</v>
      </c>
      <c r="R1464" s="19"/>
    </row>
    <row r="1465" spans="1:18" hidden="1" x14ac:dyDescent="0.3">
      <c r="A1465" s="6" t="s">
        <v>6691</v>
      </c>
      <c r="B1465" s="7" t="s">
        <v>6692</v>
      </c>
      <c r="C1465" s="17" t="s">
        <v>6693</v>
      </c>
      <c r="D1465" s="17"/>
      <c r="E1465" s="7" t="s">
        <v>6694</v>
      </c>
      <c r="F1465" s="9">
        <v>81</v>
      </c>
      <c r="G1465" s="6" t="s">
        <v>6695</v>
      </c>
      <c r="H1465" s="7" t="s">
        <v>25</v>
      </c>
      <c r="I1465" s="6" t="s">
        <v>19</v>
      </c>
      <c r="J1465" s="7" t="s">
        <v>20</v>
      </c>
      <c r="K1465" s="7" t="s">
        <v>32</v>
      </c>
      <c r="L1465" s="6"/>
      <c r="M1465" s="10">
        <v>7.0800000000000002E-2</v>
      </c>
      <c r="N1465" s="6" t="s">
        <v>6696</v>
      </c>
      <c r="O1465" s="6" t="s">
        <v>19</v>
      </c>
      <c r="P1465" s="6"/>
      <c r="Q1465" s="19" t="s">
        <v>19</v>
      </c>
      <c r="R1465" s="19"/>
    </row>
    <row r="1466" spans="1:18" x14ac:dyDescent="0.3">
      <c r="A1466" s="6" t="s">
        <v>6697</v>
      </c>
      <c r="B1466" s="7" t="s">
        <v>5458</v>
      </c>
      <c r="C1466" s="17" t="s">
        <v>6698</v>
      </c>
      <c r="D1466" s="17"/>
      <c r="E1466" s="8">
        <v>17516</v>
      </c>
      <c r="F1466" s="9">
        <v>75</v>
      </c>
      <c r="G1466" s="6" t="s">
        <v>6699</v>
      </c>
      <c r="H1466" s="7" t="s">
        <v>25</v>
      </c>
      <c r="I1466" s="6"/>
      <c r="J1466" s="7" t="s">
        <v>41</v>
      </c>
      <c r="K1466" s="7" t="s">
        <v>26</v>
      </c>
      <c r="L1466" s="9">
        <v>70</v>
      </c>
      <c r="M1466" s="10">
        <v>0.05</v>
      </c>
      <c r="N1466" s="6" t="s">
        <v>6700</v>
      </c>
      <c r="O1466" s="11">
        <v>5307.04</v>
      </c>
      <c r="P1466" s="11"/>
      <c r="Q1466" s="18">
        <v>663.38</v>
      </c>
      <c r="R1466" s="19"/>
    </row>
    <row r="1467" spans="1:18" hidden="1" x14ac:dyDescent="0.3">
      <c r="A1467" s="6" t="s">
        <v>6701</v>
      </c>
      <c r="B1467" s="7" t="s">
        <v>6702</v>
      </c>
      <c r="C1467" s="17" t="s">
        <v>6703</v>
      </c>
      <c r="D1467" s="17"/>
      <c r="E1467" s="8">
        <v>18099</v>
      </c>
      <c r="F1467" s="9">
        <v>73</v>
      </c>
      <c r="G1467" s="6" t="s">
        <v>6704</v>
      </c>
      <c r="H1467" s="7" t="s">
        <v>25</v>
      </c>
      <c r="I1467" s="6"/>
      <c r="J1467" s="7" t="s">
        <v>20</v>
      </c>
      <c r="K1467" s="7" t="s">
        <v>26</v>
      </c>
      <c r="L1467" s="6"/>
      <c r="M1467" s="10">
        <v>5.5300000000000002E-2</v>
      </c>
      <c r="N1467" s="6" t="s">
        <v>6705</v>
      </c>
      <c r="O1467" s="11">
        <v>33195.760000000002</v>
      </c>
      <c r="P1467" s="11"/>
      <c r="Q1467" s="18">
        <v>4.72</v>
      </c>
      <c r="R1467" s="19"/>
    </row>
    <row r="1468" spans="1:18" ht="43.2" x14ac:dyDescent="0.3">
      <c r="A1468" s="6" t="s">
        <v>6706</v>
      </c>
      <c r="B1468" s="7" t="s">
        <v>6707</v>
      </c>
      <c r="C1468" s="17" t="s">
        <v>2885</v>
      </c>
      <c r="D1468" s="17"/>
      <c r="E1468" s="8">
        <v>16962</v>
      </c>
      <c r="F1468" s="9">
        <v>76</v>
      </c>
      <c r="G1468" s="6" t="s">
        <v>6708</v>
      </c>
      <c r="H1468" s="7" t="s">
        <v>39</v>
      </c>
      <c r="I1468" s="6" t="s">
        <v>144</v>
      </c>
      <c r="J1468" s="7" t="s">
        <v>41</v>
      </c>
      <c r="K1468" s="7" t="s">
        <v>32</v>
      </c>
      <c r="L1468" s="9">
        <v>65</v>
      </c>
      <c r="M1468" s="10">
        <v>0.04</v>
      </c>
      <c r="N1468" s="6" t="s">
        <v>6709</v>
      </c>
      <c r="O1468" s="11">
        <v>5000</v>
      </c>
      <c r="P1468" s="11"/>
      <c r="Q1468" s="18">
        <v>5000</v>
      </c>
      <c r="R1468" s="19"/>
    </row>
    <row r="1469" spans="1:18" ht="43.2" hidden="1" x14ac:dyDescent="0.3">
      <c r="A1469" s="6" t="s">
        <v>6710</v>
      </c>
      <c r="B1469" s="7" t="s">
        <v>6711</v>
      </c>
      <c r="C1469" s="17" t="s">
        <v>3044</v>
      </c>
      <c r="D1469" s="17"/>
      <c r="E1469" s="8">
        <v>18506</v>
      </c>
      <c r="F1469" s="9">
        <v>72</v>
      </c>
      <c r="G1469" s="6" t="s">
        <v>6712</v>
      </c>
      <c r="H1469" s="7" t="s">
        <v>39</v>
      </c>
      <c r="I1469" s="6" t="s">
        <v>415</v>
      </c>
      <c r="J1469" s="7" t="s">
        <v>20</v>
      </c>
      <c r="K1469" s="7" t="s">
        <v>26</v>
      </c>
      <c r="L1469" s="6"/>
      <c r="M1469" s="10">
        <v>5.3999999999999999E-2</v>
      </c>
      <c r="N1469" s="6" t="s">
        <v>6713</v>
      </c>
      <c r="O1469" s="11">
        <v>13600</v>
      </c>
      <c r="P1469" s="11"/>
      <c r="Q1469" s="18">
        <v>2100</v>
      </c>
      <c r="R1469" s="19"/>
    </row>
    <row r="1470" spans="1:18" hidden="1" x14ac:dyDescent="0.3">
      <c r="A1470" s="6" t="s">
        <v>6714</v>
      </c>
      <c r="B1470" s="7" t="s">
        <v>6715</v>
      </c>
      <c r="C1470" s="17" t="s">
        <v>1194</v>
      </c>
      <c r="D1470" s="17"/>
      <c r="E1470" s="7" t="s">
        <v>6716</v>
      </c>
      <c r="F1470" s="9">
        <v>72</v>
      </c>
      <c r="G1470" s="6" t="s">
        <v>6717</v>
      </c>
      <c r="H1470" s="7" t="s">
        <v>19</v>
      </c>
      <c r="I1470" s="6" t="s">
        <v>19</v>
      </c>
      <c r="J1470" s="7" t="s">
        <v>20</v>
      </c>
      <c r="K1470" s="7"/>
      <c r="L1470" s="6"/>
      <c r="M1470" s="10">
        <v>5.3999999999999999E-2</v>
      </c>
      <c r="N1470" s="6" t="s">
        <v>6718</v>
      </c>
      <c r="O1470" s="6" t="s">
        <v>19</v>
      </c>
      <c r="P1470" s="6"/>
      <c r="Q1470" s="19" t="s">
        <v>19</v>
      </c>
      <c r="R1470" s="19"/>
    </row>
    <row r="1471" spans="1:18" hidden="1" x14ac:dyDescent="0.3">
      <c r="A1471" s="6" t="s">
        <v>6719</v>
      </c>
      <c r="B1471" s="7" t="s">
        <v>6720</v>
      </c>
      <c r="C1471" s="17" t="s">
        <v>6721</v>
      </c>
      <c r="D1471" s="17"/>
      <c r="E1471" s="8">
        <v>16933</v>
      </c>
      <c r="F1471" s="9">
        <v>76</v>
      </c>
      <c r="G1471" s="6" t="s">
        <v>6722</v>
      </c>
      <c r="H1471" s="7" t="s">
        <v>25</v>
      </c>
      <c r="I1471" s="6"/>
      <c r="J1471" s="7" t="s">
        <v>20</v>
      </c>
      <c r="K1471" s="7" t="s">
        <v>26</v>
      </c>
      <c r="L1471" s="6"/>
      <c r="M1471" s="10">
        <v>5.9799999999999999E-2</v>
      </c>
      <c r="N1471" s="6" t="s">
        <v>6723</v>
      </c>
      <c r="O1471" s="11">
        <v>4617.04</v>
      </c>
      <c r="P1471" s="11"/>
      <c r="Q1471" s="18">
        <v>577.13</v>
      </c>
      <c r="R1471" s="19"/>
    </row>
    <row r="1472" spans="1:18" ht="43.2" hidden="1" x14ac:dyDescent="0.3">
      <c r="A1472" s="6" t="s">
        <v>6724</v>
      </c>
      <c r="B1472" s="7" t="s">
        <v>6725</v>
      </c>
      <c r="C1472" s="17" t="s">
        <v>6726</v>
      </c>
      <c r="D1472" s="17"/>
      <c r="E1472" s="8">
        <v>17614</v>
      </c>
      <c r="F1472" s="9">
        <v>74</v>
      </c>
      <c r="G1472" s="6" t="s">
        <v>6727</v>
      </c>
      <c r="H1472" s="7" t="s">
        <v>39</v>
      </c>
      <c r="I1472" s="6" t="s">
        <v>267</v>
      </c>
      <c r="J1472" s="7" t="s">
        <v>20</v>
      </c>
      <c r="K1472" s="7" t="s">
        <v>26</v>
      </c>
      <c r="L1472" s="6"/>
      <c r="M1472" s="10">
        <v>5.67E-2</v>
      </c>
      <c r="N1472" s="6" t="s">
        <v>6728</v>
      </c>
      <c r="O1472" s="11">
        <v>25540</v>
      </c>
      <c r="P1472" s="11"/>
      <c r="Q1472" s="18">
        <v>2200</v>
      </c>
      <c r="R1472" s="19"/>
    </row>
    <row r="1473" spans="1:18" hidden="1" x14ac:dyDescent="0.3">
      <c r="A1473" s="6" t="s">
        <v>6729</v>
      </c>
      <c r="B1473" s="7" t="s">
        <v>3015</v>
      </c>
      <c r="C1473" s="17" t="s">
        <v>6730</v>
      </c>
      <c r="D1473" s="17"/>
      <c r="E1473" s="7" t="s">
        <v>6223</v>
      </c>
      <c r="F1473" s="9">
        <v>72</v>
      </c>
      <c r="G1473" s="6" t="s">
        <v>6731</v>
      </c>
      <c r="H1473" s="7" t="s">
        <v>25</v>
      </c>
      <c r="I1473" s="6" t="s">
        <v>19</v>
      </c>
      <c r="J1473" s="7" t="s">
        <v>41</v>
      </c>
      <c r="K1473" s="7" t="s">
        <v>32</v>
      </c>
      <c r="L1473" s="9">
        <v>71</v>
      </c>
      <c r="M1473" s="10">
        <v>5.28E-2</v>
      </c>
      <c r="N1473" s="6" t="s">
        <v>6732</v>
      </c>
      <c r="O1473" s="6" t="s">
        <v>19</v>
      </c>
      <c r="P1473" s="6"/>
      <c r="Q1473" s="19" t="s">
        <v>19</v>
      </c>
      <c r="R1473" s="19"/>
    </row>
    <row r="1474" spans="1:18" x14ac:dyDescent="0.3">
      <c r="A1474" s="6" t="s">
        <v>6733</v>
      </c>
      <c r="B1474" s="7" t="s">
        <v>6734</v>
      </c>
      <c r="C1474" s="17" t="s">
        <v>6735</v>
      </c>
      <c r="D1474" s="17"/>
      <c r="E1474" s="8">
        <v>15478</v>
      </c>
      <c r="F1474" s="9">
        <v>80</v>
      </c>
      <c r="G1474" s="6" t="s">
        <v>6736</v>
      </c>
      <c r="H1474" s="7" t="s">
        <v>25</v>
      </c>
      <c r="I1474" s="6"/>
      <c r="J1474" s="7" t="s">
        <v>41</v>
      </c>
      <c r="K1474" s="7" t="s">
        <v>32</v>
      </c>
      <c r="L1474" s="9">
        <v>76</v>
      </c>
      <c r="M1474" s="10">
        <v>5.9799999999999999E-2</v>
      </c>
      <c r="N1474" s="6" t="s">
        <v>6737</v>
      </c>
      <c r="O1474" s="11">
        <v>3945.07</v>
      </c>
      <c r="P1474" s="11"/>
      <c r="Q1474" s="18">
        <v>3945.07</v>
      </c>
      <c r="R1474" s="19"/>
    </row>
    <row r="1475" spans="1:18" ht="43.2" hidden="1" x14ac:dyDescent="0.3">
      <c r="A1475" s="6" t="s">
        <v>6738</v>
      </c>
      <c r="B1475" s="7" t="s">
        <v>6739</v>
      </c>
      <c r="C1475" s="17" t="s">
        <v>6740</v>
      </c>
      <c r="D1475" s="17"/>
      <c r="E1475" s="8">
        <v>18393</v>
      </c>
      <c r="F1475" s="9">
        <v>72</v>
      </c>
      <c r="G1475" s="6" t="s">
        <v>6741</v>
      </c>
      <c r="H1475" s="7" t="s">
        <v>39</v>
      </c>
      <c r="I1475" s="6" t="s">
        <v>132</v>
      </c>
      <c r="J1475" s="7" t="s">
        <v>20</v>
      </c>
      <c r="K1475" s="7" t="s">
        <v>26</v>
      </c>
      <c r="L1475" s="6"/>
      <c r="M1475" s="10">
        <v>5.3999999999999999E-2</v>
      </c>
      <c r="N1475" s="6" t="s">
        <v>6742</v>
      </c>
      <c r="O1475" s="11">
        <v>12000</v>
      </c>
      <c r="P1475" s="11"/>
      <c r="Q1475" s="18">
        <v>1500</v>
      </c>
      <c r="R1475" s="19"/>
    </row>
    <row r="1476" spans="1:18" ht="28.8" hidden="1" x14ac:dyDescent="0.3">
      <c r="A1476" s="6" t="s">
        <v>6743</v>
      </c>
      <c r="B1476" s="7" t="s">
        <v>3796</v>
      </c>
      <c r="C1476" s="17" t="s">
        <v>6744</v>
      </c>
      <c r="D1476" s="17"/>
      <c r="E1476" s="8">
        <v>17256</v>
      </c>
      <c r="F1476" s="9">
        <v>75</v>
      </c>
      <c r="G1476" s="6" t="s">
        <v>6745</v>
      </c>
      <c r="H1476" s="7" t="s">
        <v>39</v>
      </c>
      <c r="I1476" s="6" t="s">
        <v>176</v>
      </c>
      <c r="J1476" s="7" t="s">
        <v>20</v>
      </c>
      <c r="K1476" s="7" t="s">
        <v>26</v>
      </c>
      <c r="L1476" s="6"/>
      <c r="M1476" s="10">
        <v>5.8200000000000002E-2</v>
      </c>
      <c r="N1476" s="6" t="s">
        <v>6746</v>
      </c>
      <c r="O1476" s="11">
        <v>4800</v>
      </c>
      <c r="P1476" s="11"/>
      <c r="Q1476" s="18">
        <v>600</v>
      </c>
      <c r="R1476" s="19"/>
    </row>
    <row r="1477" spans="1:18" ht="43.2" hidden="1" x14ac:dyDescent="0.3">
      <c r="A1477" s="6" t="s">
        <v>6747</v>
      </c>
      <c r="B1477" s="7" t="s">
        <v>240</v>
      </c>
      <c r="C1477" s="17" t="s">
        <v>5275</v>
      </c>
      <c r="D1477" s="17"/>
      <c r="E1477" s="8">
        <v>16571</v>
      </c>
      <c r="F1477" s="9">
        <v>77</v>
      </c>
      <c r="G1477" s="6" t="s">
        <v>6748</v>
      </c>
      <c r="H1477" s="7" t="s">
        <v>39</v>
      </c>
      <c r="I1477" s="6" t="s">
        <v>6749</v>
      </c>
      <c r="J1477" s="7" t="s">
        <v>20</v>
      </c>
      <c r="K1477" s="7" t="s">
        <v>26</v>
      </c>
      <c r="L1477" s="6"/>
      <c r="M1477" s="10">
        <v>6.1699999999999998E-2</v>
      </c>
      <c r="N1477" s="6" t="s">
        <v>6750</v>
      </c>
      <c r="O1477" s="11">
        <v>17333.28</v>
      </c>
      <c r="P1477" s="11"/>
      <c r="Q1477" s="18">
        <v>2166.66</v>
      </c>
      <c r="R1477" s="19"/>
    </row>
    <row r="1478" spans="1:18" ht="28.8" hidden="1" x14ac:dyDescent="0.3">
      <c r="A1478" s="6" t="s">
        <v>6751</v>
      </c>
      <c r="B1478" s="7" t="s">
        <v>830</v>
      </c>
      <c r="C1478" s="17" t="s">
        <v>2597</v>
      </c>
      <c r="D1478" s="17"/>
      <c r="E1478" s="8">
        <v>16974</v>
      </c>
      <c r="F1478" s="9">
        <v>76</v>
      </c>
      <c r="G1478" s="6" t="s">
        <v>6752</v>
      </c>
      <c r="H1478" s="7" t="s">
        <v>39</v>
      </c>
      <c r="I1478" s="6" t="s">
        <v>176</v>
      </c>
      <c r="J1478" s="7" t="s">
        <v>20</v>
      </c>
      <c r="K1478" s="7" t="s">
        <v>26</v>
      </c>
      <c r="L1478" s="6"/>
      <c r="M1478" s="10">
        <v>5.9799999999999999E-2</v>
      </c>
      <c r="N1478" s="6" t="s">
        <v>6753</v>
      </c>
      <c r="O1478" s="11">
        <v>4800</v>
      </c>
      <c r="P1478" s="11"/>
      <c r="Q1478" s="18">
        <v>600</v>
      </c>
      <c r="R1478" s="19"/>
    </row>
    <row r="1479" spans="1:18" hidden="1" x14ac:dyDescent="0.3">
      <c r="A1479" s="6" t="s">
        <v>6754</v>
      </c>
      <c r="B1479" s="7" t="s">
        <v>2516</v>
      </c>
      <c r="C1479" s="17" t="s">
        <v>2224</v>
      </c>
      <c r="D1479" s="17"/>
      <c r="E1479" s="7" t="s">
        <v>6755</v>
      </c>
      <c r="F1479" s="9">
        <v>72</v>
      </c>
      <c r="G1479" s="6" t="s">
        <v>6756</v>
      </c>
      <c r="H1479" s="7" t="s">
        <v>19</v>
      </c>
      <c r="I1479" s="6" t="s">
        <v>19</v>
      </c>
      <c r="J1479" s="7" t="s">
        <v>20</v>
      </c>
      <c r="K1479" s="7"/>
      <c r="L1479" s="6"/>
      <c r="M1479" s="10">
        <v>5.3999999999999999E-2</v>
      </c>
      <c r="N1479" s="6" t="s">
        <v>6757</v>
      </c>
      <c r="O1479" s="6" t="s">
        <v>19</v>
      </c>
      <c r="P1479" s="6"/>
      <c r="Q1479" s="19" t="s">
        <v>19</v>
      </c>
      <c r="R1479" s="19"/>
    </row>
    <row r="1480" spans="1:18" hidden="1" x14ac:dyDescent="0.3">
      <c r="A1480" s="6" t="s">
        <v>6758</v>
      </c>
      <c r="B1480" s="7" t="s">
        <v>1048</v>
      </c>
      <c r="C1480" s="17" t="s">
        <v>6759</v>
      </c>
      <c r="D1480" s="17"/>
      <c r="E1480" s="7" t="s">
        <v>6760</v>
      </c>
      <c r="F1480" s="9">
        <v>73</v>
      </c>
      <c r="G1480" s="6" t="s">
        <v>6761</v>
      </c>
      <c r="H1480" s="7" t="s">
        <v>25</v>
      </c>
      <c r="I1480" s="6" t="s">
        <v>19</v>
      </c>
      <c r="J1480" s="7" t="s">
        <v>41</v>
      </c>
      <c r="K1480" s="7" t="s">
        <v>32</v>
      </c>
      <c r="L1480" s="9">
        <v>60</v>
      </c>
      <c r="M1480" s="10">
        <v>3.3300000000000003E-2</v>
      </c>
      <c r="N1480" s="6" t="s">
        <v>6762</v>
      </c>
      <c r="O1480" s="6" t="s">
        <v>19</v>
      </c>
      <c r="P1480" s="6"/>
      <c r="Q1480" s="19" t="s">
        <v>19</v>
      </c>
      <c r="R1480" s="19"/>
    </row>
    <row r="1481" spans="1:18" ht="43.2" hidden="1" x14ac:dyDescent="0.3">
      <c r="A1481" s="6" t="s">
        <v>6763</v>
      </c>
      <c r="B1481" s="7" t="s">
        <v>252</v>
      </c>
      <c r="C1481" s="17" t="s">
        <v>6764</v>
      </c>
      <c r="D1481" s="17"/>
      <c r="E1481" s="8">
        <v>17709</v>
      </c>
      <c r="F1481" s="9">
        <v>74</v>
      </c>
      <c r="G1481" s="6" t="s">
        <v>6765</v>
      </c>
      <c r="H1481" s="7" t="s">
        <v>39</v>
      </c>
      <c r="I1481" s="6" t="s">
        <v>728</v>
      </c>
      <c r="J1481" s="7" t="s">
        <v>20</v>
      </c>
      <c r="K1481" s="7" t="s">
        <v>26</v>
      </c>
      <c r="L1481" s="6"/>
      <c r="M1481" s="10">
        <v>5.67E-2</v>
      </c>
      <c r="N1481" s="6" t="s">
        <v>6766</v>
      </c>
      <c r="O1481" s="11">
        <v>28000</v>
      </c>
      <c r="P1481" s="11"/>
      <c r="Q1481" s="18">
        <v>3500</v>
      </c>
      <c r="R1481" s="19"/>
    </row>
    <row r="1482" spans="1:18" ht="43.2" hidden="1" x14ac:dyDescent="0.3">
      <c r="A1482" s="6" t="s">
        <v>6767</v>
      </c>
      <c r="B1482" s="7" t="s">
        <v>610</v>
      </c>
      <c r="C1482" s="17" t="s">
        <v>6768</v>
      </c>
      <c r="D1482" s="17"/>
      <c r="E1482" s="7" t="s">
        <v>6769</v>
      </c>
      <c r="F1482" s="9">
        <v>77</v>
      </c>
      <c r="G1482" s="6" t="s">
        <v>6770</v>
      </c>
      <c r="H1482" s="7" t="s">
        <v>39</v>
      </c>
      <c r="I1482" s="6" t="s">
        <v>728</v>
      </c>
      <c r="J1482" s="7" t="s">
        <v>20</v>
      </c>
      <c r="K1482" s="7" t="s">
        <v>32</v>
      </c>
      <c r="L1482" s="6"/>
      <c r="M1482" s="10">
        <v>6.1699999999999998E-2</v>
      </c>
      <c r="N1482" s="6" t="s">
        <v>6771</v>
      </c>
      <c r="O1482" s="6" t="s">
        <v>19</v>
      </c>
      <c r="P1482" s="6"/>
      <c r="Q1482" s="19" t="s">
        <v>19</v>
      </c>
      <c r="R1482" s="19"/>
    </row>
    <row r="1483" spans="1:18" x14ac:dyDescent="0.3">
      <c r="A1483" s="6" t="s">
        <v>6772</v>
      </c>
      <c r="B1483" s="7" t="s">
        <v>6692</v>
      </c>
      <c r="C1483" s="17" t="s">
        <v>5080</v>
      </c>
      <c r="D1483" s="17"/>
      <c r="E1483" s="8">
        <v>17527</v>
      </c>
      <c r="F1483" s="9">
        <v>75</v>
      </c>
      <c r="G1483" s="6" t="s">
        <v>6773</v>
      </c>
      <c r="H1483" s="7" t="s">
        <v>25</v>
      </c>
      <c r="I1483" s="6"/>
      <c r="J1483" s="7" t="s">
        <v>41</v>
      </c>
      <c r="K1483" s="7" t="s">
        <v>26</v>
      </c>
      <c r="L1483" s="9">
        <v>72</v>
      </c>
      <c r="M1483" s="10">
        <v>5.3999999999999999E-2</v>
      </c>
      <c r="N1483" s="6" t="s">
        <v>6774</v>
      </c>
      <c r="O1483" s="11">
        <v>18314.64</v>
      </c>
      <c r="P1483" s="11"/>
      <c r="Q1483" s="18">
        <v>2289.33</v>
      </c>
      <c r="R1483" s="19"/>
    </row>
    <row r="1484" spans="1:18" ht="28.8" hidden="1" x14ac:dyDescent="0.3">
      <c r="A1484" s="6" t="s">
        <v>6775</v>
      </c>
      <c r="B1484" s="7" t="s">
        <v>707</v>
      </c>
      <c r="C1484" s="17" t="s">
        <v>6776</v>
      </c>
      <c r="D1484" s="17"/>
      <c r="E1484" s="8">
        <v>16296</v>
      </c>
      <c r="F1484" s="9">
        <v>78</v>
      </c>
      <c r="G1484" s="6" t="s">
        <v>6777</v>
      </c>
      <c r="H1484" s="7" t="s">
        <v>39</v>
      </c>
      <c r="I1484" s="6" t="s">
        <v>1160</v>
      </c>
      <c r="J1484" s="7" t="s">
        <v>20</v>
      </c>
      <c r="K1484" s="7" t="s">
        <v>26</v>
      </c>
      <c r="L1484" s="6"/>
      <c r="M1484" s="10">
        <v>6.3600000000000004E-2</v>
      </c>
      <c r="N1484" s="6" t="s">
        <v>6778</v>
      </c>
      <c r="O1484" s="11">
        <v>3200</v>
      </c>
      <c r="P1484" s="11"/>
      <c r="Q1484" s="18">
        <v>400</v>
      </c>
      <c r="R1484" s="19"/>
    </row>
    <row r="1485" spans="1:18" hidden="1" x14ac:dyDescent="0.3">
      <c r="A1485" s="6" t="s">
        <v>6779</v>
      </c>
      <c r="B1485" s="7" t="s">
        <v>2192</v>
      </c>
      <c r="C1485" s="17" t="s">
        <v>2791</v>
      </c>
      <c r="D1485" s="17"/>
      <c r="E1485" s="8">
        <v>17564</v>
      </c>
      <c r="F1485" s="9">
        <v>74</v>
      </c>
      <c r="G1485" s="6" t="s">
        <v>6780</v>
      </c>
      <c r="H1485" s="7" t="s">
        <v>25</v>
      </c>
      <c r="I1485" s="6"/>
      <c r="J1485" s="7" t="s">
        <v>20</v>
      </c>
      <c r="K1485" s="7" t="s">
        <v>32</v>
      </c>
      <c r="L1485" s="6"/>
      <c r="M1485" s="10">
        <v>5.67E-2</v>
      </c>
      <c r="N1485" s="6" t="s">
        <v>6781</v>
      </c>
      <c r="O1485" s="11">
        <v>3835.13</v>
      </c>
      <c r="P1485" s="11"/>
      <c r="Q1485" s="18">
        <v>3835.13</v>
      </c>
      <c r="R1485" s="19"/>
    </row>
    <row r="1486" spans="1:18" ht="43.2" hidden="1" x14ac:dyDescent="0.3">
      <c r="A1486" s="6" t="s">
        <v>6782</v>
      </c>
      <c r="B1486" s="7" t="s">
        <v>2945</v>
      </c>
      <c r="C1486" s="17" t="s">
        <v>6783</v>
      </c>
      <c r="D1486" s="17"/>
      <c r="E1486" s="8">
        <v>18429</v>
      </c>
      <c r="F1486" s="9">
        <v>72</v>
      </c>
      <c r="G1486" s="6" t="s">
        <v>6784</v>
      </c>
      <c r="H1486" s="7" t="s">
        <v>39</v>
      </c>
      <c r="I1486" s="6" t="s">
        <v>47</v>
      </c>
      <c r="J1486" s="7" t="s">
        <v>20</v>
      </c>
      <c r="K1486" s="7" t="s">
        <v>26</v>
      </c>
      <c r="L1486" s="6"/>
      <c r="M1486" s="10">
        <v>5.3999999999999999E-2</v>
      </c>
      <c r="N1486" s="6" t="s">
        <v>6785</v>
      </c>
      <c r="O1486" s="11">
        <v>8000</v>
      </c>
      <c r="P1486" s="11"/>
      <c r="Q1486" s="18">
        <v>50.58</v>
      </c>
      <c r="R1486" s="19"/>
    </row>
    <row r="1487" spans="1:18" ht="43.2" hidden="1" x14ac:dyDescent="0.3">
      <c r="A1487" s="6" t="s">
        <v>6786</v>
      </c>
      <c r="B1487" s="7" t="s">
        <v>6787</v>
      </c>
      <c r="C1487" s="17" t="s">
        <v>6788</v>
      </c>
      <c r="D1487" s="17"/>
      <c r="E1487" s="8">
        <v>18182</v>
      </c>
      <c r="F1487" s="9">
        <v>73</v>
      </c>
      <c r="G1487" s="6" t="s">
        <v>6789</v>
      </c>
      <c r="H1487" s="7" t="s">
        <v>39</v>
      </c>
      <c r="I1487" s="6" t="s">
        <v>40</v>
      </c>
      <c r="J1487" s="7" t="s">
        <v>20</v>
      </c>
      <c r="K1487" s="7" t="s">
        <v>26</v>
      </c>
      <c r="L1487" s="6"/>
      <c r="M1487" s="10">
        <v>5.5300000000000002E-2</v>
      </c>
      <c r="N1487" s="6" t="s">
        <v>6790</v>
      </c>
      <c r="O1487" s="11">
        <v>24000</v>
      </c>
      <c r="P1487" s="11"/>
      <c r="Q1487" s="18">
        <v>3000</v>
      </c>
      <c r="R1487" s="19"/>
    </row>
    <row r="1488" spans="1:18" hidden="1" x14ac:dyDescent="0.3">
      <c r="A1488" s="6" t="s">
        <v>6791</v>
      </c>
      <c r="B1488" s="7" t="s">
        <v>276</v>
      </c>
      <c r="C1488" s="17" t="s">
        <v>6792</v>
      </c>
      <c r="D1488" s="17"/>
      <c r="E1488" s="8">
        <v>17632</v>
      </c>
      <c r="F1488" s="9">
        <v>74</v>
      </c>
      <c r="G1488" s="6" t="s">
        <v>6793</v>
      </c>
      <c r="H1488" s="7" t="s">
        <v>25</v>
      </c>
      <c r="I1488" s="6"/>
      <c r="J1488" s="7" t="s">
        <v>20</v>
      </c>
      <c r="K1488" s="7" t="s">
        <v>26</v>
      </c>
      <c r="L1488" s="6"/>
      <c r="M1488" s="10">
        <v>5.67E-2</v>
      </c>
      <c r="N1488" s="6" t="s">
        <v>6794</v>
      </c>
      <c r="O1488" s="11">
        <v>2753.76</v>
      </c>
      <c r="P1488" s="11"/>
      <c r="Q1488" s="18">
        <v>344.22</v>
      </c>
      <c r="R1488" s="19"/>
    </row>
    <row r="1489" spans="1:18" ht="43.2" hidden="1" x14ac:dyDescent="0.3">
      <c r="A1489" s="6" t="s">
        <v>6795</v>
      </c>
      <c r="B1489" s="7" t="s">
        <v>2890</v>
      </c>
      <c r="C1489" s="17" t="s">
        <v>1392</v>
      </c>
      <c r="D1489" s="17"/>
      <c r="E1489" s="8">
        <v>18382</v>
      </c>
      <c r="F1489" s="9">
        <v>72</v>
      </c>
      <c r="G1489" s="6" t="s">
        <v>6796</v>
      </c>
      <c r="H1489" s="7" t="s">
        <v>39</v>
      </c>
      <c r="I1489" s="6" t="s">
        <v>89</v>
      </c>
      <c r="J1489" s="7" t="s">
        <v>20</v>
      </c>
      <c r="K1489" s="7" t="s">
        <v>26</v>
      </c>
      <c r="L1489" s="6"/>
      <c r="M1489" s="10">
        <v>5.3999999999999999E-2</v>
      </c>
      <c r="N1489" s="6" t="s">
        <v>6797</v>
      </c>
      <c r="O1489" s="11">
        <v>8200</v>
      </c>
      <c r="P1489" s="11"/>
      <c r="Q1489" s="18">
        <v>1200</v>
      </c>
      <c r="R1489" s="19"/>
    </row>
    <row r="1490" spans="1:18" ht="43.2" hidden="1" x14ac:dyDescent="0.3">
      <c r="A1490" s="6" t="s">
        <v>6798</v>
      </c>
      <c r="B1490" s="7" t="s">
        <v>292</v>
      </c>
      <c r="C1490" s="17" t="s">
        <v>6799</v>
      </c>
      <c r="D1490" s="17"/>
      <c r="E1490" s="8">
        <v>18184</v>
      </c>
      <c r="F1490" s="9">
        <v>73</v>
      </c>
      <c r="G1490" s="6" t="s">
        <v>6800</v>
      </c>
      <c r="H1490" s="7" t="s">
        <v>39</v>
      </c>
      <c r="I1490" s="6" t="s">
        <v>47</v>
      </c>
      <c r="J1490" s="7" t="s">
        <v>20</v>
      </c>
      <c r="K1490" s="7" t="s">
        <v>26</v>
      </c>
      <c r="L1490" s="6"/>
      <c r="M1490" s="10">
        <v>5.5300000000000002E-2</v>
      </c>
      <c r="N1490" s="6" t="s">
        <v>6801</v>
      </c>
      <c r="O1490" s="11">
        <v>8000</v>
      </c>
      <c r="P1490" s="11"/>
      <c r="Q1490" s="18">
        <v>1000</v>
      </c>
      <c r="R1490" s="19"/>
    </row>
    <row r="1491" spans="1:18" hidden="1" x14ac:dyDescent="0.3">
      <c r="A1491" s="6" t="s">
        <v>6802</v>
      </c>
      <c r="B1491" s="7" t="s">
        <v>824</v>
      </c>
      <c r="C1491" s="17" t="s">
        <v>6803</v>
      </c>
      <c r="D1491" s="17"/>
      <c r="E1491" s="7" t="s">
        <v>6804</v>
      </c>
      <c r="F1491" s="9">
        <v>75</v>
      </c>
      <c r="G1491" s="6" t="s">
        <v>6805</v>
      </c>
      <c r="H1491" s="7" t="s">
        <v>25</v>
      </c>
      <c r="I1491" s="6" t="s">
        <v>19</v>
      </c>
      <c r="J1491" s="7" t="s">
        <v>20</v>
      </c>
      <c r="K1491" s="7" t="s">
        <v>32</v>
      </c>
      <c r="L1491" s="6"/>
      <c r="M1491" s="10">
        <v>5.8200000000000002E-2</v>
      </c>
      <c r="N1491" s="6" t="s">
        <v>6806</v>
      </c>
      <c r="O1491" s="6" t="s">
        <v>19</v>
      </c>
      <c r="P1491" s="6"/>
      <c r="Q1491" s="19" t="s">
        <v>19</v>
      </c>
      <c r="R1491" s="19"/>
    </row>
    <row r="1492" spans="1:18" ht="28.8" x14ac:dyDescent="0.3">
      <c r="A1492" s="6" t="s">
        <v>6807</v>
      </c>
      <c r="B1492" s="7" t="s">
        <v>1143</v>
      </c>
      <c r="C1492" s="17" t="s">
        <v>5806</v>
      </c>
      <c r="D1492" s="17"/>
      <c r="E1492" s="8">
        <v>17059</v>
      </c>
      <c r="F1492" s="9">
        <v>76</v>
      </c>
      <c r="G1492" s="6" t="s">
        <v>6808</v>
      </c>
      <c r="H1492" s="7" t="s">
        <v>39</v>
      </c>
      <c r="I1492" s="6" t="s">
        <v>321</v>
      </c>
      <c r="J1492" s="7" t="s">
        <v>41</v>
      </c>
      <c r="K1492" s="7" t="s">
        <v>26</v>
      </c>
      <c r="L1492" s="9">
        <v>74</v>
      </c>
      <c r="M1492" s="10">
        <v>5.67E-2</v>
      </c>
      <c r="N1492" s="6" t="s">
        <v>6809</v>
      </c>
      <c r="O1492" s="11">
        <v>4000</v>
      </c>
      <c r="P1492" s="11"/>
      <c r="Q1492" s="18">
        <v>500</v>
      </c>
      <c r="R1492" s="19"/>
    </row>
    <row r="1493" spans="1:18" hidden="1" x14ac:dyDescent="0.3">
      <c r="A1493" s="6" t="s">
        <v>6810</v>
      </c>
      <c r="B1493" s="7" t="s">
        <v>29</v>
      </c>
      <c r="C1493" s="17" t="s">
        <v>498</v>
      </c>
      <c r="D1493" s="17"/>
      <c r="E1493" s="7" t="s">
        <v>2130</v>
      </c>
      <c r="F1493" s="9">
        <v>74</v>
      </c>
      <c r="G1493" s="6" t="s">
        <v>6811</v>
      </c>
      <c r="H1493" s="7" t="s">
        <v>25</v>
      </c>
      <c r="I1493" s="6" t="s">
        <v>19</v>
      </c>
      <c r="J1493" s="7" t="s">
        <v>20</v>
      </c>
      <c r="K1493" s="7" t="s">
        <v>26</v>
      </c>
      <c r="L1493" s="6"/>
      <c r="M1493" s="10">
        <v>5.67E-2</v>
      </c>
      <c r="N1493" s="6" t="s">
        <v>6812</v>
      </c>
      <c r="O1493" s="6" t="s">
        <v>19</v>
      </c>
      <c r="P1493" s="6"/>
      <c r="Q1493" s="19" t="s">
        <v>19</v>
      </c>
      <c r="R1493" s="19"/>
    </row>
    <row r="1494" spans="1:18" ht="43.2" hidden="1" x14ac:dyDescent="0.3">
      <c r="A1494" s="6" t="s">
        <v>6813</v>
      </c>
      <c r="B1494" s="7" t="s">
        <v>1038</v>
      </c>
      <c r="C1494" s="17" t="s">
        <v>6814</v>
      </c>
      <c r="D1494" s="17"/>
      <c r="E1494" s="7" t="s">
        <v>6815</v>
      </c>
      <c r="F1494" s="9">
        <v>77</v>
      </c>
      <c r="G1494" s="6" t="s">
        <v>6816</v>
      </c>
      <c r="H1494" s="7" t="s">
        <v>39</v>
      </c>
      <c r="I1494" s="6" t="s">
        <v>6817</v>
      </c>
      <c r="J1494" s="7" t="s">
        <v>41</v>
      </c>
      <c r="K1494" s="7" t="s">
        <v>32</v>
      </c>
      <c r="L1494" s="9">
        <v>76</v>
      </c>
      <c r="M1494" s="10">
        <v>5.9799999999999999E-2</v>
      </c>
      <c r="N1494" s="6" t="s">
        <v>6818</v>
      </c>
      <c r="O1494" s="6" t="s">
        <v>19</v>
      </c>
      <c r="P1494" s="6"/>
      <c r="Q1494" s="19" t="s">
        <v>19</v>
      </c>
      <c r="R1494" s="19"/>
    </row>
    <row r="1495" spans="1:18" ht="43.2" x14ac:dyDescent="0.3">
      <c r="A1495" s="6" t="s">
        <v>6819</v>
      </c>
      <c r="B1495" s="7" t="s">
        <v>6820</v>
      </c>
      <c r="C1495" s="17" t="s">
        <v>6821</v>
      </c>
      <c r="D1495" s="17"/>
      <c r="E1495" s="8">
        <v>16951</v>
      </c>
      <c r="F1495" s="9">
        <v>76</v>
      </c>
      <c r="G1495" s="6" t="s">
        <v>6822</v>
      </c>
      <c r="H1495" s="7" t="s">
        <v>39</v>
      </c>
      <c r="I1495" s="6" t="s">
        <v>122</v>
      </c>
      <c r="J1495" s="7" t="s">
        <v>41</v>
      </c>
      <c r="K1495" s="7" t="s">
        <v>26</v>
      </c>
      <c r="L1495" s="9">
        <v>75</v>
      </c>
      <c r="M1495" s="10">
        <v>5.8200000000000002E-2</v>
      </c>
      <c r="N1495" s="6" t="s">
        <v>6823</v>
      </c>
      <c r="O1495" s="11">
        <v>14000</v>
      </c>
      <c r="P1495" s="11"/>
      <c r="Q1495" s="18">
        <v>2000</v>
      </c>
      <c r="R1495" s="19"/>
    </row>
    <row r="1496" spans="1:18" ht="43.2" hidden="1" x14ac:dyDescent="0.3">
      <c r="A1496" s="6" t="s">
        <v>6824</v>
      </c>
      <c r="B1496" s="7" t="s">
        <v>6419</v>
      </c>
      <c r="C1496" s="17" t="s">
        <v>6825</v>
      </c>
      <c r="D1496" s="17"/>
      <c r="E1496" s="8">
        <v>17658</v>
      </c>
      <c r="F1496" s="9">
        <v>74</v>
      </c>
      <c r="G1496" s="6" t="s">
        <v>6826</v>
      </c>
      <c r="H1496" s="7" t="s">
        <v>39</v>
      </c>
      <c r="I1496" s="6" t="s">
        <v>122</v>
      </c>
      <c r="J1496" s="7" t="s">
        <v>20</v>
      </c>
      <c r="K1496" s="7" t="s">
        <v>26</v>
      </c>
      <c r="L1496" s="6"/>
      <c r="M1496" s="10">
        <v>5.67E-2</v>
      </c>
      <c r="N1496" s="6" t="s">
        <v>6827</v>
      </c>
      <c r="O1496" s="11">
        <v>16000</v>
      </c>
      <c r="P1496" s="11"/>
      <c r="Q1496" s="18">
        <v>2000</v>
      </c>
      <c r="R1496" s="19"/>
    </row>
    <row r="1497" spans="1:18" x14ac:dyDescent="0.3">
      <c r="A1497" s="6" t="s">
        <v>6828</v>
      </c>
      <c r="B1497" s="7" t="s">
        <v>1782</v>
      </c>
      <c r="C1497" s="17" t="s">
        <v>6650</v>
      </c>
      <c r="D1497" s="17"/>
      <c r="E1497" s="8">
        <v>15089</v>
      </c>
      <c r="F1497" s="9">
        <v>81</v>
      </c>
      <c r="G1497" s="6" t="s">
        <v>6829</v>
      </c>
      <c r="H1497" s="7" t="s">
        <v>25</v>
      </c>
      <c r="I1497" s="6"/>
      <c r="J1497" s="7" t="s">
        <v>41</v>
      </c>
      <c r="K1497" s="7" t="s">
        <v>26</v>
      </c>
      <c r="L1497" s="9">
        <v>80</v>
      </c>
      <c r="M1497" s="10">
        <v>6.8199999999999997E-2</v>
      </c>
      <c r="N1497" s="6" t="s">
        <v>6830</v>
      </c>
      <c r="O1497" s="11">
        <v>20318.64</v>
      </c>
      <c r="P1497" s="11"/>
      <c r="Q1497" s="18">
        <v>2539.83</v>
      </c>
      <c r="R1497" s="19"/>
    </row>
    <row r="1498" spans="1:18" hidden="1" x14ac:dyDescent="0.3">
      <c r="A1498" s="6" t="s">
        <v>6831</v>
      </c>
      <c r="B1498" s="7" t="s">
        <v>1252</v>
      </c>
      <c r="C1498" s="17" t="s">
        <v>6832</v>
      </c>
      <c r="D1498" s="17"/>
      <c r="E1498" s="7" t="s">
        <v>6833</v>
      </c>
      <c r="F1498" s="9">
        <v>72</v>
      </c>
      <c r="G1498" s="6" t="s">
        <v>6834</v>
      </c>
      <c r="H1498" s="7" t="s">
        <v>25</v>
      </c>
      <c r="I1498" s="6" t="s">
        <v>19</v>
      </c>
      <c r="J1498" s="7" t="s">
        <v>41</v>
      </c>
      <c r="K1498" s="7" t="s">
        <v>32</v>
      </c>
      <c r="L1498" s="9">
        <v>66</v>
      </c>
      <c r="M1498" s="10">
        <v>4.1700000000000001E-2</v>
      </c>
      <c r="N1498" s="6" t="s">
        <v>4298</v>
      </c>
      <c r="O1498" s="6" t="s">
        <v>19</v>
      </c>
      <c r="P1498" s="6"/>
      <c r="Q1498" s="19" t="s">
        <v>19</v>
      </c>
      <c r="R1498" s="19"/>
    </row>
    <row r="1499" spans="1:18" ht="28.8" hidden="1" x14ac:dyDescent="0.3">
      <c r="A1499" s="6" t="s">
        <v>6835</v>
      </c>
      <c r="B1499" s="7" t="s">
        <v>1822</v>
      </c>
      <c r="C1499" s="17" t="s">
        <v>6836</v>
      </c>
      <c r="D1499" s="17"/>
      <c r="E1499" s="8">
        <v>17758</v>
      </c>
      <c r="F1499" s="9">
        <v>74</v>
      </c>
      <c r="G1499" s="6" t="s">
        <v>6837</v>
      </c>
      <c r="H1499" s="7" t="s">
        <v>39</v>
      </c>
      <c r="I1499" s="6" t="s">
        <v>176</v>
      </c>
      <c r="J1499" s="7" t="s">
        <v>20</v>
      </c>
      <c r="K1499" s="7" t="s">
        <v>26</v>
      </c>
      <c r="L1499" s="6"/>
      <c r="M1499" s="10">
        <v>5.67E-2</v>
      </c>
      <c r="N1499" s="6" t="s">
        <v>3308</v>
      </c>
      <c r="O1499" s="11">
        <v>4800</v>
      </c>
      <c r="P1499" s="11"/>
      <c r="Q1499" s="18">
        <v>600</v>
      </c>
      <c r="R1499" s="19"/>
    </row>
    <row r="1500" spans="1:18" ht="28.8" hidden="1" x14ac:dyDescent="0.3">
      <c r="A1500" s="6" t="s">
        <v>6838</v>
      </c>
      <c r="B1500" s="7" t="s">
        <v>1584</v>
      </c>
      <c r="C1500" s="17" t="s">
        <v>1194</v>
      </c>
      <c r="D1500" s="17"/>
      <c r="E1500" s="8">
        <v>18118</v>
      </c>
      <c r="F1500" s="9">
        <v>73</v>
      </c>
      <c r="G1500" s="6" t="s">
        <v>6839</v>
      </c>
      <c r="H1500" s="7" t="s">
        <v>39</v>
      </c>
      <c r="I1500" s="6" t="s">
        <v>321</v>
      </c>
      <c r="J1500" s="7" t="s">
        <v>20</v>
      </c>
      <c r="K1500" s="7" t="s">
        <v>26</v>
      </c>
      <c r="L1500" s="6"/>
      <c r="M1500" s="10">
        <v>5.5300000000000002E-2</v>
      </c>
      <c r="N1500" s="6" t="s">
        <v>6840</v>
      </c>
      <c r="O1500" s="11">
        <v>4000</v>
      </c>
      <c r="P1500" s="11"/>
      <c r="Q1500" s="18">
        <v>500</v>
      </c>
      <c r="R1500" s="19"/>
    </row>
    <row r="1501" spans="1:18" ht="28.8" hidden="1" x14ac:dyDescent="0.3">
      <c r="A1501" s="6" t="s">
        <v>6841</v>
      </c>
      <c r="B1501" s="7" t="s">
        <v>1125</v>
      </c>
      <c r="C1501" s="17" t="s">
        <v>6842</v>
      </c>
      <c r="D1501" s="17"/>
      <c r="E1501" s="8">
        <v>16790</v>
      </c>
      <c r="F1501" s="9">
        <v>77</v>
      </c>
      <c r="G1501" s="6" t="s">
        <v>6843</v>
      </c>
      <c r="H1501" s="7" t="s">
        <v>39</v>
      </c>
      <c r="I1501" s="6" t="s">
        <v>1160</v>
      </c>
      <c r="J1501" s="7" t="s">
        <v>20</v>
      </c>
      <c r="K1501" s="7" t="s">
        <v>26</v>
      </c>
      <c r="L1501" s="6"/>
      <c r="M1501" s="10">
        <v>6.1699999999999998E-2</v>
      </c>
      <c r="N1501" s="6" t="s">
        <v>6844</v>
      </c>
      <c r="O1501" s="11">
        <v>3200</v>
      </c>
      <c r="P1501" s="11"/>
      <c r="Q1501" s="18">
        <v>400</v>
      </c>
      <c r="R1501" s="19"/>
    </row>
    <row r="1502" spans="1:18" hidden="1" x14ac:dyDescent="0.3">
      <c r="A1502" s="6" t="s">
        <v>6845</v>
      </c>
      <c r="B1502" s="7" t="s">
        <v>6846</v>
      </c>
      <c r="C1502" s="17" t="s">
        <v>6847</v>
      </c>
      <c r="D1502" s="17"/>
      <c r="E1502" s="7" t="s">
        <v>6848</v>
      </c>
      <c r="F1502" s="9">
        <v>81</v>
      </c>
      <c r="G1502" s="6" t="s">
        <v>6849</v>
      </c>
      <c r="H1502" s="7" t="s">
        <v>25</v>
      </c>
      <c r="I1502" s="6" t="s">
        <v>19</v>
      </c>
      <c r="J1502" s="7" t="s">
        <v>20</v>
      </c>
      <c r="K1502" s="7" t="s">
        <v>32</v>
      </c>
      <c r="L1502" s="6"/>
      <c r="M1502" s="10">
        <v>7.0800000000000002E-2</v>
      </c>
      <c r="N1502" s="6" t="s">
        <v>6850</v>
      </c>
      <c r="O1502" s="6" t="s">
        <v>19</v>
      </c>
      <c r="P1502" s="6"/>
      <c r="Q1502" s="19" t="s">
        <v>19</v>
      </c>
      <c r="R1502" s="19"/>
    </row>
    <row r="1503" spans="1:18" ht="28.8" hidden="1" x14ac:dyDescent="0.3">
      <c r="A1503" s="6" t="s">
        <v>6851</v>
      </c>
      <c r="B1503" s="7" t="s">
        <v>235</v>
      </c>
      <c r="C1503" s="17" t="s">
        <v>6852</v>
      </c>
      <c r="D1503" s="17"/>
      <c r="E1503" s="8">
        <v>18213</v>
      </c>
      <c r="F1503" s="9">
        <v>73</v>
      </c>
      <c r="G1503" s="6" t="s">
        <v>6853</v>
      </c>
      <c r="H1503" s="7" t="s">
        <v>39</v>
      </c>
      <c r="I1503" s="6" t="s">
        <v>941</v>
      </c>
      <c r="J1503" s="7" t="s">
        <v>20</v>
      </c>
      <c r="K1503" s="7" t="s">
        <v>26</v>
      </c>
      <c r="L1503" s="6"/>
      <c r="M1503" s="10">
        <v>5.5300000000000002E-2</v>
      </c>
      <c r="N1503" s="6" t="s">
        <v>6854</v>
      </c>
      <c r="O1503" s="11">
        <v>2400</v>
      </c>
      <c r="P1503" s="11"/>
      <c r="Q1503" s="18">
        <v>300</v>
      </c>
      <c r="R1503" s="19"/>
    </row>
    <row r="1504" spans="1:18" hidden="1" x14ac:dyDescent="0.3">
      <c r="A1504" s="6" t="s">
        <v>6855</v>
      </c>
      <c r="B1504" s="7" t="s">
        <v>6856</v>
      </c>
      <c r="C1504" s="17" t="s">
        <v>6857</v>
      </c>
      <c r="D1504" s="17"/>
      <c r="E1504" s="7" t="s">
        <v>1095</v>
      </c>
      <c r="F1504" s="9">
        <v>74</v>
      </c>
      <c r="G1504" s="6" t="s">
        <v>6858</v>
      </c>
      <c r="H1504" s="7" t="s">
        <v>25</v>
      </c>
      <c r="I1504" s="6" t="s">
        <v>19</v>
      </c>
      <c r="J1504" s="7" t="s">
        <v>41</v>
      </c>
      <c r="K1504" s="7" t="s">
        <v>32</v>
      </c>
      <c r="L1504" s="9">
        <v>60</v>
      </c>
      <c r="M1504" s="10">
        <v>3.3300000000000003E-2</v>
      </c>
      <c r="N1504" s="6" t="s">
        <v>6859</v>
      </c>
      <c r="O1504" s="6" t="s">
        <v>19</v>
      </c>
      <c r="P1504" s="6"/>
      <c r="Q1504" s="19" t="s">
        <v>19</v>
      </c>
      <c r="R1504" s="19"/>
    </row>
    <row r="1505" spans="1:18" hidden="1" x14ac:dyDescent="0.3">
      <c r="A1505" s="6" t="s">
        <v>6860</v>
      </c>
      <c r="B1505" s="7" t="s">
        <v>2820</v>
      </c>
      <c r="C1505" s="17" t="s">
        <v>6861</v>
      </c>
      <c r="D1505" s="17"/>
      <c r="E1505" s="8">
        <v>16580</v>
      </c>
      <c r="F1505" s="9">
        <v>77</v>
      </c>
      <c r="G1505" s="6" t="s">
        <v>6862</v>
      </c>
      <c r="H1505" s="7" t="s">
        <v>25</v>
      </c>
      <c r="I1505" s="6"/>
      <c r="J1505" s="7" t="s">
        <v>20</v>
      </c>
      <c r="K1505" s="7" t="s">
        <v>26</v>
      </c>
      <c r="L1505" s="6"/>
      <c r="M1505" s="10">
        <v>6.1699999999999998E-2</v>
      </c>
      <c r="N1505" s="6" t="s">
        <v>6863</v>
      </c>
      <c r="O1505" s="11">
        <v>70267.14</v>
      </c>
      <c r="P1505" s="11"/>
      <c r="Q1505" s="18">
        <v>10000</v>
      </c>
      <c r="R1505" s="19"/>
    </row>
    <row r="1506" spans="1:18" ht="28.8" hidden="1" x14ac:dyDescent="0.3">
      <c r="A1506" s="6" t="s">
        <v>6864</v>
      </c>
      <c r="B1506" s="7" t="s">
        <v>1143</v>
      </c>
      <c r="C1506" s="17" t="s">
        <v>6865</v>
      </c>
      <c r="D1506" s="17"/>
      <c r="E1506" s="8">
        <v>17481</v>
      </c>
      <c r="F1506" s="9">
        <v>75</v>
      </c>
      <c r="G1506" s="6" t="s">
        <v>6866</v>
      </c>
      <c r="H1506" s="7" t="s">
        <v>39</v>
      </c>
      <c r="I1506" s="6" t="s">
        <v>321</v>
      </c>
      <c r="J1506" s="7" t="s">
        <v>20</v>
      </c>
      <c r="K1506" s="7" t="s">
        <v>26</v>
      </c>
      <c r="L1506" s="6"/>
      <c r="M1506" s="10">
        <v>5.8200000000000002E-2</v>
      </c>
      <c r="N1506" s="6" t="s">
        <v>6867</v>
      </c>
      <c r="O1506" s="11">
        <v>4000</v>
      </c>
      <c r="P1506" s="11"/>
      <c r="Q1506" s="18">
        <v>500</v>
      </c>
      <c r="R1506" s="19"/>
    </row>
    <row r="1507" spans="1:18" hidden="1" x14ac:dyDescent="0.3">
      <c r="A1507" s="6" t="s">
        <v>6868</v>
      </c>
      <c r="B1507" s="7" t="s">
        <v>195</v>
      </c>
      <c r="C1507" s="17" t="s">
        <v>6869</v>
      </c>
      <c r="D1507" s="17"/>
      <c r="E1507" s="7" t="s">
        <v>6870</v>
      </c>
      <c r="F1507" s="9">
        <v>74</v>
      </c>
      <c r="G1507" s="6" t="s">
        <v>6871</v>
      </c>
      <c r="H1507" s="7" t="s">
        <v>25</v>
      </c>
      <c r="I1507" s="6" t="s">
        <v>19</v>
      </c>
      <c r="J1507" s="7" t="s">
        <v>41</v>
      </c>
      <c r="K1507" s="7" t="s">
        <v>26</v>
      </c>
      <c r="L1507" s="9">
        <v>73</v>
      </c>
      <c r="M1507" s="10">
        <v>5.5300000000000002E-2</v>
      </c>
      <c r="N1507" s="6" t="s">
        <v>6872</v>
      </c>
      <c r="O1507" s="6" t="s">
        <v>19</v>
      </c>
      <c r="P1507" s="6"/>
      <c r="Q1507" s="19" t="s">
        <v>19</v>
      </c>
      <c r="R1507" s="19"/>
    </row>
    <row r="1508" spans="1:18" ht="28.8" hidden="1" x14ac:dyDescent="0.3">
      <c r="A1508" s="6" t="s">
        <v>6873</v>
      </c>
      <c r="B1508" s="7" t="s">
        <v>235</v>
      </c>
      <c r="C1508" s="17" t="s">
        <v>6874</v>
      </c>
      <c r="D1508" s="17"/>
      <c r="E1508" s="8">
        <v>18487</v>
      </c>
      <c r="F1508" s="9">
        <v>72</v>
      </c>
      <c r="G1508" s="6" t="s">
        <v>6875</v>
      </c>
      <c r="H1508" s="7" t="s">
        <v>39</v>
      </c>
      <c r="I1508" s="6" t="s">
        <v>681</v>
      </c>
      <c r="J1508" s="7" t="s">
        <v>20</v>
      </c>
      <c r="K1508" s="7" t="s">
        <v>26</v>
      </c>
      <c r="L1508" s="6"/>
      <c r="M1508" s="10">
        <v>5.3999999999999999E-2</v>
      </c>
      <c r="N1508" s="6" t="s">
        <v>6876</v>
      </c>
      <c r="O1508" s="11">
        <v>5600</v>
      </c>
      <c r="P1508" s="11"/>
      <c r="Q1508" s="18">
        <v>700</v>
      </c>
      <c r="R1508" s="19"/>
    </row>
    <row r="1509" spans="1:18" ht="28.8" hidden="1" x14ac:dyDescent="0.3">
      <c r="A1509" s="6" t="s">
        <v>6877</v>
      </c>
      <c r="B1509" s="7" t="s">
        <v>6878</v>
      </c>
      <c r="C1509" s="17" t="s">
        <v>6879</v>
      </c>
      <c r="D1509" s="17"/>
      <c r="E1509" s="7" t="s">
        <v>1195</v>
      </c>
      <c r="F1509" s="9">
        <v>75</v>
      </c>
      <c r="G1509" s="6" t="s">
        <v>6880</v>
      </c>
      <c r="H1509" s="7" t="s">
        <v>39</v>
      </c>
      <c r="I1509" s="6" t="s">
        <v>321</v>
      </c>
      <c r="J1509" s="7" t="s">
        <v>20</v>
      </c>
      <c r="K1509" s="7" t="s">
        <v>26</v>
      </c>
      <c r="L1509" s="6"/>
      <c r="M1509" s="10">
        <v>5.8200000000000002E-2</v>
      </c>
      <c r="N1509" s="6" t="s">
        <v>6881</v>
      </c>
      <c r="O1509" s="6" t="s">
        <v>19</v>
      </c>
      <c r="P1509" s="6"/>
      <c r="Q1509" s="19" t="s">
        <v>19</v>
      </c>
      <c r="R1509" s="19"/>
    </row>
    <row r="1510" spans="1:18" ht="43.2" x14ac:dyDescent="0.3">
      <c r="A1510" s="6" t="s">
        <v>6882</v>
      </c>
      <c r="B1510" s="7" t="s">
        <v>125</v>
      </c>
      <c r="C1510" s="17" t="s">
        <v>6883</v>
      </c>
      <c r="D1510" s="17"/>
      <c r="E1510" s="8">
        <v>18434</v>
      </c>
      <c r="F1510" s="9">
        <v>72</v>
      </c>
      <c r="G1510" s="6" t="s">
        <v>6884</v>
      </c>
      <c r="H1510" s="7" t="s">
        <v>39</v>
      </c>
      <c r="I1510" s="6" t="s">
        <v>398</v>
      </c>
      <c r="J1510" s="7" t="s">
        <v>41</v>
      </c>
      <c r="K1510" s="7" t="s">
        <v>26</v>
      </c>
      <c r="L1510" s="9">
        <v>60</v>
      </c>
      <c r="M1510" s="10">
        <v>3.3300000000000003E-2</v>
      </c>
      <c r="N1510" s="6" t="s">
        <v>6885</v>
      </c>
      <c r="O1510" s="11">
        <v>15200</v>
      </c>
      <c r="P1510" s="11"/>
      <c r="Q1510" s="18">
        <v>1900</v>
      </c>
      <c r="R1510" s="19"/>
    </row>
    <row r="1511" spans="1:18" ht="28.8" hidden="1" x14ac:dyDescent="0.3">
      <c r="A1511" s="6" t="s">
        <v>6886</v>
      </c>
      <c r="B1511" s="7" t="s">
        <v>6887</v>
      </c>
      <c r="C1511" s="17" t="s">
        <v>2360</v>
      </c>
      <c r="D1511" s="17"/>
      <c r="E1511" s="8">
        <v>18048</v>
      </c>
      <c r="F1511" s="9">
        <v>73</v>
      </c>
      <c r="G1511" s="6" t="s">
        <v>6888</v>
      </c>
      <c r="H1511" s="7" t="s">
        <v>39</v>
      </c>
      <c r="I1511" s="6" t="s">
        <v>321</v>
      </c>
      <c r="J1511" s="7" t="s">
        <v>20</v>
      </c>
      <c r="K1511" s="7" t="s">
        <v>26</v>
      </c>
      <c r="L1511" s="6"/>
      <c r="M1511" s="10">
        <v>5.5300000000000002E-2</v>
      </c>
      <c r="N1511" s="6" t="s">
        <v>6889</v>
      </c>
      <c r="O1511" s="11">
        <v>4000</v>
      </c>
      <c r="P1511" s="11"/>
      <c r="Q1511" s="18">
        <v>500</v>
      </c>
      <c r="R1511" s="19"/>
    </row>
    <row r="1512" spans="1:18" x14ac:dyDescent="0.3">
      <c r="A1512" s="6" t="s">
        <v>6890</v>
      </c>
      <c r="B1512" s="7" t="s">
        <v>29</v>
      </c>
      <c r="C1512" s="17" t="s">
        <v>6891</v>
      </c>
      <c r="D1512" s="17"/>
      <c r="E1512" s="8">
        <v>17674</v>
      </c>
      <c r="F1512" s="9">
        <v>74</v>
      </c>
      <c r="G1512" s="6" t="s">
        <v>6892</v>
      </c>
      <c r="H1512" s="7" t="s">
        <v>25</v>
      </c>
      <c r="I1512" s="6"/>
      <c r="J1512" s="7" t="s">
        <v>41</v>
      </c>
      <c r="K1512" s="7" t="s">
        <v>26</v>
      </c>
      <c r="L1512" s="9">
        <v>71</v>
      </c>
      <c r="M1512" s="10">
        <v>5.28E-2</v>
      </c>
      <c r="N1512" s="6" t="s">
        <v>6893</v>
      </c>
      <c r="O1512" s="11">
        <v>1469.68</v>
      </c>
      <c r="P1512" s="11"/>
      <c r="Q1512" s="18">
        <v>183.71</v>
      </c>
      <c r="R1512" s="19"/>
    </row>
    <row r="1513" spans="1:18" hidden="1" x14ac:dyDescent="0.3">
      <c r="A1513" s="6" t="s">
        <v>6894</v>
      </c>
      <c r="B1513" s="7" t="s">
        <v>2229</v>
      </c>
      <c r="C1513" s="17" t="s">
        <v>2640</v>
      </c>
      <c r="D1513" s="17"/>
      <c r="E1513" s="8">
        <v>17547</v>
      </c>
      <c r="F1513" s="9">
        <v>74</v>
      </c>
      <c r="G1513" s="6" t="s">
        <v>6895</v>
      </c>
      <c r="H1513" s="7" t="s">
        <v>25</v>
      </c>
      <c r="I1513" s="6"/>
      <c r="J1513" s="7" t="s">
        <v>20</v>
      </c>
      <c r="K1513" s="7" t="s">
        <v>32</v>
      </c>
      <c r="L1513" s="6"/>
      <c r="M1513" s="10">
        <v>5.67E-2</v>
      </c>
      <c r="N1513" s="6" t="s">
        <v>6896</v>
      </c>
      <c r="O1513" s="11">
        <v>2447.92</v>
      </c>
      <c r="P1513" s="11"/>
      <c r="Q1513" s="18">
        <v>2447.92</v>
      </c>
      <c r="R1513" s="19"/>
    </row>
    <row r="1514" spans="1:18" hidden="1" x14ac:dyDescent="0.3">
      <c r="A1514" s="6" t="s">
        <v>6897</v>
      </c>
      <c r="B1514" s="7" t="s">
        <v>3229</v>
      </c>
      <c r="C1514" s="17" t="s">
        <v>6898</v>
      </c>
      <c r="D1514" s="17"/>
      <c r="E1514" s="8">
        <v>17910</v>
      </c>
      <c r="F1514" s="9">
        <v>73</v>
      </c>
      <c r="G1514" s="6" t="s">
        <v>6899</v>
      </c>
      <c r="H1514" s="7" t="s">
        <v>25</v>
      </c>
      <c r="I1514" s="6"/>
      <c r="J1514" s="7" t="s">
        <v>20</v>
      </c>
      <c r="K1514" s="7" t="s">
        <v>26</v>
      </c>
      <c r="L1514" s="6"/>
      <c r="M1514" s="10">
        <v>5.5300000000000002E-2</v>
      </c>
      <c r="N1514" s="6" t="s">
        <v>6900</v>
      </c>
      <c r="O1514" s="11">
        <v>28445.919999999998</v>
      </c>
      <c r="P1514" s="11"/>
      <c r="Q1514" s="18">
        <v>2.13</v>
      </c>
      <c r="R1514" s="19"/>
    </row>
    <row r="1515" spans="1:18" ht="28.8" hidden="1" x14ac:dyDescent="0.3">
      <c r="A1515" s="6" t="s">
        <v>6901</v>
      </c>
      <c r="B1515" s="7" t="s">
        <v>556</v>
      </c>
      <c r="C1515" s="17" t="s">
        <v>3277</v>
      </c>
      <c r="D1515" s="17"/>
      <c r="E1515" s="8">
        <v>17334</v>
      </c>
      <c r="F1515" s="9">
        <v>75</v>
      </c>
      <c r="G1515" s="6" t="s">
        <v>6902</v>
      </c>
      <c r="H1515" s="7" t="s">
        <v>39</v>
      </c>
      <c r="I1515" s="6" t="s">
        <v>249</v>
      </c>
      <c r="J1515" s="7" t="s">
        <v>20</v>
      </c>
      <c r="K1515" s="7" t="s">
        <v>26</v>
      </c>
      <c r="L1515" s="6"/>
      <c r="M1515" s="10">
        <v>5.8200000000000002E-2</v>
      </c>
      <c r="N1515" s="6" t="s">
        <v>6903</v>
      </c>
      <c r="O1515" s="11">
        <v>1600</v>
      </c>
      <c r="P1515" s="11"/>
      <c r="Q1515" s="18">
        <v>200</v>
      </c>
      <c r="R1515" s="19"/>
    </row>
    <row r="1516" spans="1:18" hidden="1" x14ac:dyDescent="0.3">
      <c r="A1516" s="6" t="s">
        <v>6904</v>
      </c>
      <c r="B1516" s="7" t="s">
        <v>5336</v>
      </c>
      <c r="C1516" s="17" t="s">
        <v>6905</v>
      </c>
      <c r="D1516" s="17"/>
      <c r="E1516" s="7" t="s">
        <v>3583</v>
      </c>
      <c r="F1516" s="9">
        <v>76</v>
      </c>
      <c r="G1516" s="6" t="s">
        <v>6906</v>
      </c>
      <c r="H1516" s="7" t="s">
        <v>25</v>
      </c>
      <c r="I1516" s="6" t="s">
        <v>19</v>
      </c>
      <c r="J1516" s="7" t="s">
        <v>41</v>
      </c>
      <c r="K1516" s="7" t="s">
        <v>32</v>
      </c>
      <c r="L1516" s="9">
        <v>66</v>
      </c>
      <c r="M1516" s="10">
        <v>4.1700000000000001E-2</v>
      </c>
      <c r="N1516" s="6" t="s">
        <v>6907</v>
      </c>
      <c r="O1516" s="6" t="s">
        <v>19</v>
      </c>
      <c r="P1516" s="6"/>
      <c r="Q1516" s="19" t="s">
        <v>19</v>
      </c>
      <c r="R1516" s="19"/>
    </row>
    <row r="1517" spans="1:18" ht="28.8" hidden="1" x14ac:dyDescent="0.3">
      <c r="A1517" s="6" t="s">
        <v>6908</v>
      </c>
      <c r="B1517" s="7" t="s">
        <v>6909</v>
      </c>
      <c r="C1517" s="17" t="s">
        <v>6910</v>
      </c>
      <c r="D1517" s="17"/>
      <c r="E1517" s="8">
        <v>17901</v>
      </c>
      <c r="F1517" s="9">
        <v>73</v>
      </c>
      <c r="G1517" s="6" t="s">
        <v>6911</v>
      </c>
      <c r="H1517" s="7" t="s">
        <v>25</v>
      </c>
      <c r="I1517" s="6"/>
      <c r="J1517" s="7" t="s">
        <v>20</v>
      </c>
      <c r="K1517" s="7" t="s">
        <v>26</v>
      </c>
      <c r="L1517" s="6"/>
      <c r="M1517" s="10">
        <v>5.5300000000000002E-2</v>
      </c>
      <c r="N1517" s="6" t="s">
        <v>6912</v>
      </c>
      <c r="O1517" s="11">
        <v>16962.240000000002</v>
      </c>
      <c r="P1517" s="11"/>
      <c r="Q1517" s="18">
        <v>2120.2800000000002</v>
      </c>
      <c r="R1517" s="19"/>
    </row>
    <row r="1518" spans="1:18" ht="28.8" hidden="1" x14ac:dyDescent="0.3">
      <c r="A1518" s="6" t="s">
        <v>6913</v>
      </c>
      <c r="B1518" s="7" t="s">
        <v>1777</v>
      </c>
      <c r="C1518" s="17" t="s">
        <v>6914</v>
      </c>
      <c r="D1518" s="17"/>
      <c r="E1518" s="8">
        <v>18175</v>
      </c>
      <c r="F1518" s="9">
        <v>73</v>
      </c>
      <c r="G1518" s="6" t="s">
        <v>6915</v>
      </c>
      <c r="H1518" s="7" t="s">
        <v>39</v>
      </c>
      <c r="I1518" s="6" t="s">
        <v>176</v>
      </c>
      <c r="J1518" s="7" t="s">
        <v>20</v>
      </c>
      <c r="K1518" s="7" t="s">
        <v>26</v>
      </c>
      <c r="L1518" s="6"/>
      <c r="M1518" s="10">
        <v>5.5300000000000002E-2</v>
      </c>
      <c r="N1518" s="6" t="s">
        <v>6916</v>
      </c>
      <c r="O1518" s="11">
        <v>4800</v>
      </c>
      <c r="P1518" s="11"/>
      <c r="Q1518" s="18">
        <v>600</v>
      </c>
      <c r="R1518" s="19"/>
    </row>
    <row r="1519" spans="1:18" hidden="1" x14ac:dyDescent="0.3">
      <c r="A1519" s="6" t="s">
        <v>6917</v>
      </c>
      <c r="B1519" s="7" t="s">
        <v>1038</v>
      </c>
      <c r="C1519" s="17" t="s">
        <v>6918</v>
      </c>
      <c r="D1519" s="17"/>
      <c r="E1519" s="7" t="s">
        <v>6919</v>
      </c>
      <c r="F1519" s="9">
        <v>73</v>
      </c>
      <c r="G1519" s="6" t="s">
        <v>6920</v>
      </c>
      <c r="H1519" s="7" t="s">
        <v>25</v>
      </c>
      <c r="I1519" s="6" t="s">
        <v>19</v>
      </c>
      <c r="J1519" s="7" t="s">
        <v>20</v>
      </c>
      <c r="K1519" s="7" t="s">
        <v>26</v>
      </c>
      <c r="L1519" s="6"/>
      <c r="M1519" s="10">
        <v>5.5300000000000002E-2</v>
      </c>
      <c r="N1519" s="6" t="s">
        <v>6921</v>
      </c>
      <c r="O1519" s="6" t="s">
        <v>19</v>
      </c>
      <c r="P1519" s="6"/>
      <c r="Q1519" s="19" t="s">
        <v>19</v>
      </c>
      <c r="R1519" s="19"/>
    </row>
    <row r="1520" spans="1:18" hidden="1" x14ac:dyDescent="0.3">
      <c r="A1520" s="6" t="s">
        <v>6922</v>
      </c>
      <c r="B1520" s="7" t="s">
        <v>678</v>
      </c>
      <c r="C1520" s="17" t="s">
        <v>6923</v>
      </c>
      <c r="D1520" s="17"/>
      <c r="E1520" s="8">
        <v>16538</v>
      </c>
      <c r="F1520" s="9">
        <v>77</v>
      </c>
      <c r="G1520" s="6" t="s">
        <v>6924</v>
      </c>
      <c r="H1520" s="7" t="s">
        <v>25</v>
      </c>
      <c r="I1520" s="6"/>
      <c r="J1520" s="7" t="s">
        <v>20</v>
      </c>
      <c r="K1520" s="7" t="s">
        <v>32</v>
      </c>
      <c r="L1520" s="6"/>
      <c r="M1520" s="10">
        <v>6.1699999999999998E-2</v>
      </c>
      <c r="N1520" s="6" t="s">
        <v>6925</v>
      </c>
      <c r="O1520" s="11">
        <v>18315.21</v>
      </c>
      <c r="P1520" s="11"/>
      <c r="Q1520" s="18">
        <v>18315.21</v>
      </c>
      <c r="R1520" s="19"/>
    </row>
    <row r="1521" spans="1:18" hidden="1" x14ac:dyDescent="0.3">
      <c r="A1521" s="6" t="s">
        <v>6926</v>
      </c>
      <c r="B1521" s="7" t="s">
        <v>451</v>
      </c>
      <c r="C1521" s="17" t="s">
        <v>6927</v>
      </c>
      <c r="D1521" s="17"/>
      <c r="E1521" s="7" t="s">
        <v>2475</v>
      </c>
      <c r="F1521" s="9">
        <v>72</v>
      </c>
      <c r="G1521" s="6" t="s">
        <v>6928</v>
      </c>
      <c r="H1521" s="7" t="s">
        <v>19</v>
      </c>
      <c r="I1521" s="6" t="s">
        <v>19</v>
      </c>
      <c r="J1521" s="7" t="s">
        <v>20</v>
      </c>
      <c r="K1521" s="7"/>
      <c r="L1521" s="6"/>
      <c r="M1521" s="10">
        <v>5.3999999999999999E-2</v>
      </c>
      <c r="N1521" s="6" t="s">
        <v>6929</v>
      </c>
      <c r="O1521" s="6" t="s">
        <v>19</v>
      </c>
      <c r="P1521" s="6"/>
      <c r="Q1521" s="19" t="s">
        <v>19</v>
      </c>
      <c r="R1521" s="19"/>
    </row>
    <row r="1522" spans="1:18" ht="43.2" x14ac:dyDescent="0.3">
      <c r="A1522" s="6" t="s">
        <v>6930</v>
      </c>
      <c r="B1522" s="7" t="s">
        <v>634</v>
      </c>
      <c r="C1522" s="17" t="s">
        <v>5319</v>
      </c>
      <c r="D1522" s="17"/>
      <c r="E1522" s="8">
        <v>17730</v>
      </c>
      <c r="F1522" s="9">
        <v>74</v>
      </c>
      <c r="G1522" s="6" t="s">
        <v>6931</v>
      </c>
      <c r="H1522" s="7" t="s">
        <v>39</v>
      </c>
      <c r="I1522" s="6" t="s">
        <v>40</v>
      </c>
      <c r="J1522" s="7" t="s">
        <v>41</v>
      </c>
      <c r="K1522" s="7" t="s">
        <v>26</v>
      </c>
      <c r="L1522" s="9">
        <v>72</v>
      </c>
      <c r="M1522" s="10">
        <v>5.3999999999999999E-2</v>
      </c>
      <c r="N1522" s="6" t="s">
        <v>6932</v>
      </c>
      <c r="O1522" s="11">
        <v>25800</v>
      </c>
      <c r="P1522" s="11"/>
      <c r="Q1522" s="18">
        <v>3000</v>
      </c>
      <c r="R1522" s="19"/>
    </row>
    <row r="1523" spans="1:18" ht="43.2" hidden="1" x14ac:dyDescent="0.3">
      <c r="A1523" s="6" t="s">
        <v>6933</v>
      </c>
      <c r="B1523" s="7" t="s">
        <v>793</v>
      </c>
      <c r="C1523" s="17" t="s">
        <v>6934</v>
      </c>
      <c r="D1523" s="17"/>
      <c r="E1523" s="7" t="s">
        <v>1050</v>
      </c>
      <c r="F1523" s="9">
        <v>72</v>
      </c>
      <c r="G1523" s="6" t="s">
        <v>6935</v>
      </c>
      <c r="H1523" s="7" t="s">
        <v>39</v>
      </c>
      <c r="I1523" s="6" t="s">
        <v>100</v>
      </c>
      <c r="J1523" s="7" t="s">
        <v>20</v>
      </c>
      <c r="K1523" s="7" t="s">
        <v>26</v>
      </c>
      <c r="L1523" s="6"/>
      <c r="M1523" s="10">
        <v>5.3999999999999999E-2</v>
      </c>
      <c r="N1523" s="6" t="s">
        <v>6936</v>
      </c>
      <c r="O1523" s="6" t="s">
        <v>19</v>
      </c>
      <c r="P1523" s="6"/>
      <c r="Q1523" s="19" t="s">
        <v>19</v>
      </c>
      <c r="R1523" s="19"/>
    </row>
    <row r="1524" spans="1:18" hidden="1" x14ac:dyDescent="0.3">
      <c r="A1524" s="6" t="s">
        <v>6937</v>
      </c>
      <c r="B1524" s="7" t="s">
        <v>129</v>
      </c>
      <c r="C1524" s="17" t="s">
        <v>6938</v>
      </c>
      <c r="D1524" s="17"/>
      <c r="E1524" s="8">
        <v>14856</v>
      </c>
      <c r="F1524" s="9">
        <v>82</v>
      </c>
      <c r="G1524" s="6" t="s">
        <v>6939</v>
      </c>
      <c r="H1524" s="7" t="s">
        <v>25</v>
      </c>
      <c r="I1524" s="6"/>
      <c r="J1524" s="7" t="s">
        <v>20</v>
      </c>
      <c r="K1524" s="7" t="s">
        <v>32</v>
      </c>
      <c r="L1524" s="6"/>
      <c r="M1524" s="10">
        <v>7.3800000000000004E-2</v>
      </c>
      <c r="N1524" s="6" t="s">
        <v>6940</v>
      </c>
      <c r="O1524" s="11">
        <v>1578.81</v>
      </c>
      <c r="P1524" s="11"/>
      <c r="Q1524" s="18">
        <v>1578.81</v>
      </c>
      <c r="R1524" s="19"/>
    </row>
    <row r="1525" spans="1:18" x14ac:dyDescent="0.3">
      <c r="A1525" s="6" t="s">
        <v>6941</v>
      </c>
      <c r="B1525" s="7" t="s">
        <v>240</v>
      </c>
      <c r="C1525" s="17" t="s">
        <v>6942</v>
      </c>
      <c r="D1525" s="17"/>
      <c r="E1525" s="8">
        <v>17890</v>
      </c>
      <c r="F1525" s="9">
        <v>74</v>
      </c>
      <c r="G1525" s="6" t="s">
        <v>6943</v>
      </c>
      <c r="H1525" s="7" t="s">
        <v>25</v>
      </c>
      <c r="I1525" s="6"/>
      <c r="J1525" s="7" t="s">
        <v>41</v>
      </c>
      <c r="K1525" s="7" t="s">
        <v>26</v>
      </c>
      <c r="L1525" s="9">
        <v>72</v>
      </c>
      <c r="M1525" s="10">
        <v>5.3999999999999999E-2</v>
      </c>
      <c r="N1525" s="6" t="s">
        <v>6944</v>
      </c>
      <c r="O1525" s="11">
        <v>1582.96</v>
      </c>
      <c r="P1525" s="11"/>
      <c r="Q1525" s="18">
        <v>197.87</v>
      </c>
      <c r="R1525" s="19"/>
    </row>
    <row r="1526" spans="1:18" hidden="1" x14ac:dyDescent="0.3">
      <c r="A1526" s="6" t="s">
        <v>6945</v>
      </c>
      <c r="B1526" s="7" t="s">
        <v>2143</v>
      </c>
      <c r="C1526" s="17" t="s">
        <v>6946</v>
      </c>
      <c r="D1526" s="17"/>
      <c r="E1526" s="7" t="s">
        <v>6947</v>
      </c>
      <c r="F1526" s="9">
        <v>73</v>
      </c>
      <c r="G1526" s="6" t="s">
        <v>6948</v>
      </c>
      <c r="H1526" s="7" t="s">
        <v>25</v>
      </c>
      <c r="I1526" s="6" t="s">
        <v>19</v>
      </c>
      <c r="J1526" s="7" t="s">
        <v>41</v>
      </c>
      <c r="K1526" s="7" t="s">
        <v>32</v>
      </c>
      <c r="L1526" s="9">
        <v>70</v>
      </c>
      <c r="M1526" s="10">
        <v>0.05</v>
      </c>
      <c r="N1526" s="6" t="s">
        <v>6949</v>
      </c>
      <c r="O1526" s="6" t="s">
        <v>19</v>
      </c>
      <c r="P1526" s="6"/>
      <c r="Q1526" s="19" t="s">
        <v>19</v>
      </c>
      <c r="R1526" s="19"/>
    </row>
    <row r="1527" spans="1:18" hidden="1" x14ac:dyDescent="0.3">
      <c r="A1527" s="6" t="s">
        <v>6950</v>
      </c>
      <c r="B1527" s="7" t="s">
        <v>129</v>
      </c>
      <c r="C1527" s="17" t="s">
        <v>5699</v>
      </c>
      <c r="D1527" s="17"/>
      <c r="E1527" s="7" t="s">
        <v>1858</v>
      </c>
      <c r="F1527" s="9">
        <v>73</v>
      </c>
      <c r="G1527" s="6" t="s">
        <v>6951</v>
      </c>
      <c r="H1527" s="7" t="s">
        <v>25</v>
      </c>
      <c r="I1527" s="6" t="s">
        <v>19</v>
      </c>
      <c r="J1527" s="7" t="s">
        <v>20</v>
      </c>
      <c r="K1527" s="7" t="s">
        <v>26</v>
      </c>
      <c r="L1527" s="6"/>
      <c r="M1527" s="10">
        <v>5.5300000000000002E-2</v>
      </c>
      <c r="N1527" s="6" t="s">
        <v>6952</v>
      </c>
      <c r="O1527" s="6" t="s">
        <v>19</v>
      </c>
      <c r="P1527" s="6"/>
      <c r="Q1527" s="19" t="s">
        <v>19</v>
      </c>
      <c r="R1527" s="19"/>
    </row>
    <row r="1528" spans="1:18" x14ac:dyDescent="0.3">
      <c r="A1528" s="6" t="s">
        <v>6953</v>
      </c>
      <c r="B1528" s="7" t="s">
        <v>5678</v>
      </c>
      <c r="C1528" s="17" t="s">
        <v>5439</v>
      </c>
      <c r="D1528" s="17"/>
      <c r="E1528" s="8">
        <v>18573</v>
      </c>
      <c r="F1528" s="9">
        <v>72</v>
      </c>
      <c r="G1528" s="6" t="s">
        <v>6954</v>
      </c>
      <c r="H1528" s="7" t="s">
        <v>25</v>
      </c>
      <c r="I1528" s="6"/>
      <c r="J1528" s="7" t="s">
        <v>41</v>
      </c>
      <c r="K1528" s="7" t="s">
        <v>32</v>
      </c>
      <c r="L1528" s="9">
        <v>70</v>
      </c>
      <c r="M1528" s="10">
        <v>0.05</v>
      </c>
      <c r="N1528" s="6" t="s">
        <v>6955</v>
      </c>
      <c r="O1528" s="11">
        <v>3721.22</v>
      </c>
      <c r="P1528" s="11"/>
      <c r="Q1528" s="18">
        <v>3721.22</v>
      </c>
      <c r="R1528" s="19"/>
    </row>
    <row r="1529" spans="1:18" hidden="1" x14ac:dyDescent="0.3">
      <c r="A1529" s="6" t="s">
        <v>6956</v>
      </c>
      <c r="B1529" s="7" t="s">
        <v>6957</v>
      </c>
      <c r="C1529" s="17" t="s">
        <v>6958</v>
      </c>
      <c r="D1529" s="17"/>
      <c r="E1529" s="7" t="s">
        <v>6959</v>
      </c>
      <c r="F1529" s="9">
        <v>81</v>
      </c>
      <c r="G1529" s="6" t="s">
        <v>6960</v>
      </c>
      <c r="H1529" s="7" t="s">
        <v>25</v>
      </c>
      <c r="I1529" s="6" t="s">
        <v>19</v>
      </c>
      <c r="J1529" s="7" t="s">
        <v>41</v>
      </c>
      <c r="K1529" s="7" t="s">
        <v>32</v>
      </c>
      <c r="L1529" s="9">
        <v>74</v>
      </c>
      <c r="M1529" s="10">
        <v>5.67E-2</v>
      </c>
      <c r="N1529" s="6" t="s">
        <v>6961</v>
      </c>
      <c r="O1529" s="6" t="s">
        <v>19</v>
      </c>
      <c r="P1529" s="6"/>
      <c r="Q1529" s="19" t="s">
        <v>19</v>
      </c>
      <c r="R1529" s="19"/>
    </row>
    <row r="1530" spans="1:18" hidden="1" x14ac:dyDescent="0.3">
      <c r="A1530" s="6" t="s">
        <v>6962</v>
      </c>
      <c r="B1530" s="7" t="s">
        <v>359</v>
      </c>
      <c r="C1530" s="17" t="s">
        <v>3044</v>
      </c>
      <c r="D1530" s="17"/>
      <c r="E1530" s="8">
        <v>18513</v>
      </c>
      <c r="F1530" s="9">
        <v>72</v>
      </c>
      <c r="G1530" s="6" t="s">
        <v>6963</v>
      </c>
      <c r="H1530" s="7" t="s">
        <v>25</v>
      </c>
      <c r="I1530" s="6"/>
      <c r="J1530" s="7" t="s">
        <v>20</v>
      </c>
      <c r="K1530" s="7" t="s">
        <v>26</v>
      </c>
      <c r="L1530" s="6"/>
      <c r="M1530" s="10">
        <v>5.3999999999999999E-2</v>
      </c>
      <c r="N1530" s="6" t="s">
        <v>6964</v>
      </c>
      <c r="O1530" s="11">
        <v>15000</v>
      </c>
      <c r="P1530" s="11"/>
      <c r="Q1530" s="18">
        <v>15000</v>
      </c>
      <c r="R1530" s="19"/>
    </row>
    <row r="1531" spans="1:18" hidden="1" x14ac:dyDescent="0.3">
      <c r="A1531" s="6" t="s">
        <v>6965</v>
      </c>
      <c r="B1531" s="7" t="s">
        <v>401</v>
      </c>
      <c r="C1531" s="17" t="s">
        <v>6966</v>
      </c>
      <c r="D1531" s="17"/>
      <c r="E1531" s="8">
        <v>18538</v>
      </c>
      <c r="F1531" s="9">
        <v>72</v>
      </c>
      <c r="G1531" s="6" t="s">
        <v>6967</v>
      </c>
      <c r="H1531" s="7" t="s">
        <v>25</v>
      </c>
      <c r="I1531" s="6"/>
      <c r="J1531" s="7" t="s">
        <v>20</v>
      </c>
      <c r="K1531" s="7" t="s">
        <v>26</v>
      </c>
      <c r="L1531" s="6"/>
      <c r="M1531" s="10">
        <v>5.3999999999999999E-2</v>
      </c>
      <c r="N1531" s="6" t="s">
        <v>6968</v>
      </c>
      <c r="O1531" s="11">
        <v>1142.72</v>
      </c>
      <c r="P1531" s="11"/>
      <c r="Q1531" s="18">
        <v>142.84</v>
      </c>
      <c r="R1531" s="19"/>
    </row>
    <row r="1532" spans="1:18" ht="28.8" hidden="1" x14ac:dyDescent="0.3">
      <c r="A1532" s="6" t="s">
        <v>6969</v>
      </c>
      <c r="B1532" s="7" t="s">
        <v>240</v>
      </c>
      <c r="C1532" s="17" t="s">
        <v>6970</v>
      </c>
      <c r="D1532" s="17"/>
      <c r="E1532" s="8">
        <v>17619</v>
      </c>
      <c r="F1532" s="9">
        <v>74</v>
      </c>
      <c r="G1532" s="6" t="s">
        <v>6971</v>
      </c>
      <c r="H1532" s="7" t="s">
        <v>39</v>
      </c>
      <c r="I1532" s="6" t="s">
        <v>321</v>
      </c>
      <c r="J1532" s="7" t="s">
        <v>20</v>
      </c>
      <c r="K1532" s="7" t="s">
        <v>26</v>
      </c>
      <c r="L1532" s="6"/>
      <c r="M1532" s="10">
        <v>5.67E-2</v>
      </c>
      <c r="N1532" s="6" t="s">
        <v>6972</v>
      </c>
      <c r="O1532" s="11">
        <v>4000</v>
      </c>
      <c r="P1532" s="11"/>
      <c r="Q1532" s="18">
        <v>500</v>
      </c>
      <c r="R1532" s="19"/>
    </row>
    <row r="1533" spans="1:18" ht="43.2" x14ac:dyDescent="0.3">
      <c r="A1533" s="6" t="s">
        <v>6973</v>
      </c>
      <c r="B1533" s="7" t="s">
        <v>4814</v>
      </c>
      <c r="C1533" s="17" t="s">
        <v>6974</v>
      </c>
      <c r="D1533" s="17"/>
      <c r="E1533" s="8">
        <v>15990</v>
      </c>
      <c r="F1533" s="9">
        <v>79</v>
      </c>
      <c r="G1533" s="6" t="s">
        <v>6975</v>
      </c>
      <c r="H1533" s="7" t="s">
        <v>39</v>
      </c>
      <c r="I1533" s="6" t="s">
        <v>132</v>
      </c>
      <c r="J1533" s="7" t="s">
        <v>41</v>
      </c>
      <c r="K1533" s="7" t="s">
        <v>32</v>
      </c>
      <c r="L1533" s="9">
        <v>69</v>
      </c>
      <c r="M1533" s="10">
        <v>4.7600000000000003E-2</v>
      </c>
      <c r="N1533" s="6" t="s">
        <v>6976</v>
      </c>
      <c r="O1533" s="11">
        <v>1500</v>
      </c>
      <c r="P1533" s="11"/>
      <c r="Q1533" s="18">
        <v>1500</v>
      </c>
      <c r="R1533" s="19"/>
    </row>
    <row r="1534" spans="1:18" ht="43.2" hidden="1" x14ac:dyDescent="0.3">
      <c r="A1534" s="6" t="s">
        <v>6977</v>
      </c>
      <c r="B1534" s="7" t="s">
        <v>6978</v>
      </c>
      <c r="C1534" s="17" t="s">
        <v>6979</v>
      </c>
      <c r="D1534" s="17"/>
      <c r="E1534" s="8">
        <v>17096</v>
      </c>
      <c r="F1534" s="9">
        <v>76</v>
      </c>
      <c r="G1534" s="6" t="s">
        <v>6980</v>
      </c>
      <c r="H1534" s="7" t="s">
        <v>39</v>
      </c>
      <c r="I1534" s="6" t="s">
        <v>47</v>
      </c>
      <c r="J1534" s="7" t="s">
        <v>20</v>
      </c>
      <c r="K1534" s="7" t="s">
        <v>32</v>
      </c>
      <c r="L1534" s="6"/>
      <c r="M1534" s="10">
        <v>5.9799999999999999E-2</v>
      </c>
      <c r="N1534" s="6" t="s">
        <v>6981</v>
      </c>
      <c r="O1534" s="11">
        <v>18000</v>
      </c>
      <c r="P1534" s="11"/>
      <c r="Q1534" s="18">
        <v>3000</v>
      </c>
      <c r="R1534" s="19"/>
    </row>
    <row r="1535" spans="1:18" hidden="1" x14ac:dyDescent="0.3">
      <c r="A1535" s="6" t="s">
        <v>6982</v>
      </c>
      <c r="B1535" s="7" t="s">
        <v>334</v>
      </c>
      <c r="C1535" s="17" t="s">
        <v>1867</v>
      </c>
      <c r="D1535" s="17"/>
      <c r="E1535" s="8">
        <v>18308</v>
      </c>
      <c r="F1535" s="9">
        <v>72</v>
      </c>
      <c r="G1535" s="6" t="s">
        <v>6983</v>
      </c>
      <c r="H1535" s="7" t="s">
        <v>25</v>
      </c>
      <c r="I1535" s="6"/>
      <c r="J1535" s="7" t="s">
        <v>20</v>
      </c>
      <c r="K1535" s="7" t="s">
        <v>26</v>
      </c>
      <c r="L1535" s="6"/>
      <c r="M1535" s="10">
        <v>5.3999999999999999E-2</v>
      </c>
      <c r="N1535" s="6" t="s">
        <v>6984</v>
      </c>
      <c r="O1535" s="11">
        <v>4516.4799999999996</v>
      </c>
      <c r="P1535" s="11"/>
      <c r="Q1535" s="18">
        <v>564.55999999999995</v>
      </c>
      <c r="R1535" s="19"/>
    </row>
    <row r="1536" spans="1:18" hidden="1" x14ac:dyDescent="0.3">
      <c r="A1536" s="6" t="s">
        <v>6985</v>
      </c>
      <c r="B1536" s="7" t="s">
        <v>1477</v>
      </c>
      <c r="C1536" s="17" t="s">
        <v>2097</v>
      </c>
      <c r="D1536" s="17"/>
      <c r="E1536" s="7" t="s">
        <v>6986</v>
      </c>
      <c r="F1536" s="9">
        <v>77</v>
      </c>
      <c r="G1536" s="6" t="s">
        <v>6987</v>
      </c>
      <c r="H1536" s="7" t="s">
        <v>25</v>
      </c>
      <c r="I1536" s="6" t="s">
        <v>19</v>
      </c>
      <c r="J1536" s="7" t="s">
        <v>20</v>
      </c>
      <c r="K1536" s="7" t="s">
        <v>32</v>
      </c>
      <c r="L1536" s="6"/>
      <c r="M1536" s="10">
        <v>6.1699999999999998E-2</v>
      </c>
      <c r="N1536" s="6" t="s">
        <v>6988</v>
      </c>
      <c r="O1536" s="6" t="s">
        <v>19</v>
      </c>
      <c r="P1536" s="6"/>
      <c r="Q1536" s="19" t="s">
        <v>19</v>
      </c>
      <c r="R1536" s="19"/>
    </row>
    <row r="1537" spans="1:18" hidden="1" x14ac:dyDescent="0.3">
      <c r="A1537" s="6" t="s">
        <v>6989</v>
      </c>
      <c r="B1537" s="7" t="s">
        <v>1822</v>
      </c>
      <c r="C1537" s="17" t="s">
        <v>6990</v>
      </c>
      <c r="D1537" s="17"/>
      <c r="E1537" s="7" t="s">
        <v>6991</v>
      </c>
      <c r="F1537" s="9">
        <v>74</v>
      </c>
      <c r="G1537" s="6" t="s">
        <v>6992</v>
      </c>
      <c r="H1537" s="7" t="s">
        <v>25</v>
      </c>
      <c r="I1537" s="6" t="s">
        <v>19</v>
      </c>
      <c r="J1537" s="7" t="s">
        <v>20</v>
      </c>
      <c r="K1537" s="7" t="s">
        <v>26</v>
      </c>
      <c r="L1537" s="6"/>
      <c r="M1537" s="10">
        <v>5.67E-2</v>
      </c>
      <c r="N1537" s="6" t="s">
        <v>6993</v>
      </c>
      <c r="O1537" s="6" t="s">
        <v>19</v>
      </c>
      <c r="P1537" s="6"/>
      <c r="Q1537" s="19" t="s">
        <v>19</v>
      </c>
      <c r="R1537" s="19"/>
    </row>
    <row r="1538" spans="1:18" hidden="1" x14ac:dyDescent="0.3">
      <c r="A1538" s="6" t="s">
        <v>6994</v>
      </c>
      <c r="B1538" s="7" t="s">
        <v>6995</v>
      </c>
      <c r="C1538" s="17" t="s">
        <v>6996</v>
      </c>
      <c r="D1538" s="17"/>
      <c r="E1538" s="7" t="s">
        <v>6997</v>
      </c>
      <c r="F1538" s="9">
        <v>72</v>
      </c>
      <c r="G1538" s="6" t="s">
        <v>6998</v>
      </c>
      <c r="H1538" s="7" t="s">
        <v>19</v>
      </c>
      <c r="I1538" s="6" t="s">
        <v>19</v>
      </c>
      <c r="J1538" s="7" t="s">
        <v>20</v>
      </c>
      <c r="K1538" s="7"/>
      <c r="L1538" s="6"/>
      <c r="M1538" s="10">
        <v>5.3999999999999999E-2</v>
      </c>
      <c r="N1538" s="6" t="s">
        <v>6999</v>
      </c>
      <c r="O1538" s="6" t="s">
        <v>19</v>
      </c>
      <c r="P1538" s="6"/>
      <c r="Q1538" s="19" t="s">
        <v>19</v>
      </c>
      <c r="R1538" s="19"/>
    </row>
    <row r="1539" spans="1:18" ht="28.8" hidden="1" x14ac:dyDescent="0.3">
      <c r="A1539" s="6" t="s">
        <v>7000</v>
      </c>
      <c r="B1539" s="7" t="s">
        <v>1517</v>
      </c>
      <c r="C1539" s="17" t="s">
        <v>7001</v>
      </c>
      <c r="D1539" s="17"/>
      <c r="E1539" s="8">
        <v>17213</v>
      </c>
      <c r="F1539" s="9">
        <v>75</v>
      </c>
      <c r="G1539" s="6" t="s">
        <v>7002</v>
      </c>
      <c r="H1539" s="7" t="s">
        <v>39</v>
      </c>
      <c r="I1539" s="6" t="s">
        <v>321</v>
      </c>
      <c r="J1539" s="7" t="s">
        <v>20</v>
      </c>
      <c r="K1539" s="7" t="s">
        <v>26</v>
      </c>
      <c r="L1539" s="6"/>
      <c r="M1539" s="10">
        <v>5.8200000000000002E-2</v>
      </c>
      <c r="N1539" s="6" t="s">
        <v>7003</v>
      </c>
      <c r="O1539" s="11">
        <v>4000</v>
      </c>
      <c r="P1539" s="11"/>
      <c r="Q1539" s="18">
        <v>124.29</v>
      </c>
      <c r="R1539" s="19"/>
    </row>
    <row r="1540" spans="1:18" x14ac:dyDescent="0.3">
      <c r="A1540" s="6" t="s">
        <v>7004</v>
      </c>
      <c r="B1540" s="7" t="s">
        <v>120</v>
      </c>
      <c r="C1540" s="17" t="s">
        <v>1274</v>
      </c>
      <c r="D1540" s="17"/>
      <c r="E1540" s="8">
        <v>17076</v>
      </c>
      <c r="F1540" s="9">
        <v>76</v>
      </c>
      <c r="G1540" s="6" t="s">
        <v>7005</v>
      </c>
      <c r="H1540" s="7" t="s">
        <v>25</v>
      </c>
      <c r="I1540" s="6"/>
      <c r="J1540" s="7" t="s">
        <v>41</v>
      </c>
      <c r="K1540" s="7" t="s">
        <v>32</v>
      </c>
      <c r="L1540" s="6"/>
      <c r="M1540" s="6"/>
      <c r="N1540" s="6" t="s">
        <v>7006</v>
      </c>
      <c r="O1540" s="11">
        <v>3091.84</v>
      </c>
      <c r="P1540" s="11"/>
      <c r="Q1540" s="18">
        <v>3091.84</v>
      </c>
      <c r="R1540" s="19"/>
    </row>
    <row r="1541" spans="1:18" ht="43.2" hidden="1" x14ac:dyDescent="0.3">
      <c r="A1541" s="6" t="s">
        <v>7007</v>
      </c>
      <c r="B1541" s="7" t="s">
        <v>3833</v>
      </c>
      <c r="C1541" s="17" t="s">
        <v>7008</v>
      </c>
      <c r="D1541" s="17"/>
      <c r="E1541" s="8">
        <v>17956</v>
      </c>
      <c r="F1541" s="9">
        <v>73</v>
      </c>
      <c r="G1541" s="6" t="s">
        <v>7009</v>
      </c>
      <c r="H1541" s="7" t="s">
        <v>39</v>
      </c>
      <c r="I1541" s="6" t="s">
        <v>47</v>
      </c>
      <c r="J1541" s="7" t="s">
        <v>20</v>
      </c>
      <c r="K1541" s="7" t="s">
        <v>26</v>
      </c>
      <c r="L1541" s="6"/>
      <c r="M1541" s="10">
        <v>5.5300000000000002E-2</v>
      </c>
      <c r="N1541" s="6" t="s">
        <v>7010</v>
      </c>
      <c r="O1541" s="11">
        <v>8000</v>
      </c>
      <c r="P1541" s="11"/>
      <c r="Q1541" s="18">
        <v>1000</v>
      </c>
      <c r="R1541" s="19"/>
    </row>
    <row r="1542" spans="1:18" hidden="1" x14ac:dyDescent="0.3">
      <c r="A1542" s="6" t="s">
        <v>7011</v>
      </c>
      <c r="B1542" s="7" t="s">
        <v>246</v>
      </c>
      <c r="C1542" s="17" t="s">
        <v>7012</v>
      </c>
      <c r="D1542" s="17"/>
      <c r="E1542" s="8">
        <v>17603</v>
      </c>
      <c r="F1542" s="9">
        <v>74</v>
      </c>
      <c r="G1542" s="6" t="s">
        <v>7013</v>
      </c>
      <c r="H1542" s="7" t="s">
        <v>25</v>
      </c>
      <c r="I1542" s="6"/>
      <c r="J1542" s="7" t="s">
        <v>20</v>
      </c>
      <c r="K1542" s="7" t="s">
        <v>26</v>
      </c>
      <c r="L1542" s="6"/>
      <c r="M1542" s="10">
        <v>5.67E-2</v>
      </c>
      <c r="N1542" s="6" t="s">
        <v>7014</v>
      </c>
      <c r="O1542" s="11">
        <v>2774.24</v>
      </c>
      <c r="P1542" s="11"/>
      <c r="Q1542" s="18">
        <v>346.78</v>
      </c>
      <c r="R1542" s="19"/>
    </row>
    <row r="1543" spans="1:18" ht="28.8" hidden="1" x14ac:dyDescent="0.3">
      <c r="A1543" s="6" t="s">
        <v>7015</v>
      </c>
      <c r="B1543" s="7" t="s">
        <v>7016</v>
      </c>
      <c r="C1543" s="17" t="s">
        <v>5966</v>
      </c>
      <c r="D1543" s="17"/>
      <c r="E1543" s="8">
        <v>18128</v>
      </c>
      <c r="F1543" s="9">
        <v>73</v>
      </c>
      <c r="G1543" s="6" t="s">
        <v>7017</v>
      </c>
      <c r="H1543" s="7" t="s">
        <v>39</v>
      </c>
      <c r="I1543" s="6" t="s">
        <v>941</v>
      </c>
      <c r="J1543" s="7" t="s">
        <v>20</v>
      </c>
      <c r="K1543" s="7" t="s">
        <v>26</v>
      </c>
      <c r="L1543" s="6"/>
      <c r="M1543" s="10">
        <v>5.5300000000000002E-2</v>
      </c>
      <c r="N1543" s="6" t="s">
        <v>7018</v>
      </c>
      <c r="O1543" s="11">
        <v>2400</v>
      </c>
      <c r="P1543" s="11"/>
      <c r="Q1543" s="18">
        <v>300</v>
      </c>
      <c r="R1543" s="19"/>
    </row>
    <row r="1544" spans="1:18" hidden="1" x14ac:dyDescent="0.3">
      <c r="A1544" s="6" t="s">
        <v>7019</v>
      </c>
      <c r="B1544" s="7" t="s">
        <v>3015</v>
      </c>
      <c r="C1544" s="17" t="s">
        <v>3260</v>
      </c>
      <c r="D1544" s="17"/>
      <c r="E1544" s="8">
        <v>17926</v>
      </c>
      <c r="F1544" s="9">
        <v>73</v>
      </c>
      <c r="G1544" s="6" t="s">
        <v>7020</v>
      </c>
      <c r="H1544" s="7" t="s">
        <v>25</v>
      </c>
      <c r="I1544" s="6"/>
      <c r="J1544" s="7" t="s">
        <v>20</v>
      </c>
      <c r="K1544" s="7" t="s">
        <v>32</v>
      </c>
      <c r="L1544" s="6"/>
      <c r="M1544" s="10">
        <v>5.5300000000000002E-2</v>
      </c>
      <c r="N1544" s="6" t="s">
        <v>7021</v>
      </c>
      <c r="O1544" s="11">
        <v>950.97</v>
      </c>
      <c r="P1544" s="11"/>
      <c r="Q1544" s="18">
        <v>950.97</v>
      </c>
      <c r="R1544" s="19"/>
    </row>
    <row r="1545" spans="1:18" hidden="1" x14ac:dyDescent="0.3">
      <c r="A1545" s="6" t="s">
        <v>7022</v>
      </c>
      <c r="B1545" s="7" t="s">
        <v>509</v>
      </c>
      <c r="C1545" s="17" t="s">
        <v>7023</v>
      </c>
      <c r="D1545" s="17"/>
      <c r="E1545" s="8">
        <v>18518</v>
      </c>
      <c r="F1545" s="9">
        <v>72</v>
      </c>
      <c r="G1545" s="6" t="s">
        <v>7024</v>
      </c>
      <c r="H1545" s="7" t="s">
        <v>25</v>
      </c>
      <c r="I1545" s="6"/>
      <c r="J1545" s="7" t="s">
        <v>20</v>
      </c>
      <c r="K1545" s="7" t="s">
        <v>26</v>
      </c>
      <c r="L1545" s="6"/>
      <c r="M1545" s="10">
        <v>5.3999999999999999E-2</v>
      </c>
      <c r="N1545" s="6" t="s">
        <v>7025</v>
      </c>
      <c r="O1545" s="11">
        <v>4300.3999999999996</v>
      </c>
      <c r="P1545" s="11"/>
      <c r="Q1545" s="18">
        <v>34.68</v>
      </c>
      <c r="R1545" s="19"/>
    </row>
    <row r="1546" spans="1:18" ht="28.8" hidden="1" x14ac:dyDescent="0.3">
      <c r="A1546" s="6" t="s">
        <v>7026</v>
      </c>
      <c r="B1546" s="7" t="s">
        <v>7027</v>
      </c>
      <c r="C1546" s="17" t="s">
        <v>5817</v>
      </c>
      <c r="D1546" s="17"/>
      <c r="E1546" s="7" t="s">
        <v>7028</v>
      </c>
      <c r="F1546" s="9">
        <v>72</v>
      </c>
      <c r="G1546" s="6" t="s">
        <v>7029</v>
      </c>
      <c r="H1546" s="7" t="s">
        <v>39</v>
      </c>
      <c r="I1546" s="6" t="s">
        <v>7030</v>
      </c>
      <c r="J1546" s="7" t="s">
        <v>20</v>
      </c>
      <c r="K1546" s="7" t="s">
        <v>26</v>
      </c>
      <c r="L1546" s="6"/>
      <c r="M1546" s="10">
        <v>5.3999999999999999E-2</v>
      </c>
      <c r="N1546" s="6" t="s">
        <v>7031</v>
      </c>
      <c r="O1546" s="6" t="s">
        <v>19</v>
      </c>
      <c r="P1546" s="6"/>
      <c r="Q1546" s="19" t="s">
        <v>19</v>
      </c>
      <c r="R1546" s="19"/>
    </row>
    <row r="1547" spans="1:18" ht="28.8" hidden="1" x14ac:dyDescent="0.3">
      <c r="A1547" s="6" t="s">
        <v>7032</v>
      </c>
      <c r="B1547" s="7" t="s">
        <v>81</v>
      </c>
      <c r="C1547" s="17" t="s">
        <v>7033</v>
      </c>
      <c r="D1547" s="17"/>
      <c r="E1547" s="8">
        <v>17543</v>
      </c>
      <c r="F1547" s="9">
        <v>74</v>
      </c>
      <c r="G1547" s="6" t="s">
        <v>7034</v>
      </c>
      <c r="H1547" s="7" t="s">
        <v>39</v>
      </c>
      <c r="I1547" s="6" t="s">
        <v>7035</v>
      </c>
      <c r="J1547" s="7" t="s">
        <v>20</v>
      </c>
      <c r="K1547" s="7" t="s">
        <v>26</v>
      </c>
      <c r="L1547" s="6"/>
      <c r="M1547" s="10">
        <v>5.67E-2</v>
      </c>
      <c r="N1547" s="6" t="s">
        <v>7036</v>
      </c>
      <c r="O1547" s="11">
        <v>2818.24</v>
      </c>
      <c r="P1547" s="11"/>
      <c r="Q1547" s="18">
        <v>352.28</v>
      </c>
      <c r="R1547" s="19"/>
    </row>
    <row r="1548" spans="1:18" hidden="1" x14ac:dyDescent="0.3">
      <c r="A1548" s="6" t="s">
        <v>7037</v>
      </c>
      <c r="B1548" s="7" t="s">
        <v>1038</v>
      </c>
      <c r="C1548" s="17" t="s">
        <v>7038</v>
      </c>
      <c r="D1548" s="17"/>
      <c r="E1548" s="7" t="s">
        <v>7039</v>
      </c>
      <c r="F1548" s="9">
        <v>72</v>
      </c>
      <c r="G1548" s="6" t="s">
        <v>7040</v>
      </c>
      <c r="H1548" s="7" t="s">
        <v>19</v>
      </c>
      <c r="I1548" s="6" t="s">
        <v>19</v>
      </c>
      <c r="J1548" s="7" t="s">
        <v>20</v>
      </c>
      <c r="K1548" s="7"/>
      <c r="L1548" s="6"/>
      <c r="M1548" s="10">
        <v>5.3999999999999999E-2</v>
      </c>
      <c r="N1548" s="6" t="s">
        <v>7041</v>
      </c>
      <c r="O1548" s="6" t="s">
        <v>19</v>
      </c>
      <c r="P1548" s="6"/>
      <c r="Q1548" s="19" t="s">
        <v>19</v>
      </c>
      <c r="R1548" s="19"/>
    </row>
    <row r="1549" spans="1:18" ht="43.2" hidden="1" x14ac:dyDescent="0.3">
      <c r="A1549" s="6" t="s">
        <v>7042</v>
      </c>
      <c r="B1549" s="7" t="s">
        <v>1712</v>
      </c>
      <c r="C1549" s="17" t="s">
        <v>7043</v>
      </c>
      <c r="D1549" s="17"/>
      <c r="E1549" s="8">
        <v>17325</v>
      </c>
      <c r="F1549" s="9">
        <v>75</v>
      </c>
      <c r="G1549" s="6" t="s">
        <v>7044</v>
      </c>
      <c r="H1549" s="7" t="s">
        <v>39</v>
      </c>
      <c r="I1549" s="6" t="s">
        <v>1026</v>
      </c>
      <c r="J1549" s="7" t="s">
        <v>20</v>
      </c>
      <c r="K1549" s="7" t="s">
        <v>26</v>
      </c>
      <c r="L1549" s="6"/>
      <c r="M1549" s="10">
        <v>5.8200000000000002E-2</v>
      </c>
      <c r="N1549" s="6" t="s">
        <v>7045</v>
      </c>
      <c r="O1549" s="11">
        <v>8800</v>
      </c>
      <c r="P1549" s="11"/>
      <c r="Q1549" s="18">
        <v>1100</v>
      </c>
      <c r="R1549" s="19"/>
    </row>
    <row r="1550" spans="1:18" ht="43.2" hidden="1" x14ac:dyDescent="0.3">
      <c r="A1550" s="6" t="s">
        <v>7046</v>
      </c>
      <c r="B1550" s="7" t="s">
        <v>401</v>
      </c>
      <c r="C1550" s="17" t="s">
        <v>7047</v>
      </c>
      <c r="D1550" s="17"/>
      <c r="E1550" s="8">
        <v>18079</v>
      </c>
      <c r="F1550" s="9">
        <v>73</v>
      </c>
      <c r="G1550" s="6" t="s">
        <v>7048</v>
      </c>
      <c r="H1550" s="7" t="s">
        <v>39</v>
      </c>
      <c r="I1550" s="6" t="s">
        <v>89</v>
      </c>
      <c r="J1550" s="7" t="s">
        <v>20</v>
      </c>
      <c r="K1550" s="7" t="s">
        <v>26</v>
      </c>
      <c r="L1550" s="6"/>
      <c r="M1550" s="10">
        <v>5.5300000000000002E-2</v>
      </c>
      <c r="N1550" s="6" t="s">
        <v>7049</v>
      </c>
      <c r="O1550" s="11">
        <v>9600</v>
      </c>
      <c r="P1550" s="11"/>
      <c r="Q1550" s="18">
        <v>1200</v>
      </c>
      <c r="R1550" s="19"/>
    </row>
    <row r="1551" spans="1:18" hidden="1" x14ac:dyDescent="0.3">
      <c r="A1551" s="6" t="s">
        <v>7050</v>
      </c>
      <c r="B1551" s="7" t="s">
        <v>3114</v>
      </c>
      <c r="C1551" s="17" t="s">
        <v>7051</v>
      </c>
      <c r="D1551" s="17"/>
      <c r="E1551" s="8">
        <v>18436</v>
      </c>
      <c r="F1551" s="9">
        <v>72</v>
      </c>
      <c r="G1551" s="6" t="s">
        <v>7052</v>
      </c>
      <c r="H1551" s="7" t="s">
        <v>25</v>
      </c>
      <c r="I1551" s="6"/>
      <c r="J1551" s="7" t="s">
        <v>20</v>
      </c>
      <c r="K1551" s="7" t="s">
        <v>26</v>
      </c>
      <c r="L1551" s="6"/>
      <c r="M1551" s="10">
        <v>5.3999999999999999E-2</v>
      </c>
      <c r="N1551" s="6" t="s">
        <v>7053</v>
      </c>
      <c r="O1551" s="11">
        <v>26000</v>
      </c>
      <c r="P1551" s="11"/>
      <c r="Q1551" s="18">
        <v>26000</v>
      </c>
      <c r="R1551" s="19"/>
    </row>
    <row r="1552" spans="1:18" ht="28.8" hidden="1" x14ac:dyDescent="0.3">
      <c r="A1552" s="6" t="s">
        <v>7054</v>
      </c>
      <c r="B1552" s="7" t="s">
        <v>2456</v>
      </c>
      <c r="C1552" s="17" t="s">
        <v>7055</v>
      </c>
      <c r="D1552" s="17"/>
      <c r="E1552" s="8">
        <v>15549</v>
      </c>
      <c r="F1552" s="9">
        <v>80</v>
      </c>
      <c r="G1552" s="6" t="s">
        <v>7056</v>
      </c>
      <c r="H1552" s="7" t="s">
        <v>39</v>
      </c>
      <c r="I1552" s="6" t="s">
        <v>1160</v>
      </c>
      <c r="J1552" s="7" t="s">
        <v>20</v>
      </c>
      <c r="K1552" s="7" t="s">
        <v>26</v>
      </c>
      <c r="L1552" s="6"/>
      <c r="M1552" s="10">
        <v>6.8199999999999997E-2</v>
      </c>
      <c r="N1552" s="6" t="s">
        <v>7057</v>
      </c>
      <c r="O1552" s="11">
        <v>3200</v>
      </c>
      <c r="P1552" s="11"/>
      <c r="Q1552" s="18">
        <v>400</v>
      </c>
      <c r="R1552" s="19"/>
    </row>
    <row r="1553" spans="1:18" ht="43.2" hidden="1" x14ac:dyDescent="0.3">
      <c r="A1553" s="6" t="s">
        <v>7058</v>
      </c>
      <c r="B1553" s="7" t="s">
        <v>276</v>
      </c>
      <c r="C1553" s="17" t="s">
        <v>7059</v>
      </c>
      <c r="D1553" s="17"/>
      <c r="E1553" s="8">
        <v>17184</v>
      </c>
      <c r="F1553" s="9">
        <v>75</v>
      </c>
      <c r="G1553" s="6" t="s">
        <v>7060</v>
      </c>
      <c r="H1553" s="7" t="s">
        <v>39</v>
      </c>
      <c r="I1553" s="6" t="s">
        <v>132</v>
      </c>
      <c r="J1553" s="7" t="s">
        <v>20</v>
      </c>
      <c r="K1553" s="7" t="s">
        <v>26</v>
      </c>
      <c r="L1553" s="6"/>
      <c r="M1553" s="10">
        <v>5.8200000000000002E-2</v>
      </c>
      <c r="N1553" s="6" t="s">
        <v>7061</v>
      </c>
      <c r="O1553" s="11">
        <v>12000</v>
      </c>
      <c r="P1553" s="11"/>
      <c r="Q1553" s="18">
        <v>1500</v>
      </c>
      <c r="R1553" s="19"/>
    </row>
    <row r="1554" spans="1:18" ht="43.2" hidden="1" x14ac:dyDescent="0.3">
      <c r="A1554" s="6" t="s">
        <v>7058</v>
      </c>
      <c r="B1554" s="7" t="s">
        <v>276</v>
      </c>
      <c r="C1554" s="17" t="s">
        <v>7059</v>
      </c>
      <c r="D1554" s="17"/>
      <c r="E1554" s="8">
        <v>17184</v>
      </c>
      <c r="F1554" s="9">
        <v>75</v>
      </c>
      <c r="G1554" s="6" t="s">
        <v>7060</v>
      </c>
      <c r="H1554" s="7" t="s">
        <v>39</v>
      </c>
      <c r="I1554" s="6" t="s">
        <v>132</v>
      </c>
      <c r="J1554" s="7" t="s">
        <v>20</v>
      </c>
      <c r="K1554" s="7" t="s">
        <v>26</v>
      </c>
      <c r="L1554" s="6"/>
      <c r="M1554" s="10">
        <v>5.8200000000000002E-2</v>
      </c>
      <c r="N1554" s="6" t="s">
        <v>7061</v>
      </c>
      <c r="O1554" s="11">
        <v>12000</v>
      </c>
      <c r="P1554" s="11"/>
      <c r="Q1554" s="18">
        <v>1500</v>
      </c>
      <c r="R1554" s="19"/>
    </row>
    <row r="1555" spans="1:18" hidden="1" x14ac:dyDescent="0.3">
      <c r="A1555" s="6" t="s">
        <v>7062</v>
      </c>
      <c r="B1555" s="7" t="s">
        <v>7063</v>
      </c>
      <c r="C1555" s="17" t="s">
        <v>7064</v>
      </c>
      <c r="D1555" s="17"/>
      <c r="E1555" s="8">
        <v>15855</v>
      </c>
      <c r="F1555" s="9">
        <v>79</v>
      </c>
      <c r="G1555" s="6" t="s">
        <v>7065</v>
      </c>
      <c r="H1555" s="7" t="s">
        <v>25</v>
      </c>
      <c r="I1555" s="6"/>
      <c r="J1555" s="7" t="s">
        <v>20</v>
      </c>
      <c r="K1555" s="7" t="s">
        <v>32</v>
      </c>
      <c r="L1555" s="6"/>
      <c r="M1555" s="10">
        <v>6.5799999999999997E-2</v>
      </c>
      <c r="N1555" s="6" t="s">
        <v>7066</v>
      </c>
      <c r="O1555" s="11">
        <v>8189.66</v>
      </c>
      <c r="P1555" s="11"/>
      <c r="Q1555" s="18">
        <v>3772.8</v>
      </c>
      <c r="R1555" s="19"/>
    </row>
    <row r="1556" spans="1:18" ht="43.2" hidden="1" x14ac:dyDescent="0.3">
      <c r="A1556" s="6" t="s">
        <v>7067</v>
      </c>
      <c r="B1556" s="7" t="s">
        <v>406</v>
      </c>
      <c r="C1556" s="17" t="s">
        <v>7068</v>
      </c>
      <c r="D1556" s="17"/>
      <c r="E1556" s="8">
        <v>17830</v>
      </c>
      <c r="F1556" s="9">
        <v>74</v>
      </c>
      <c r="G1556" s="6" t="s">
        <v>7069</v>
      </c>
      <c r="H1556" s="7" t="s">
        <v>39</v>
      </c>
      <c r="I1556" s="6" t="s">
        <v>3746</v>
      </c>
      <c r="J1556" s="7" t="s">
        <v>20</v>
      </c>
      <c r="K1556" s="7" t="s">
        <v>32</v>
      </c>
      <c r="L1556" s="6"/>
      <c r="M1556" s="10">
        <v>5.67E-2</v>
      </c>
      <c r="N1556" s="6" t="s">
        <v>7070</v>
      </c>
      <c r="O1556" s="11">
        <v>1700</v>
      </c>
      <c r="P1556" s="11"/>
      <c r="Q1556" s="18">
        <v>1700</v>
      </c>
      <c r="R1556" s="19"/>
    </row>
    <row r="1557" spans="1:18" ht="43.2" hidden="1" x14ac:dyDescent="0.3">
      <c r="A1557" s="6" t="s">
        <v>7071</v>
      </c>
      <c r="B1557" s="7" t="s">
        <v>7072</v>
      </c>
      <c r="C1557" s="17" t="s">
        <v>3147</v>
      </c>
      <c r="D1557" s="17"/>
      <c r="E1557" s="8">
        <v>15090</v>
      </c>
      <c r="F1557" s="9">
        <v>81</v>
      </c>
      <c r="G1557" s="6" t="s">
        <v>7073</v>
      </c>
      <c r="H1557" s="7" t="s">
        <v>39</v>
      </c>
      <c r="I1557" s="6" t="s">
        <v>132</v>
      </c>
      <c r="J1557" s="7" t="s">
        <v>20</v>
      </c>
      <c r="K1557" s="7" t="s">
        <v>26</v>
      </c>
      <c r="L1557" s="6"/>
      <c r="M1557" s="10">
        <v>7.0800000000000002E-2</v>
      </c>
      <c r="N1557" s="6" t="s">
        <v>7074</v>
      </c>
      <c r="O1557" s="11">
        <v>12000</v>
      </c>
      <c r="P1557" s="11"/>
      <c r="Q1557" s="18">
        <v>1500</v>
      </c>
      <c r="R1557" s="19"/>
    </row>
    <row r="1558" spans="1:18" hidden="1" x14ac:dyDescent="0.3">
      <c r="A1558" s="6" t="s">
        <v>7075</v>
      </c>
      <c r="B1558" s="7" t="s">
        <v>4502</v>
      </c>
      <c r="C1558" s="17" t="s">
        <v>7076</v>
      </c>
      <c r="D1558" s="17"/>
      <c r="E1558" s="7" t="s">
        <v>1247</v>
      </c>
      <c r="F1558" s="9">
        <v>72</v>
      </c>
      <c r="G1558" s="6" t="s">
        <v>7077</v>
      </c>
      <c r="H1558" s="7" t="s">
        <v>19</v>
      </c>
      <c r="I1558" s="6" t="s">
        <v>19</v>
      </c>
      <c r="J1558" s="7" t="s">
        <v>20</v>
      </c>
      <c r="K1558" s="7"/>
      <c r="L1558" s="6"/>
      <c r="M1558" s="10">
        <v>5.3999999999999999E-2</v>
      </c>
      <c r="N1558" s="6" t="s">
        <v>7078</v>
      </c>
      <c r="O1558" s="6" t="s">
        <v>19</v>
      </c>
      <c r="P1558" s="6"/>
      <c r="Q1558" s="19" t="s">
        <v>19</v>
      </c>
      <c r="R1558" s="19"/>
    </row>
    <row r="1559" spans="1:18" ht="28.8" hidden="1" x14ac:dyDescent="0.3">
      <c r="A1559" s="6" t="s">
        <v>7079</v>
      </c>
      <c r="B1559" s="7" t="s">
        <v>7080</v>
      </c>
      <c r="C1559" s="17" t="s">
        <v>241</v>
      </c>
      <c r="D1559" s="17"/>
      <c r="E1559" s="8">
        <v>18602</v>
      </c>
      <c r="F1559" s="9">
        <v>72</v>
      </c>
      <c r="G1559" s="6" t="s">
        <v>7081</v>
      </c>
      <c r="H1559" s="7" t="s">
        <v>39</v>
      </c>
      <c r="I1559" s="6" t="s">
        <v>7082</v>
      </c>
      <c r="J1559" s="7" t="s">
        <v>20</v>
      </c>
      <c r="K1559" s="7" t="s">
        <v>26</v>
      </c>
      <c r="L1559" s="6"/>
      <c r="M1559" s="10">
        <v>5.3999999999999999E-2</v>
      </c>
      <c r="N1559" s="6" t="s">
        <v>7083</v>
      </c>
      <c r="O1559" s="11">
        <v>5000</v>
      </c>
      <c r="P1559" s="11"/>
      <c r="Q1559" s="18">
        <v>625</v>
      </c>
      <c r="R1559" s="19"/>
    </row>
    <row r="1560" spans="1:18" ht="28.8" hidden="1" x14ac:dyDescent="0.3">
      <c r="A1560" s="6" t="s">
        <v>7084</v>
      </c>
      <c r="B1560" s="7" t="s">
        <v>7085</v>
      </c>
      <c r="C1560" s="17" t="s">
        <v>7086</v>
      </c>
      <c r="D1560" s="17"/>
      <c r="E1560" s="8">
        <v>15716</v>
      </c>
      <c r="F1560" s="9">
        <v>79</v>
      </c>
      <c r="G1560" s="6" t="s">
        <v>7087</v>
      </c>
      <c r="H1560" s="7" t="s">
        <v>39</v>
      </c>
      <c r="I1560" s="6" t="s">
        <v>2738</v>
      </c>
      <c r="J1560" s="7" t="s">
        <v>20</v>
      </c>
      <c r="K1560" s="7" t="s">
        <v>26</v>
      </c>
      <c r="L1560" s="6"/>
      <c r="M1560" s="10">
        <v>6.5799999999999997E-2</v>
      </c>
      <c r="N1560" s="6" t="s">
        <v>7088</v>
      </c>
      <c r="O1560" s="11">
        <v>800</v>
      </c>
      <c r="P1560" s="11"/>
      <c r="Q1560" s="18">
        <v>100</v>
      </c>
      <c r="R1560" s="19"/>
    </row>
    <row r="1561" spans="1:18" hidden="1" x14ac:dyDescent="0.3">
      <c r="A1561" s="6" t="s">
        <v>7089</v>
      </c>
      <c r="B1561" s="7" t="s">
        <v>1262</v>
      </c>
      <c r="C1561" s="17" t="s">
        <v>7090</v>
      </c>
      <c r="D1561" s="17"/>
      <c r="E1561" s="7" t="s">
        <v>7091</v>
      </c>
      <c r="F1561" s="9">
        <v>72</v>
      </c>
      <c r="G1561" s="6" t="s">
        <v>7092</v>
      </c>
      <c r="H1561" s="7" t="s">
        <v>19</v>
      </c>
      <c r="I1561" s="6" t="s">
        <v>19</v>
      </c>
      <c r="J1561" s="7" t="s">
        <v>41</v>
      </c>
      <c r="K1561" s="7"/>
      <c r="L1561" s="9">
        <v>70</v>
      </c>
      <c r="M1561" s="10">
        <v>0.05</v>
      </c>
      <c r="N1561" s="6" t="s">
        <v>7093</v>
      </c>
      <c r="O1561" s="6" t="s">
        <v>19</v>
      </c>
      <c r="P1561" s="6"/>
      <c r="Q1561" s="19" t="s">
        <v>19</v>
      </c>
      <c r="R1561" s="19"/>
    </row>
    <row r="1562" spans="1:18" ht="28.8" hidden="1" x14ac:dyDescent="0.3">
      <c r="A1562" s="6" t="s">
        <v>7094</v>
      </c>
      <c r="B1562" s="7" t="s">
        <v>7095</v>
      </c>
      <c r="C1562" s="17" t="s">
        <v>7096</v>
      </c>
      <c r="D1562" s="17"/>
      <c r="E1562" s="8">
        <v>17284</v>
      </c>
      <c r="F1562" s="9">
        <v>75</v>
      </c>
      <c r="G1562" s="6" t="s">
        <v>7097</v>
      </c>
      <c r="H1562" s="7" t="s">
        <v>39</v>
      </c>
      <c r="I1562" s="6" t="s">
        <v>284</v>
      </c>
      <c r="J1562" s="7" t="s">
        <v>20</v>
      </c>
      <c r="K1562" s="7" t="s">
        <v>26</v>
      </c>
      <c r="L1562" s="6"/>
      <c r="M1562" s="10">
        <v>5.8200000000000002E-2</v>
      </c>
      <c r="N1562" s="6" t="s">
        <v>7098</v>
      </c>
      <c r="O1562" s="11">
        <v>2000</v>
      </c>
      <c r="P1562" s="11"/>
      <c r="Q1562" s="18">
        <v>250</v>
      </c>
      <c r="R1562" s="19"/>
    </row>
    <row r="1563" spans="1:18" ht="43.2" x14ac:dyDescent="0.3">
      <c r="A1563" s="6" t="s">
        <v>7099</v>
      </c>
      <c r="B1563" s="7" t="s">
        <v>4597</v>
      </c>
      <c r="C1563" s="17" t="s">
        <v>7100</v>
      </c>
      <c r="D1563" s="17"/>
      <c r="E1563" s="8">
        <v>18488</v>
      </c>
      <c r="F1563" s="9">
        <v>72</v>
      </c>
      <c r="G1563" s="6" t="s">
        <v>7101</v>
      </c>
      <c r="H1563" s="7" t="s">
        <v>39</v>
      </c>
      <c r="I1563" s="6" t="s">
        <v>132</v>
      </c>
      <c r="J1563" s="7" t="s">
        <v>41</v>
      </c>
      <c r="K1563" s="7" t="s">
        <v>26</v>
      </c>
      <c r="L1563" s="9">
        <v>63</v>
      </c>
      <c r="M1563" s="10">
        <v>3.6999999999999998E-2</v>
      </c>
      <c r="N1563" s="6" t="s">
        <v>7102</v>
      </c>
      <c r="O1563" s="11">
        <v>11200</v>
      </c>
      <c r="P1563" s="11"/>
      <c r="Q1563" s="18">
        <v>345.77</v>
      </c>
      <c r="R1563" s="19"/>
    </row>
    <row r="1564" spans="1:18" hidden="1" x14ac:dyDescent="0.3">
      <c r="A1564" s="6" t="s">
        <v>7103</v>
      </c>
      <c r="B1564" s="7" t="s">
        <v>3381</v>
      </c>
      <c r="C1564" s="17" t="s">
        <v>5160</v>
      </c>
      <c r="D1564" s="17"/>
      <c r="E1564" s="8">
        <v>17381</v>
      </c>
      <c r="F1564" s="9">
        <v>75</v>
      </c>
      <c r="G1564" s="6" t="s">
        <v>7104</v>
      </c>
      <c r="H1564" s="7" t="s">
        <v>25</v>
      </c>
      <c r="I1564" s="6"/>
      <c r="J1564" s="7" t="s">
        <v>20</v>
      </c>
      <c r="K1564" s="7" t="s">
        <v>26</v>
      </c>
      <c r="L1564" s="6"/>
      <c r="M1564" s="10">
        <v>5.8200000000000002E-2</v>
      </c>
      <c r="N1564" s="6" t="s">
        <v>7105</v>
      </c>
      <c r="O1564" s="11">
        <v>1888.48</v>
      </c>
      <c r="P1564" s="11"/>
      <c r="Q1564" s="18">
        <v>236.06</v>
      </c>
      <c r="R1564" s="19"/>
    </row>
    <row r="1565" spans="1:18" ht="28.8" hidden="1" x14ac:dyDescent="0.3">
      <c r="A1565" s="6" t="s">
        <v>7106</v>
      </c>
      <c r="B1565" s="7" t="s">
        <v>451</v>
      </c>
      <c r="C1565" s="17" t="s">
        <v>7107</v>
      </c>
      <c r="D1565" s="17"/>
      <c r="E1565" s="8">
        <v>17699</v>
      </c>
      <c r="F1565" s="9">
        <v>74</v>
      </c>
      <c r="G1565" s="6" t="s">
        <v>7108</v>
      </c>
      <c r="H1565" s="7" t="s">
        <v>39</v>
      </c>
      <c r="I1565" s="6" t="s">
        <v>176</v>
      </c>
      <c r="J1565" s="7" t="s">
        <v>20</v>
      </c>
      <c r="K1565" s="7" t="s">
        <v>26</v>
      </c>
      <c r="L1565" s="6"/>
      <c r="M1565" s="10">
        <v>5.67E-2</v>
      </c>
      <c r="N1565" s="6" t="s">
        <v>7109</v>
      </c>
      <c r="O1565" s="11">
        <v>4800</v>
      </c>
      <c r="P1565" s="11"/>
      <c r="Q1565" s="18">
        <v>600</v>
      </c>
      <c r="R1565" s="19"/>
    </row>
    <row r="1566" spans="1:18" hidden="1" x14ac:dyDescent="0.3">
      <c r="A1566" s="6" t="s">
        <v>7110</v>
      </c>
      <c r="B1566" s="7" t="s">
        <v>1303</v>
      </c>
      <c r="C1566" s="17" t="s">
        <v>7111</v>
      </c>
      <c r="D1566" s="17"/>
      <c r="E1566" s="7" t="s">
        <v>7112</v>
      </c>
      <c r="F1566" s="9">
        <v>72</v>
      </c>
      <c r="G1566" s="6" t="s">
        <v>7113</v>
      </c>
      <c r="H1566" s="7" t="s">
        <v>19</v>
      </c>
      <c r="I1566" s="6" t="s">
        <v>19</v>
      </c>
      <c r="J1566" s="7" t="s">
        <v>20</v>
      </c>
      <c r="K1566" s="7"/>
      <c r="L1566" s="6"/>
      <c r="M1566" s="10">
        <v>5.3999999999999999E-2</v>
      </c>
      <c r="N1566" s="6" t="s">
        <v>7114</v>
      </c>
      <c r="O1566" s="6" t="s">
        <v>19</v>
      </c>
      <c r="P1566" s="6"/>
      <c r="Q1566" s="19" t="s">
        <v>19</v>
      </c>
      <c r="R1566" s="19"/>
    </row>
    <row r="1567" spans="1:18" ht="43.2" hidden="1" x14ac:dyDescent="0.3">
      <c r="A1567" s="6" t="s">
        <v>7115</v>
      </c>
      <c r="B1567" s="7" t="s">
        <v>270</v>
      </c>
      <c r="C1567" s="17" t="s">
        <v>7116</v>
      </c>
      <c r="D1567" s="17"/>
      <c r="E1567" s="8">
        <v>16450</v>
      </c>
      <c r="F1567" s="9">
        <v>77</v>
      </c>
      <c r="G1567" s="6" t="s">
        <v>7117</v>
      </c>
      <c r="H1567" s="7" t="s">
        <v>39</v>
      </c>
      <c r="I1567" s="6" t="s">
        <v>243</v>
      </c>
      <c r="J1567" s="7" t="s">
        <v>20</v>
      </c>
      <c r="K1567" s="7" t="s">
        <v>26</v>
      </c>
      <c r="L1567" s="6"/>
      <c r="M1567" s="10">
        <v>6.1699999999999998E-2</v>
      </c>
      <c r="N1567" s="6" t="s">
        <v>7118</v>
      </c>
      <c r="O1567" s="11">
        <v>14400</v>
      </c>
      <c r="P1567" s="11"/>
      <c r="Q1567" s="18">
        <v>1800</v>
      </c>
      <c r="R1567" s="19"/>
    </row>
    <row r="1568" spans="1:18" x14ac:dyDescent="0.3">
      <c r="A1568" s="6" t="s">
        <v>7119</v>
      </c>
      <c r="B1568" s="7" t="s">
        <v>2857</v>
      </c>
      <c r="C1568" s="17" t="s">
        <v>6370</v>
      </c>
      <c r="D1568" s="17"/>
      <c r="E1568" s="8">
        <v>17655</v>
      </c>
      <c r="F1568" s="9">
        <v>74</v>
      </c>
      <c r="G1568" s="6" t="s">
        <v>7120</v>
      </c>
      <c r="H1568" s="7" t="s">
        <v>25</v>
      </c>
      <c r="I1568" s="6"/>
      <c r="J1568" s="7" t="s">
        <v>41</v>
      </c>
      <c r="K1568" s="7" t="s">
        <v>32</v>
      </c>
      <c r="L1568" s="9">
        <v>66</v>
      </c>
      <c r="M1568" s="10">
        <v>4.1700000000000001E-2</v>
      </c>
      <c r="N1568" s="6" t="s">
        <v>7121</v>
      </c>
      <c r="O1568" s="11">
        <v>821.42</v>
      </c>
      <c r="P1568" s="11"/>
      <c r="Q1568" s="18">
        <v>821.42</v>
      </c>
      <c r="R1568" s="19"/>
    </row>
    <row r="1569" spans="1:18" ht="28.8" hidden="1" x14ac:dyDescent="0.3">
      <c r="A1569" s="6" t="s">
        <v>7122</v>
      </c>
      <c r="B1569" s="7" t="s">
        <v>1712</v>
      </c>
      <c r="C1569" s="17" t="s">
        <v>7123</v>
      </c>
      <c r="D1569" s="17"/>
      <c r="E1569" s="8">
        <v>18078</v>
      </c>
      <c r="F1569" s="9">
        <v>73</v>
      </c>
      <c r="G1569" s="6" t="s">
        <v>7124</v>
      </c>
      <c r="H1569" s="7" t="s">
        <v>39</v>
      </c>
      <c r="I1569" s="6" t="s">
        <v>284</v>
      </c>
      <c r="J1569" s="7" t="s">
        <v>20</v>
      </c>
      <c r="K1569" s="7" t="s">
        <v>26</v>
      </c>
      <c r="L1569" s="6"/>
      <c r="M1569" s="10">
        <v>5.5300000000000002E-2</v>
      </c>
      <c r="N1569" s="6" t="s">
        <v>7125</v>
      </c>
      <c r="O1569" s="11">
        <v>2000</v>
      </c>
      <c r="P1569" s="11"/>
      <c r="Q1569" s="18">
        <v>2.61</v>
      </c>
      <c r="R1569" s="19"/>
    </row>
    <row r="1570" spans="1:18" ht="28.8" hidden="1" x14ac:dyDescent="0.3">
      <c r="A1570" s="6" t="s">
        <v>7126</v>
      </c>
      <c r="B1570" s="7" t="s">
        <v>114</v>
      </c>
      <c r="C1570" s="17" t="s">
        <v>3147</v>
      </c>
      <c r="D1570" s="17"/>
      <c r="E1570" s="8">
        <v>18195</v>
      </c>
      <c r="F1570" s="9">
        <v>73</v>
      </c>
      <c r="G1570" s="6" t="s">
        <v>7127</v>
      </c>
      <c r="H1570" s="7" t="s">
        <v>39</v>
      </c>
      <c r="I1570" s="6" t="s">
        <v>6271</v>
      </c>
      <c r="J1570" s="7" t="s">
        <v>20</v>
      </c>
      <c r="K1570" s="7" t="s">
        <v>26</v>
      </c>
      <c r="L1570" s="6"/>
      <c r="M1570" s="10">
        <v>5.5300000000000002E-2</v>
      </c>
      <c r="N1570" s="6" t="s">
        <v>7128</v>
      </c>
      <c r="O1570" s="11">
        <v>3600</v>
      </c>
      <c r="P1570" s="11"/>
      <c r="Q1570" s="18">
        <v>450</v>
      </c>
      <c r="R1570" s="19"/>
    </row>
    <row r="1571" spans="1:18" ht="28.8" hidden="1" x14ac:dyDescent="0.3">
      <c r="A1571" s="6" t="s">
        <v>7129</v>
      </c>
      <c r="B1571" s="7" t="s">
        <v>7130</v>
      </c>
      <c r="C1571" s="17" t="s">
        <v>7131</v>
      </c>
      <c r="D1571" s="17"/>
      <c r="E1571" s="8">
        <v>18434</v>
      </c>
      <c r="F1571" s="9">
        <v>72</v>
      </c>
      <c r="G1571" s="6" t="s">
        <v>7132</v>
      </c>
      <c r="H1571" s="7" t="s">
        <v>39</v>
      </c>
      <c r="I1571" s="6" t="s">
        <v>321</v>
      </c>
      <c r="J1571" s="7" t="s">
        <v>20</v>
      </c>
      <c r="K1571" s="7" t="s">
        <v>26</v>
      </c>
      <c r="L1571" s="6"/>
      <c r="M1571" s="10">
        <v>5.3999999999999999E-2</v>
      </c>
      <c r="N1571" s="6" t="s">
        <v>7133</v>
      </c>
      <c r="O1571" s="11">
        <v>4000</v>
      </c>
      <c r="P1571" s="11"/>
      <c r="Q1571" s="18">
        <v>500</v>
      </c>
      <c r="R1571" s="19"/>
    </row>
    <row r="1572" spans="1:18" hidden="1" x14ac:dyDescent="0.3">
      <c r="A1572" s="6" t="s">
        <v>7134</v>
      </c>
      <c r="B1572" s="7" t="s">
        <v>87</v>
      </c>
      <c r="C1572" s="17" t="s">
        <v>120</v>
      </c>
      <c r="D1572" s="17"/>
      <c r="E1572" s="8">
        <v>18623</v>
      </c>
      <c r="F1572" s="9">
        <v>72</v>
      </c>
      <c r="G1572" s="6" t="s">
        <v>7135</v>
      </c>
      <c r="H1572" s="7" t="s">
        <v>25</v>
      </c>
      <c r="I1572" s="6"/>
      <c r="J1572" s="7" t="s">
        <v>20</v>
      </c>
      <c r="K1572" s="7" t="s">
        <v>26</v>
      </c>
      <c r="L1572" s="6"/>
      <c r="M1572" s="10">
        <v>5.3999999999999999E-2</v>
      </c>
      <c r="N1572" s="6" t="s">
        <v>7136</v>
      </c>
      <c r="O1572" s="11">
        <v>5000</v>
      </c>
      <c r="P1572" s="11"/>
      <c r="Q1572" s="18">
        <v>5000</v>
      </c>
      <c r="R1572" s="19"/>
    </row>
    <row r="1573" spans="1:18" ht="43.2" x14ac:dyDescent="0.3">
      <c r="A1573" s="6" t="s">
        <v>7137</v>
      </c>
      <c r="B1573" s="7" t="s">
        <v>7138</v>
      </c>
      <c r="C1573" s="17" t="s">
        <v>7139</v>
      </c>
      <c r="D1573" s="17"/>
      <c r="E1573" s="8">
        <v>16699</v>
      </c>
      <c r="F1573" s="9">
        <v>77</v>
      </c>
      <c r="G1573" s="6" t="s">
        <v>7140</v>
      </c>
      <c r="H1573" s="7" t="s">
        <v>39</v>
      </c>
      <c r="I1573" s="6" t="s">
        <v>607</v>
      </c>
      <c r="J1573" s="7" t="s">
        <v>41</v>
      </c>
      <c r="K1573" s="7" t="s">
        <v>26</v>
      </c>
      <c r="L1573" s="9">
        <v>70</v>
      </c>
      <c r="M1573" s="10">
        <v>0.05</v>
      </c>
      <c r="N1573" s="6" t="s">
        <v>7141</v>
      </c>
      <c r="O1573" s="11">
        <v>20800</v>
      </c>
      <c r="P1573" s="11"/>
      <c r="Q1573" s="18">
        <v>2600</v>
      </c>
      <c r="R1573" s="19"/>
    </row>
    <row r="1574" spans="1:18" hidden="1" x14ac:dyDescent="0.3">
      <c r="A1574" s="6" t="s">
        <v>7142</v>
      </c>
      <c r="B1574" s="7" t="s">
        <v>488</v>
      </c>
      <c r="C1574" s="17" t="s">
        <v>7143</v>
      </c>
      <c r="D1574" s="17"/>
      <c r="E1574" s="7" t="s">
        <v>7144</v>
      </c>
      <c r="F1574" s="9">
        <v>73</v>
      </c>
      <c r="G1574" s="6" t="s">
        <v>7145</v>
      </c>
      <c r="H1574" s="7" t="s">
        <v>25</v>
      </c>
      <c r="I1574" s="6" t="s">
        <v>19</v>
      </c>
      <c r="J1574" s="7" t="s">
        <v>20</v>
      </c>
      <c r="K1574" s="7" t="s">
        <v>32</v>
      </c>
      <c r="L1574" s="6"/>
      <c r="M1574" s="10">
        <v>5.5300000000000002E-2</v>
      </c>
      <c r="N1574" s="6" t="s">
        <v>7146</v>
      </c>
      <c r="O1574" s="6" t="s">
        <v>19</v>
      </c>
      <c r="P1574" s="6"/>
      <c r="Q1574" s="19" t="s">
        <v>19</v>
      </c>
      <c r="R1574" s="19"/>
    </row>
    <row r="1575" spans="1:18" ht="43.2" hidden="1" x14ac:dyDescent="0.3">
      <c r="A1575" s="6" t="s">
        <v>7147</v>
      </c>
      <c r="B1575" s="7" t="s">
        <v>7148</v>
      </c>
      <c r="C1575" s="17" t="s">
        <v>1626</v>
      </c>
      <c r="D1575" s="17"/>
      <c r="E1575" s="8">
        <v>17002</v>
      </c>
      <c r="F1575" s="9">
        <v>76</v>
      </c>
      <c r="G1575" s="6" t="s">
        <v>7149</v>
      </c>
      <c r="H1575" s="7" t="s">
        <v>39</v>
      </c>
      <c r="I1575" s="6" t="s">
        <v>1105</v>
      </c>
      <c r="J1575" s="7" t="s">
        <v>20</v>
      </c>
      <c r="K1575" s="7" t="s">
        <v>26</v>
      </c>
      <c r="L1575" s="6"/>
      <c r="M1575" s="10">
        <v>5.9799999999999999E-2</v>
      </c>
      <c r="N1575" s="6" t="s">
        <v>7150</v>
      </c>
      <c r="O1575" s="11">
        <v>10400</v>
      </c>
      <c r="P1575" s="11"/>
      <c r="Q1575" s="18">
        <v>1300</v>
      </c>
      <c r="R1575" s="19"/>
    </row>
    <row r="1576" spans="1:18" hidden="1" x14ac:dyDescent="0.3">
      <c r="A1576" s="6" t="s">
        <v>7151</v>
      </c>
      <c r="B1576" s="7" t="s">
        <v>707</v>
      </c>
      <c r="C1576" s="17" t="s">
        <v>5966</v>
      </c>
      <c r="D1576" s="17"/>
      <c r="E1576" s="7" t="s">
        <v>2705</v>
      </c>
      <c r="F1576" s="9">
        <v>72</v>
      </c>
      <c r="G1576" s="6" t="s">
        <v>7152</v>
      </c>
      <c r="H1576" s="7" t="s">
        <v>19</v>
      </c>
      <c r="I1576" s="6" t="s">
        <v>19</v>
      </c>
      <c r="J1576" s="7" t="s">
        <v>20</v>
      </c>
      <c r="K1576" s="7"/>
      <c r="L1576" s="6"/>
      <c r="M1576" s="10">
        <v>5.3999999999999999E-2</v>
      </c>
      <c r="N1576" s="6" t="s">
        <v>7153</v>
      </c>
      <c r="O1576" s="6" t="s">
        <v>19</v>
      </c>
      <c r="P1576" s="6"/>
      <c r="Q1576" s="19" t="s">
        <v>19</v>
      </c>
      <c r="R1576" s="19"/>
    </row>
    <row r="1577" spans="1:18" ht="28.8" hidden="1" x14ac:dyDescent="0.3">
      <c r="A1577" s="6" t="s">
        <v>7154</v>
      </c>
      <c r="B1577" s="7" t="s">
        <v>1712</v>
      </c>
      <c r="C1577" s="17" t="s">
        <v>7155</v>
      </c>
      <c r="D1577" s="17"/>
      <c r="E1577" s="7" t="s">
        <v>2071</v>
      </c>
      <c r="F1577" s="9">
        <v>75</v>
      </c>
      <c r="G1577" s="6" t="s">
        <v>7156</v>
      </c>
      <c r="H1577" s="7" t="s">
        <v>39</v>
      </c>
      <c r="I1577" s="6" t="s">
        <v>249</v>
      </c>
      <c r="J1577" s="7" t="s">
        <v>41</v>
      </c>
      <c r="K1577" s="7" t="s">
        <v>26</v>
      </c>
      <c r="L1577" s="9">
        <v>66</v>
      </c>
      <c r="M1577" s="10">
        <v>4.1700000000000001E-2</v>
      </c>
      <c r="N1577" s="6" t="s">
        <v>7157</v>
      </c>
      <c r="O1577" s="6" t="s">
        <v>19</v>
      </c>
      <c r="P1577" s="6"/>
      <c r="Q1577" s="19" t="s">
        <v>19</v>
      </c>
      <c r="R1577" s="19"/>
    </row>
    <row r="1578" spans="1:18" x14ac:dyDescent="0.3">
      <c r="A1578" s="6" t="s">
        <v>7158</v>
      </c>
      <c r="B1578" s="7" t="s">
        <v>830</v>
      </c>
      <c r="C1578" s="17" t="s">
        <v>7159</v>
      </c>
      <c r="D1578" s="17"/>
      <c r="E1578" s="8">
        <v>18605</v>
      </c>
      <c r="F1578" s="9">
        <v>72</v>
      </c>
      <c r="G1578" s="6" t="s">
        <v>7160</v>
      </c>
      <c r="H1578" s="7" t="s">
        <v>25</v>
      </c>
      <c r="I1578" s="6"/>
      <c r="J1578" s="7" t="s">
        <v>41</v>
      </c>
      <c r="K1578" s="7" t="s">
        <v>32</v>
      </c>
      <c r="L1578" s="9">
        <v>64</v>
      </c>
      <c r="M1578" s="10">
        <v>3.85E-2</v>
      </c>
      <c r="N1578" s="6" t="s">
        <v>7161</v>
      </c>
      <c r="O1578" s="11">
        <v>4063.95</v>
      </c>
      <c r="P1578" s="11"/>
      <c r="Q1578" s="18">
        <v>4063.95</v>
      </c>
      <c r="R1578" s="19"/>
    </row>
    <row r="1579" spans="1:18" hidden="1" x14ac:dyDescent="0.3">
      <c r="A1579" s="6" t="s">
        <v>7162</v>
      </c>
      <c r="B1579" s="7" t="s">
        <v>753</v>
      </c>
      <c r="C1579" s="17" t="s">
        <v>6574</v>
      </c>
      <c r="D1579" s="17"/>
      <c r="E1579" s="8">
        <v>18444</v>
      </c>
      <c r="F1579" s="9">
        <v>72</v>
      </c>
      <c r="G1579" s="6" t="s">
        <v>7163</v>
      </c>
      <c r="H1579" s="7" t="s">
        <v>25</v>
      </c>
      <c r="I1579" s="6"/>
      <c r="J1579" s="7" t="s">
        <v>20</v>
      </c>
      <c r="K1579" s="7" t="s">
        <v>26</v>
      </c>
      <c r="L1579" s="6"/>
      <c r="M1579" s="10">
        <v>5.3999999999999999E-2</v>
      </c>
      <c r="N1579" s="6" t="s">
        <v>7164</v>
      </c>
      <c r="O1579" s="11">
        <v>24566.080000000002</v>
      </c>
      <c r="P1579" s="11"/>
      <c r="Q1579" s="18">
        <v>3070.76</v>
      </c>
      <c r="R1579" s="19"/>
    </row>
    <row r="1580" spans="1:18" ht="43.2" hidden="1" x14ac:dyDescent="0.3">
      <c r="A1580" s="6" t="s">
        <v>7165</v>
      </c>
      <c r="B1580" s="7" t="s">
        <v>240</v>
      </c>
      <c r="C1580" s="17" t="s">
        <v>7166</v>
      </c>
      <c r="D1580" s="17"/>
      <c r="E1580" s="8">
        <v>16144</v>
      </c>
      <c r="F1580" s="9">
        <v>78</v>
      </c>
      <c r="G1580" s="6" t="s">
        <v>7167</v>
      </c>
      <c r="H1580" s="7" t="s">
        <v>39</v>
      </c>
      <c r="I1580" s="6" t="s">
        <v>40</v>
      </c>
      <c r="J1580" s="7" t="s">
        <v>20</v>
      </c>
      <c r="K1580" s="7" t="s">
        <v>26</v>
      </c>
      <c r="L1580" s="6"/>
      <c r="M1580" s="10">
        <v>6.3600000000000004E-2</v>
      </c>
      <c r="N1580" s="6" t="s">
        <v>7168</v>
      </c>
      <c r="O1580" s="11">
        <v>24000</v>
      </c>
      <c r="P1580" s="11"/>
      <c r="Q1580" s="18">
        <v>426.07</v>
      </c>
      <c r="R1580" s="19"/>
    </row>
    <row r="1581" spans="1:18" ht="43.2" hidden="1" x14ac:dyDescent="0.3">
      <c r="A1581" s="6" t="s">
        <v>7169</v>
      </c>
      <c r="B1581" s="7" t="s">
        <v>7170</v>
      </c>
      <c r="C1581" s="17" t="s">
        <v>7171</v>
      </c>
      <c r="D1581" s="17"/>
      <c r="E1581" s="8">
        <v>17046</v>
      </c>
      <c r="F1581" s="9">
        <v>76</v>
      </c>
      <c r="G1581" s="6" t="s">
        <v>7172</v>
      </c>
      <c r="H1581" s="7" t="s">
        <v>39</v>
      </c>
      <c r="I1581" s="6" t="s">
        <v>40</v>
      </c>
      <c r="J1581" s="7" t="s">
        <v>20</v>
      </c>
      <c r="K1581" s="7" t="s">
        <v>26</v>
      </c>
      <c r="L1581" s="6"/>
      <c r="M1581" s="10">
        <v>5.9799999999999999E-2</v>
      </c>
      <c r="N1581" s="6" t="s">
        <v>7173</v>
      </c>
      <c r="O1581" s="11">
        <v>24000</v>
      </c>
      <c r="P1581" s="11"/>
      <c r="Q1581" s="18">
        <v>3000</v>
      </c>
      <c r="R1581" s="19"/>
    </row>
    <row r="1582" spans="1:18" hidden="1" x14ac:dyDescent="0.3">
      <c r="A1582" s="6" t="s">
        <v>7174</v>
      </c>
      <c r="B1582" s="7" t="s">
        <v>7175</v>
      </c>
      <c r="C1582" s="17" t="s">
        <v>5006</v>
      </c>
      <c r="D1582" s="17"/>
      <c r="E1582" s="8">
        <v>18400</v>
      </c>
      <c r="F1582" s="9">
        <v>72</v>
      </c>
      <c r="G1582" s="6" t="s">
        <v>7176</v>
      </c>
      <c r="H1582" s="7" t="s">
        <v>25</v>
      </c>
      <c r="I1582" s="6"/>
      <c r="J1582" s="7" t="s">
        <v>20</v>
      </c>
      <c r="K1582" s="7" t="s">
        <v>26</v>
      </c>
      <c r="L1582" s="6"/>
      <c r="M1582" s="10">
        <v>5.3999999999999999E-2</v>
      </c>
      <c r="N1582" s="6" t="s">
        <v>7177</v>
      </c>
      <c r="O1582" s="11">
        <v>4260.4799999999996</v>
      </c>
      <c r="P1582" s="11"/>
      <c r="Q1582" s="18">
        <v>521.85</v>
      </c>
      <c r="R1582" s="19"/>
    </row>
    <row r="1583" spans="1:18" ht="43.2" hidden="1" x14ac:dyDescent="0.3">
      <c r="A1583" s="6" t="s">
        <v>7178</v>
      </c>
      <c r="B1583" s="7" t="s">
        <v>4447</v>
      </c>
      <c r="C1583" s="17" t="s">
        <v>7179</v>
      </c>
      <c r="D1583" s="17"/>
      <c r="E1583" s="8">
        <v>18156</v>
      </c>
      <c r="F1583" s="9">
        <v>73</v>
      </c>
      <c r="G1583" s="6" t="s">
        <v>7180</v>
      </c>
      <c r="H1583" s="7" t="s">
        <v>39</v>
      </c>
      <c r="I1583" s="6" t="s">
        <v>1026</v>
      </c>
      <c r="J1583" s="7" t="s">
        <v>20</v>
      </c>
      <c r="K1583" s="7" t="s">
        <v>26</v>
      </c>
      <c r="L1583" s="6"/>
      <c r="M1583" s="10">
        <v>5.5300000000000002E-2</v>
      </c>
      <c r="N1583" s="6" t="s">
        <v>7181</v>
      </c>
      <c r="O1583" s="11">
        <v>8800</v>
      </c>
      <c r="P1583" s="11"/>
      <c r="Q1583" s="18">
        <v>1100</v>
      </c>
      <c r="R1583" s="19"/>
    </row>
    <row r="1584" spans="1:18" ht="43.2" hidden="1" x14ac:dyDescent="0.3">
      <c r="A1584" s="6" t="s">
        <v>7182</v>
      </c>
      <c r="B1584" s="7" t="s">
        <v>129</v>
      </c>
      <c r="C1584" s="17" t="s">
        <v>6614</v>
      </c>
      <c r="D1584" s="17"/>
      <c r="E1584" s="8">
        <v>18059</v>
      </c>
      <c r="F1584" s="9">
        <v>73</v>
      </c>
      <c r="G1584" s="6" t="s">
        <v>7183</v>
      </c>
      <c r="H1584" s="7" t="s">
        <v>39</v>
      </c>
      <c r="I1584" s="6" t="s">
        <v>1514</v>
      </c>
      <c r="J1584" s="7" t="s">
        <v>20</v>
      </c>
      <c r="K1584" s="7" t="s">
        <v>26</v>
      </c>
      <c r="L1584" s="6"/>
      <c r="M1584" s="10">
        <v>5.5300000000000002E-2</v>
      </c>
      <c r="N1584" s="6" t="s">
        <v>7184</v>
      </c>
      <c r="O1584" s="11">
        <v>207947.12</v>
      </c>
      <c r="P1584" s="11"/>
      <c r="Q1584" s="18">
        <v>69250.45</v>
      </c>
      <c r="R1584" s="19"/>
    </row>
    <row r="1585" spans="1:18" hidden="1" x14ac:dyDescent="0.3">
      <c r="A1585" s="6" t="s">
        <v>7185</v>
      </c>
      <c r="B1585" s="7" t="s">
        <v>3706</v>
      </c>
      <c r="C1585" s="17" t="s">
        <v>3960</v>
      </c>
      <c r="D1585" s="17"/>
      <c r="E1585" s="7" t="s">
        <v>1714</v>
      </c>
      <c r="F1585" s="9">
        <v>75</v>
      </c>
      <c r="G1585" s="6" t="s">
        <v>7186</v>
      </c>
      <c r="H1585" s="7" t="s">
        <v>25</v>
      </c>
      <c r="I1585" s="6" t="s">
        <v>19</v>
      </c>
      <c r="J1585" s="7" t="s">
        <v>41</v>
      </c>
      <c r="K1585" s="7" t="s">
        <v>26</v>
      </c>
      <c r="L1585" s="9">
        <v>74</v>
      </c>
      <c r="M1585" s="10">
        <v>5.67E-2</v>
      </c>
      <c r="N1585" s="6" t="s">
        <v>7187</v>
      </c>
      <c r="O1585" s="6" t="s">
        <v>19</v>
      </c>
      <c r="P1585" s="6"/>
      <c r="Q1585" s="19" t="s">
        <v>19</v>
      </c>
      <c r="R1585" s="19"/>
    </row>
    <row r="1586" spans="1:18" ht="28.8" x14ac:dyDescent="0.3">
      <c r="A1586" s="6" t="s">
        <v>7188</v>
      </c>
      <c r="B1586" s="7" t="s">
        <v>2890</v>
      </c>
      <c r="C1586" s="17" t="s">
        <v>6274</v>
      </c>
      <c r="D1586" s="17"/>
      <c r="E1586" s="8">
        <v>17857</v>
      </c>
      <c r="F1586" s="9">
        <v>74</v>
      </c>
      <c r="G1586" s="6" t="s">
        <v>7189</v>
      </c>
      <c r="H1586" s="7" t="s">
        <v>39</v>
      </c>
      <c r="I1586" s="6" t="s">
        <v>284</v>
      </c>
      <c r="J1586" s="7" t="s">
        <v>41</v>
      </c>
      <c r="K1586" s="7" t="s">
        <v>26</v>
      </c>
      <c r="L1586" s="9">
        <v>71</v>
      </c>
      <c r="M1586" s="10">
        <v>5.28E-2</v>
      </c>
      <c r="N1586" s="6" t="s">
        <v>7190</v>
      </c>
      <c r="O1586" s="11">
        <v>2000</v>
      </c>
      <c r="P1586" s="11"/>
      <c r="Q1586" s="18">
        <v>250</v>
      </c>
      <c r="R1586" s="19"/>
    </row>
    <row r="1587" spans="1:18" ht="43.2" hidden="1" x14ac:dyDescent="0.3">
      <c r="A1587" s="6" t="s">
        <v>7191</v>
      </c>
      <c r="B1587" s="7" t="s">
        <v>640</v>
      </c>
      <c r="C1587" s="17" t="s">
        <v>7192</v>
      </c>
      <c r="D1587" s="17"/>
      <c r="E1587" s="8">
        <v>17010</v>
      </c>
      <c r="F1587" s="9">
        <v>76</v>
      </c>
      <c r="G1587" s="6" t="s">
        <v>7193</v>
      </c>
      <c r="H1587" s="7" t="s">
        <v>39</v>
      </c>
      <c r="I1587" s="6" t="s">
        <v>106</v>
      </c>
      <c r="J1587" s="7" t="s">
        <v>20</v>
      </c>
      <c r="K1587" s="7" t="s">
        <v>26</v>
      </c>
      <c r="L1587" s="6"/>
      <c r="M1587" s="10">
        <v>5.9799999999999999E-2</v>
      </c>
      <c r="N1587" s="6" t="s">
        <v>7194</v>
      </c>
      <c r="O1587" s="11">
        <v>67000</v>
      </c>
      <c r="P1587" s="11"/>
      <c r="Q1587" s="18">
        <v>4000</v>
      </c>
      <c r="R1587" s="19"/>
    </row>
    <row r="1588" spans="1:18" ht="43.2" hidden="1" x14ac:dyDescent="0.3">
      <c r="A1588" s="6" t="s">
        <v>7195</v>
      </c>
      <c r="B1588" s="7" t="s">
        <v>7196</v>
      </c>
      <c r="C1588" s="17" t="s">
        <v>7197</v>
      </c>
      <c r="D1588" s="17"/>
      <c r="E1588" s="8">
        <v>17754</v>
      </c>
      <c r="F1588" s="9">
        <v>74</v>
      </c>
      <c r="G1588" s="6" t="s">
        <v>7198</v>
      </c>
      <c r="H1588" s="7" t="s">
        <v>39</v>
      </c>
      <c r="I1588" s="6" t="s">
        <v>47</v>
      </c>
      <c r="J1588" s="7" t="s">
        <v>20</v>
      </c>
      <c r="K1588" s="7" t="s">
        <v>26</v>
      </c>
      <c r="L1588" s="6"/>
      <c r="M1588" s="10">
        <v>5.67E-2</v>
      </c>
      <c r="N1588" s="6" t="s">
        <v>7199</v>
      </c>
      <c r="O1588" s="11">
        <v>8000</v>
      </c>
      <c r="P1588" s="11"/>
      <c r="Q1588" s="18">
        <v>1000</v>
      </c>
      <c r="R1588" s="19"/>
    </row>
    <row r="1589" spans="1:18" ht="28.8" hidden="1" x14ac:dyDescent="0.3">
      <c r="A1589" s="6" t="s">
        <v>7200</v>
      </c>
      <c r="B1589" s="7" t="s">
        <v>1570</v>
      </c>
      <c r="C1589" s="17" t="s">
        <v>4623</v>
      </c>
      <c r="D1589" s="17"/>
      <c r="E1589" s="8">
        <v>15910</v>
      </c>
      <c r="F1589" s="9">
        <v>79</v>
      </c>
      <c r="G1589" s="6" t="s">
        <v>7201</v>
      </c>
      <c r="H1589" s="7" t="s">
        <v>39</v>
      </c>
      <c r="I1589" s="6" t="s">
        <v>681</v>
      </c>
      <c r="J1589" s="7" t="s">
        <v>20</v>
      </c>
      <c r="K1589" s="7" t="s">
        <v>26</v>
      </c>
      <c r="L1589" s="6"/>
      <c r="M1589" s="10">
        <v>6.5799999999999997E-2</v>
      </c>
      <c r="N1589" s="6" t="s">
        <v>7202</v>
      </c>
      <c r="O1589" s="11">
        <v>5600</v>
      </c>
      <c r="P1589" s="11"/>
      <c r="Q1589" s="18">
        <v>700</v>
      </c>
      <c r="R1589" s="19"/>
    </row>
    <row r="1590" spans="1:18" hidden="1" x14ac:dyDescent="0.3">
      <c r="A1590" s="6" t="s">
        <v>7203</v>
      </c>
      <c r="B1590" s="7" t="s">
        <v>7204</v>
      </c>
      <c r="C1590" s="17" t="s">
        <v>7205</v>
      </c>
      <c r="D1590" s="17"/>
      <c r="E1590" s="7" t="s">
        <v>7206</v>
      </c>
      <c r="F1590" s="9">
        <v>77</v>
      </c>
      <c r="G1590" s="6" t="s">
        <v>7207</v>
      </c>
      <c r="H1590" s="7" t="s">
        <v>25</v>
      </c>
      <c r="I1590" s="6" t="s">
        <v>19</v>
      </c>
      <c r="J1590" s="7" t="s">
        <v>20</v>
      </c>
      <c r="K1590" s="7" t="s">
        <v>32</v>
      </c>
      <c r="L1590" s="6"/>
      <c r="M1590" s="10">
        <v>6.1699999999999998E-2</v>
      </c>
      <c r="N1590" s="6" t="s">
        <v>7208</v>
      </c>
      <c r="O1590" s="6" t="s">
        <v>19</v>
      </c>
      <c r="P1590" s="6"/>
      <c r="Q1590" s="19" t="s">
        <v>19</v>
      </c>
      <c r="R1590" s="19"/>
    </row>
    <row r="1591" spans="1:18" hidden="1" x14ac:dyDescent="0.3">
      <c r="A1591" s="6" t="s">
        <v>7209</v>
      </c>
      <c r="B1591" s="7" t="s">
        <v>7210</v>
      </c>
      <c r="C1591" s="17" t="s">
        <v>7211</v>
      </c>
      <c r="D1591" s="17"/>
      <c r="E1591" s="7" t="s">
        <v>7212</v>
      </c>
      <c r="F1591" s="9">
        <v>74</v>
      </c>
      <c r="G1591" s="6" t="s">
        <v>7213</v>
      </c>
      <c r="H1591" s="7" t="s">
        <v>25</v>
      </c>
      <c r="I1591" s="6" t="s">
        <v>19</v>
      </c>
      <c r="J1591" s="7" t="s">
        <v>20</v>
      </c>
      <c r="K1591" s="7" t="s">
        <v>32</v>
      </c>
      <c r="L1591" s="6"/>
      <c r="M1591" s="10">
        <v>5.67E-2</v>
      </c>
      <c r="N1591" s="6" t="s">
        <v>7214</v>
      </c>
      <c r="O1591" s="6" t="s">
        <v>19</v>
      </c>
      <c r="P1591" s="6"/>
      <c r="Q1591" s="19" t="s">
        <v>19</v>
      </c>
      <c r="R1591" s="19"/>
    </row>
    <row r="1592" spans="1:18" ht="43.2" hidden="1" x14ac:dyDescent="0.3">
      <c r="A1592" s="6" t="s">
        <v>7215</v>
      </c>
      <c r="B1592" s="7" t="s">
        <v>7216</v>
      </c>
      <c r="C1592" s="17" t="s">
        <v>7217</v>
      </c>
      <c r="D1592" s="17"/>
      <c r="E1592" s="8">
        <v>18548</v>
      </c>
      <c r="F1592" s="9">
        <v>72</v>
      </c>
      <c r="G1592" s="6" t="s">
        <v>7218</v>
      </c>
      <c r="H1592" s="7" t="s">
        <v>39</v>
      </c>
      <c r="I1592" s="6" t="s">
        <v>1514</v>
      </c>
      <c r="J1592" s="7" t="s">
        <v>20</v>
      </c>
      <c r="K1592" s="7" t="s">
        <v>26</v>
      </c>
      <c r="L1592" s="6"/>
      <c r="M1592" s="10">
        <v>5.3999999999999999E-2</v>
      </c>
      <c r="N1592" s="6" t="s">
        <v>7219</v>
      </c>
      <c r="O1592" s="11">
        <v>21600</v>
      </c>
      <c r="P1592" s="11"/>
      <c r="Q1592" s="18">
        <v>2700</v>
      </c>
      <c r="R1592" s="19"/>
    </row>
    <row r="1593" spans="1:18" hidden="1" x14ac:dyDescent="0.3">
      <c r="A1593" s="6" t="s">
        <v>7220</v>
      </c>
      <c r="B1593" s="7" t="s">
        <v>154</v>
      </c>
      <c r="C1593" s="17" t="s">
        <v>7221</v>
      </c>
      <c r="D1593" s="17"/>
      <c r="E1593" s="8">
        <v>16841</v>
      </c>
      <c r="F1593" s="9">
        <v>76</v>
      </c>
      <c r="G1593" s="6" t="s">
        <v>7222</v>
      </c>
      <c r="H1593" s="7" t="s">
        <v>25</v>
      </c>
      <c r="I1593" s="6"/>
      <c r="J1593" s="7" t="s">
        <v>20</v>
      </c>
      <c r="K1593" s="7" t="s">
        <v>32</v>
      </c>
      <c r="L1593" s="6"/>
      <c r="M1593" s="10">
        <v>5.9799999999999999E-2</v>
      </c>
      <c r="N1593" s="6" t="s">
        <v>7223</v>
      </c>
      <c r="O1593" s="11">
        <v>855.9</v>
      </c>
      <c r="P1593" s="11"/>
      <c r="Q1593" s="18">
        <v>369.33</v>
      </c>
      <c r="R1593" s="19"/>
    </row>
    <row r="1594" spans="1:18" ht="28.8" hidden="1" x14ac:dyDescent="0.3">
      <c r="A1594" s="6" t="s">
        <v>7224</v>
      </c>
      <c r="B1594" s="7" t="s">
        <v>81</v>
      </c>
      <c r="C1594" s="17" t="s">
        <v>7225</v>
      </c>
      <c r="D1594" s="17"/>
      <c r="E1594" s="8">
        <v>18207</v>
      </c>
      <c r="F1594" s="9">
        <v>73</v>
      </c>
      <c r="G1594" s="6" t="s">
        <v>7226</v>
      </c>
      <c r="H1594" s="7" t="s">
        <v>39</v>
      </c>
      <c r="I1594" s="6" t="s">
        <v>2315</v>
      </c>
      <c r="J1594" s="7" t="s">
        <v>20</v>
      </c>
      <c r="K1594" s="7" t="s">
        <v>26</v>
      </c>
      <c r="L1594" s="6"/>
      <c r="M1594" s="10">
        <v>5.5300000000000002E-2</v>
      </c>
      <c r="N1594" s="6" t="s">
        <v>7227</v>
      </c>
      <c r="O1594" s="11">
        <v>10000</v>
      </c>
      <c r="P1594" s="11"/>
      <c r="Q1594" s="18">
        <v>10000</v>
      </c>
      <c r="R1594" s="19"/>
    </row>
    <row r="1595" spans="1:18" ht="28.8" hidden="1" x14ac:dyDescent="0.3">
      <c r="A1595" s="6" t="s">
        <v>7228</v>
      </c>
      <c r="B1595" s="7" t="s">
        <v>6419</v>
      </c>
      <c r="C1595" s="17" t="s">
        <v>7229</v>
      </c>
      <c r="D1595" s="17"/>
      <c r="E1595" s="8">
        <v>17798</v>
      </c>
      <c r="F1595" s="9">
        <v>74</v>
      </c>
      <c r="G1595" s="6" t="s">
        <v>7230</v>
      </c>
      <c r="H1595" s="7" t="s">
        <v>39</v>
      </c>
      <c r="I1595" s="6" t="s">
        <v>176</v>
      </c>
      <c r="J1595" s="7" t="s">
        <v>20</v>
      </c>
      <c r="K1595" s="7" t="s">
        <v>26</v>
      </c>
      <c r="L1595" s="6"/>
      <c r="M1595" s="10">
        <v>5.67E-2</v>
      </c>
      <c r="N1595" s="6" t="s">
        <v>7231</v>
      </c>
      <c r="O1595" s="11">
        <v>18400</v>
      </c>
      <c r="P1595" s="11"/>
      <c r="Q1595" s="18">
        <v>600</v>
      </c>
      <c r="R1595" s="19"/>
    </row>
    <row r="1596" spans="1:18" x14ac:dyDescent="0.3">
      <c r="A1596" s="6" t="s">
        <v>7232</v>
      </c>
      <c r="B1596" s="7" t="s">
        <v>6957</v>
      </c>
      <c r="C1596" s="17" t="s">
        <v>651</v>
      </c>
      <c r="D1596" s="17"/>
      <c r="E1596" s="8">
        <v>17216</v>
      </c>
      <c r="F1596" s="9">
        <v>75</v>
      </c>
      <c r="G1596" s="6" t="s">
        <v>7233</v>
      </c>
      <c r="H1596" s="7" t="s">
        <v>25</v>
      </c>
      <c r="I1596" s="6"/>
      <c r="J1596" s="7" t="s">
        <v>41</v>
      </c>
      <c r="K1596" s="7" t="s">
        <v>26</v>
      </c>
      <c r="L1596" s="9">
        <v>75</v>
      </c>
      <c r="M1596" s="10">
        <v>5.8200000000000002E-2</v>
      </c>
      <c r="N1596" s="6" t="s">
        <v>7234</v>
      </c>
      <c r="O1596" s="11">
        <v>37637.440000000002</v>
      </c>
      <c r="P1596" s="11"/>
      <c r="Q1596" s="18">
        <v>4704.68</v>
      </c>
      <c r="R1596" s="19"/>
    </row>
    <row r="1597" spans="1:18" ht="43.2" x14ac:dyDescent="0.3">
      <c r="A1597" s="6" t="s">
        <v>7235</v>
      </c>
      <c r="B1597" s="7" t="s">
        <v>3321</v>
      </c>
      <c r="C1597" s="17" t="s">
        <v>7236</v>
      </c>
      <c r="D1597" s="17"/>
      <c r="E1597" s="8">
        <v>16543</v>
      </c>
      <c r="F1597" s="9">
        <v>77</v>
      </c>
      <c r="G1597" s="6" t="s">
        <v>7237</v>
      </c>
      <c r="H1597" s="7" t="s">
        <v>39</v>
      </c>
      <c r="I1597" s="6" t="s">
        <v>89</v>
      </c>
      <c r="J1597" s="7" t="s">
        <v>41</v>
      </c>
      <c r="K1597" s="7" t="s">
        <v>26</v>
      </c>
      <c r="L1597" s="9">
        <v>74</v>
      </c>
      <c r="M1597" s="10">
        <v>5.67E-2</v>
      </c>
      <c r="N1597" s="6" t="s">
        <v>7238</v>
      </c>
      <c r="O1597" s="11">
        <v>9600</v>
      </c>
      <c r="P1597" s="11"/>
      <c r="Q1597" s="18">
        <v>1200</v>
      </c>
      <c r="R1597" s="19"/>
    </row>
    <row r="1598" spans="1:18" ht="43.2" hidden="1" x14ac:dyDescent="0.3">
      <c r="A1598" s="6" t="s">
        <v>7239</v>
      </c>
      <c r="B1598" s="7" t="s">
        <v>488</v>
      </c>
      <c r="C1598" s="17" t="s">
        <v>7240</v>
      </c>
      <c r="D1598" s="17"/>
      <c r="E1598" s="8">
        <v>18184</v>
      </c>
      <c r="F1598" s="9">
        <v>73</v>
      </c>
      <c r="G1598" s="6" t="s">
        <v>7241</v>
      </c>
      <c r="H1598" s="7" t="s">
        <v>39</v>
      </c>
      <c r="I1598" s="6" t="s">
        <v>745</v>
      </c>
      <c r="J1598" s="7" t="s">
        <v>20</v>
      </c>
      <c r="K1598" s="7" t="s">
        <v>26</v>
      </c>
      <c r="L1598" s="6"/>
      <c r="M1598" s="10">
        <v>5.5300000000000002E-2</v>
      </c>
      <c r="N1598" s="6" t="s">
        <v>7242</v>
      </c>
      <c r="O1598" s="11">
        <v>11200</v>
      </c>
      <c r="P1598" s="11"/>
      <c r="Q1598" s="18">
        <v>1400</v>
      </c>
      <c r="R1598" s="19"/>
    </row>
    <row r="1599" spans="1:18" ht="28.8" hidden="1" x14ac:dyDescent="0.3">
      <c r="A1599" s="6" t="s">
        <v>7243</v>
      </c>
      <c r="B1599" s="7" t="s">
        <v>7244</v>
      </c>
      <c r="C1599" s="17" t="s">
        <v>7245</v>
      </c>
      <c r="D1599" s="17"/>
      <c r="E1599" s="8">
        <v>17865</v>
      </c>
      <c r="F1599" s="9">
        <v>74</v>
      </c>
      <c r="G1599" s="6" t="s">
        <v>7246</v>
      </c>
      <c r="H1599" s="7" t="s">
        <v>39</v>
      </c>
      <c r="I1599" s="6" t="s">
        <v>7247</v>
      </c>
      <c r="J1599" s="7" t="s">
        <v>20</v>
      </c>
      <c r="K1599" s="7" t="s">
        <v>26</v>
      </c>
      <c r="L1599" s="6"/>
      <c r="M1599" s="10">
        <v>5.67E-2</v>
      </c>
      <c r="N1599" s="6" t="s">
        <v>7248</v>
      </c>
      <c r="O1599" s="11">
        <v>2761.28</v>
      </c>
      <c r="P1599" s="11"/>
      <c r="Q1599" s="18">
        <v>345.16</v>
      </c>
      <c r="R1599" s="19"/>
    </row>
    <row r="1600" spans="1:18" ht="43.2" hidden="1" x14ac:dyDescent="0.3">
      <c r="A1600" s="6" t="s">
        <v>7249</v>
      </c>
      <c r="B1600" s="7" t="s">
        <v>830</v>
      </c>
      <c r="C1600" s="17" t="s">
        <v>7250</v>
      </c>
      <c r="D1600" s="17"/>
      <c r="E1600" s="8">
        <v>17822</v>
      </c>
      <c r="F1600" s="9">
        <v>74</v>
      </c>
      <c r="G1600" s="6" t="s">
        <v>7251</v>
      </c>
      <c r="H1600" s="7" t="s">
        <v>39</v>
      </c>
      <c r="I1600" s="6" t="s">
        <v>47</v>
      </c>
      <c r="J1600" s="7" t="s">
        <v>20</v>
      </c>
      <c r="K1600" s="7" t="s">
        <v>26</v>
      </c>
      <c r="L1600" s="6"/>
      <c r="M1600" s="10">
        <v>5.67E-2</v>
      </c>
      <c r="N1600" s="6" t="s">
        <v>7252</v>
      </c>
      <c r="O1600" s="11">
        <v>8000</v>
      </c>
      <c r="P1600" s="11"/>
      <c r="Q1600" s="18">
        <v>1000</v>
      </c>
      <c r="R1600" s="19"/>
    </row>
    <row r="1601" spans="1:18" hidden="1" x14ac:dyDescent="0.3">
      <c r="A1601" s="6" t="s">
        <v>7253</v>
      </c>
      <c r="B1601" s="7" t="s">
        <v>7254</v>
      </c>
      <c r="C1601" s="17" t="s">
        <v>7255</v>
      </c>
      <c r="D1601" s="17"/>
      <c r="E1601" s="8">
        <v>18597</v>
      </c>
      <c r="F1601" s="9">
        <v>72</v>
      </c>
      <c r="G1601" s="6" t="s">
        <v>7256</v>
      </c>
      <c r="H1601" s="7" t="s">
        <v>25</v>
      </c>
      <c r="I1601" s="6"/>
      <c r="J1601" s="7" t="s">
        <v>20</v>
      </c>
      <c r="K1601" s="7" t="s">
        <v>26</v>
      </c>
      <c r="L1601" s="6"/>
      <c r="M1601" s="10">
        <v>5.3999999999999999E-2</v>
      </c>
      <c r="N1601" s="6" t="s">
        <v>7257</v>
      </c>
      <c r="O1601" s="11">
        <v>12533</v>
      </c>
      <c r="P1601" s="11"/>
      <c r="Q1601" s="18">
        <v>572.13</v>
      </c>
      <c r="R1601" s="19"/>
    </row>
    <row r="1602" spans="1:18" ht="43.2" hidden="1" x14ac:dyDescent="0.3">
      <c r="A1602" s="6" t="s">
        <v>7258</v>
      </c>
      <c r="B1602" s="7" t="s">
        <v>135</v>
      </c>
      <c r="C1602" s="17" t="s">
        <v>7259</v>
      </c>
      <c r="D1602" s="17"/>
      <c r="E1602" s="8">
        <v>18066</v>
      </c>
      <c r="F1602" s="9">
        <v>73</v>
      </c>
      <c r="G1602" s="6" t="s">
        <v>7260</v>
      </c>
      <c r="H1602" s="7" t="s">
        <v>39</v>
      </c>
      <c r="I1602" s="6" t="s">
        <v>47</v>
      </c>
      <c r="J1602" s="7" t="s">
        <v>20</v>
      </c>
      <c r="K1602" s="7" t="s">
        <v>26</v>
      </c>
      <c r="L1602" s="6"/>
      <c r="M1602" s="10">
        <v>5.5300000000000002E-2</v>
      </c>
      <c r="N1602" s="6" t="s">
        <v>7261</v>
      </c>
      <c r="O1602" s="11">
        <v>8000</v>
      </c>
      <c r="P1602" s="11"/>
      <c r="Q1602" s="18">
        <v>1000</v>
      </c>
      <c r="R1602" s="19"/>
    </row>
    <row r="1603" spans="1:18" ht="43.2" hidden="1" x14ac:dyDescent="0.3">
      <c r="A1603" s="6" t="s">
        <v>7262</v>
      </c>
      <c r="B1603" s="7" t="s">
        <v>7263</v>
      </c>
      <c r="C1603" s="17" t="s">
        <v>7264</v>
      </c>
      <c r="D1603" s="17"/>
      <c r="E1603" s="8">
        <v>14619</v>
      </c>
      <c r="F1603" s="9">
        <v>82</v>
      </c>
      <c r="G1603" s="6" t="s">
        <v>7265</v>
      </c>
      <c r="H1603" s="7" t="s">
        <v>39</v>
      </c>
      <c r="I1603" s="6" t="s">
        <v>2151</v>
      </c>
      <c r="J1603" s="7" t="s">
        <v>20</v>
      </c>
      <c r="K1603" s="7" t="s">
        <v>32</v>
      </c>
      <c r="L1603" s="6"/>
      <c r="M1603" s="10">
        <v>7.3800000000000004E-2</v>
      </c>
      <c r="N1603" s="6" t="s">
        <v>7266</v>
      </c>
      <c r="O1603" s="11">
        <v>12000</v>
      </c>
      <c r="P1603" s="11"/>
      <c r="Q1603" s="18">
        <v>12000</v>
      </c>
      <c r="R1603" s="19"/>
    </row>
    <row r="1604" spans="1:18" hidden="1" x14ac:dyDescent="0.3">
      <c r="A1604" s="6" t="s">
        <v>7267</v>
      </c>
      <c r="B1604" s="7" t="s">
        <v>270</v>
      </c>
      <c r="C1604" s="17" t="s">
        <v>7268</v>
      </c>
      <c r="D1604" s="17"/>
      <c r="E1604" s="8">
        <v>15915</v>
      </c>
      <c r="F1604" s="9">
        <v>79</v>
      </c>
      <c r="G1604" s="6" t="s">
        <v>7269</v>
      </c>
      <c r="H1604" s="7" t="s">
        <v>25</v>
      </c>
      <c r="I1604" s="6"/>
      <c r="J1604" s="7" t="s">
        <v>20</v>
      </c>
      <c r="K1604" s="7" t="s">
        <v>32</v>
      </c>
      <c r="L1604" s="6"/>
      <c r="M1604" s="10">
        <v>6.5799999999999997E-2</v>
      </c>
      <c r="N1604" s="6" t="s">
        <v>7270</v>
      </c>
      <c r="O1604" s="11">
        <v>106307.51</v>
      </c>
      <c r="P1604" s="11"/>
      <c r="Q1604" s="18">
        <v>106307.51</v>
      </c>
      <c r="R1604" s="19"/>
    </row>
    <row r="1605" spans="1:18" hidden="1" x14ac:dyDescent="0.3">
      <c r="A1605" s="6" t="s">
        <v>7271</v>
      </c>
      <c r="B1605" s="7" t="s">
        <v>81</v>
      </c>
      <c r="C1605" s="17" t="s">
        <v>7272</v>
      </c>
      <c r="D1605" s="17"/>
      <c r="E1605" s="8">
        <v>17841</v>
      </c>
      <c r="F1605" s="9">
        <v>74</v>
      </c>
      <c r="G1605" s="6" t="s">
        <v>7273</v>
      </c>
      <c r="H1605" s="7" t="s">
        <v>25</v>
      </c>
      <c r="I1605" s="6"/>
      <c r="J1605" s="7" t="s">
        <v>20</v>
      </c>
      <c r="K1605" s="7" t="s">
        <v>26</v>
      </c>
      <c r="L1605" s="6"/>
      <c r="M1605" s="10">
        <v>5.67E-2</v>
      </c>
      <c r="N1605" s="6" t="s">
        <v>7274</v>
      </c>
      <c r="O1605" s="11">
        <v>71279.600000000006</v>
      </c>
      <c r="P1605" s="11"/>
      <c r="Q1605" s="18">
        <v>8909.9500000000007</v>
      </c>
      <c r="R1605" s="19"/>
    </row>
    <row r="1606" spans="1:18" ht="43.2" x14ac:dyDescent="0.3">
      <c r="A1606" s="6" t="s">
        <v>7275</v>
      </c>
      <c r="B1606" s="7" t="s">
        <v>270</v>
      </c>
      <c r="C1606" s="17" t="s">
        <v>141</v>
      </c>
      <c r="D1606" s="17"/>
      <c r="E1606" s="8">
        <v>18066</v>
      </c>
      <c r="F1606" s="9">
        <v>73</v>
      </c>
      <c r="G1606" s="6" t="s">
        <v>7276</v>
      </c>
      <c r="H1606" s="7" t="s">
        <v>39</v>
      </c>
      <c r="I1606" s="6" t="s">
        <v>1350</v>
      </c>
      <c r="J1606" s="7" t="s">
        <v>41</v>
      </c>
      <c r="K1606" s="7" t="s">
        <v>26</v>
      </c>
      <c r="L1606" s="9">
        <v>69</v>
      </c>
      <c r="M1606" s="10">
        <v>4.7600000000000003E-2</v>
      </c>
      <c r="N1606" s="6" t="s">
        <v>7277</v>
      </c>
      <c r="O1606" s="11">
        <v>44000</v>
      </c>
      <c r="P1606" s="11"/>
      <c r="Q1606" s="18">
        <v>5500</v>
      </c>
      <c r="R1606" s="19"/>
    </row>
    <row r="1607" spans="1:18" ht="43.2" x14ac:dyDescent="0.3">
      <c r="A1607" s="6" t="s">
        <v>7278</v>
      </c>
      <c r="B1607" s="7" t="s">
        <v>210</v>
      </c>
      <c r="C1607" s="17" t="s">
        <v>7279</v>
      </c>
      <c r="D1607" s="17"/>
      <c r="E1607" s="8">
        <v>18069</v>
      </c>
      <c r="F1607" s="9">
        <v>73</v>
      </c>
      <c r="G1607" s="6" t="s">
        <v>7280</v>
      </c>
      <c r="H1607" s="7" t="s">
        <v>39</v>
      </c>
      <c r="I1607" s="6" t="s">
        <v>7281</v>
      </c>
      <c r="J1607" s="7" t="s">
        <v>41</v>
      </c>
      <c r="K1607" s="7" t="s">
        <v>26</v>
      </c>
      <c r="L1607" s="9">
        <v>71</v>
      </c>
      <c r="M1607" s="10">
        <v>5.28E-2</v>
      </c>
      <c r="N1607" s="6" t="s">
        <v>7282</v>
      </c>
      <c r="O1607" s="11">
        <v>61600</v>
      </c>
      <c r="P1607" s="11"/>
      <c r="Q1607" s="18">
        <v>7700</v>
      </c>
      <c r="R1607" s="19"/>
    </row>
    <row r="1608" spans="1:18" ht="28.8" hidden="1" x14ac:dyDescent="0.3">
      <c r="A1608" s="6" t="s">
        <v>7283</v>
      </c>
      <c r="B1608" s="7" t="s">
        <v>830</v>
      </c>
      <c r="C1608" s="17" t="s">
        <v>7284</v>
      </c>
      <c r="D1608" s="17"/>
      <c r="E1608" s="8">
        <v>18608</v>
      </c>
      <c r="F1608" s="9">
        <v>72</v>
      </c>
      <c r="G1608" s="6" t="s">
        <v>7285</v>
      </c>
      <c r="H1608" s="7" t="s">
        <v>39</v>
      </c>
      <c r="I1608" s="6" t="s">
        <v>2315</v>
      </c>
      <c r="J1608" s="7" t="s">
        <v>20</v>
      </c>
      <c r="K1608" s="7" t="s">
        <v>26</v>
      </c>
      <c r="L1608" s="6"/>
      <c r="M1608" s="10">
        <v>5.3999999999999999E-2</v>
      </c>
      <c r="N1608" s="6" t="s">
        <v>7286</v>
      </c>
      <c r="O1608" s="11">
        <v>5000</v>
      </c>
      <c r="P1608" s="11"/>
      <c r="Q1608" s="18">
        <v>5000</v>
      </c>
      <c r="R1608" s="19"/>
    </row>
    <row r="1609" spans="1:18" ht="28.8" hidden="1" x14ac:dyDescent="0.3">
      <c r="A1609" s="6" t="s">
        <v>7287</v>
      </c>
      <c r="B1609" s="7" t="s">
        <v>830</v>
      </c>
      <c r="C1609" s="17" t="s">
        <v>7288</v>
      </c>
      <c r="D1609" s="17"/>
      <c r="E1609" s="7" t="s">
        <v>7289</v>
      </c>
      <c r="F1609" s="9">
        <v>75</v>
      </c>
      <c r="G1609" s="6" t="s">
        <v>7290</v>
      </c>
      <c r="H1609" s="7" t="s">
        <v>39</v>
      </c>
      <c r="I1609" s="6" t="s">
        <v>2315</v>
      </c>
      <c r="J1609" s="7" t="s">
        <v>41</v>
      </c>
      <c r="K1609" s="7" t="s">
        <v>26</v>
      </c>
      <c r="L1609" s="9">
        <v>74</v>
      </c>
      <c r="M1609" s="10">
        <v>5.67E-2</v>
      </c>
      <c r="N1609" s="6" t="s">
        <v>7291</v>
      </c>
      <c r="O1609" s="6" t="s">
        <v>19</v>
      </c>
      <c r="P1609" s="6"/>
      <c r="Q1609" s="19" t="s">
        <v>19</v>
      </c>
      <c r="R1609" s="19"/>
    </row>
    <row r="1610" spans="1:18" hidden="1" x14ac:dyDescent="0.3">
      <c r="A1610" s="6" t="s">
        <v>7292</v>
      </c>
      <c r="B1610" s="7" t="s">
        <v>7293</v>
      </c>
      <c r="C1610" s="17" t="s">
        <v>7294</v>
      </c>
      <c r="D1610" s="17"/>
      <c r="E1610" s="8">
        <v>15808</v>
      </c>
      <c r="F1610" s="9">
        <v>79</v>
      </c>
      <c r="G1610" s="6" t="s">
        <v>7295</v>
      </c>
      <c r="H1610" s="7" t="s">
        <v>25</v>
      </c>
      <c r="I1610" s="6"/>
      <c r="J1610" s="7" t="s">
        <v>20</v>
      </c>
      <c r="K1610" s="7" t="s">
        <v>26</v>
      </c>
      <c r="L1610" s="6"/>
      <c r="M1610" s="10">
        <v>6.5799999999999997E-2</v>
      </c>
      <c r="N1610" s="6" t="s">
        <v>7296</v>
      </c>
      <c r="O1610" s="11">
        <v>17650.560000000001</v>
      </c>
      <c r="P1610" s="11"/>
      <c r="Q1610" s="18">
        <v>2206.3200000000002</v>
      </c>
      <c r="R1610" s="19"/>
    </row>
    <row r="1611" spans="1:18" ht="43.2" hidden="1" x14ac:dyDescent="0.3">
      <c r="A1611" s="6" t="s">
        <v>7297</v>
      </c>
      <c r="B1611" s="7" t="s">
        <v>3395</v>
      </c>
      <c r="C1611" s="17" t="s">
        <v>7298</v>
      </c>
      <c r="D1611" s="17"/>
      <c r="E1611" s="8">
        <v>17917</v>
      </c>
      <c r="F1611" s="9">
        <v>73</v>
      </c>
      <c r="G1611" s="6" t="s">
        <v>7299</v>
      </c>
      <c r="H1611" s="7" t="s">
        <v>39</v>
      </c>
      <c r="I1611" s="6" t="s">
        <v>415</v>
      </c>
      <c r="J1611" s="7" t="s">
        <v>20</v>
      </c>
      <c r="K1611" s="7" t="s">
        <v>26</v>
      </c>
      <c r="L1611" s="6"/>
      <c r="M1611" s="10">
        <v>5.5300000000000002E-2</v>
      </c>
      <c r="N1611" s="6" t="s">
        <v>7300</v>
      </c>
      <c r="O1611" s="11">
        <v>16800</v>
      </c>
      <c r="P1611" s="11"/>
      <c r="Q1611" s="18">
        <v>2100</v>
      </c>
      <c r="R1611" s="19"/>
    </row>
    <row r="1612" spans="1:18" ht="43.2" x14ac:dyDescent="0.3">
      <c r="A1612" s="6" t="s">
        <v>7301</v>
      </c>
      <c r="B1612" s="7" t="s">
        <v>7302</v>
      </c>
      <c r="C1612" s="17" t="s">
        <v>7303</v>
      </c>
      <c r="D1612" s="17"/>
      <c r="E1612" s="8">
        <v>18603</v>
      </c>
      <c r="F1612" s="9">
        <v>72</v>
      </c>
      <c r="G1612" s="6" t="s">
        <v>7304</v>
      </c>
      <c r="H1612" s="7" t="s">
        <v>39</v>
      </c>
      <c r="I1612" s="6" t="s">
        <v>122</v>
      </c>
      <c r="J1612" s="7" t="s">
        <v>41</v>
      </c>
      <c r="K1612" s="7" t="s">
        <v>26</v>
      </c>
      <c r="L1612" s="9">
        <v>71</v>
      </c>
      <c r="M1612" s="10">
        <v>5.28E-2</v>
      </c>
      <c r="N1612" s="6" t="s">
        <v>7305</v>
      </c>
      <c r="O1612" s="11">
        <v>16000</v>
      </c>
      <c r="P1612" s="11"/>
      <c r="Q1612" s="18">
        <v>2000</v>
      </c>
      <c r="R1612" s="19"/>
    </row>
    <row r="1613" spans="1:18" hidden="1" x14ac:dyDescent="0.3">
      <c r="A1613" s="6" t="s">
        <v>7306</v>
      </c>
      <c r="B1613" s="7" t="s">
        <v>1602</v>
      </c>
      <c r="C1613" s="17" t="s">
        <v>7307</v>
      </c>
      <c r="D1613" s="17"/>
      <c r="E1613" s="7" t="s">
        <v>7308</v>
      </c>
      <c r="F1613" s="9">
        <v>81</v>
      </c>
      <c r="G1613" s="6" t="s">
        <v>7309</v>
      </c>
      <c r="H1613" s="7" t="s">
        <v>25</v>
      </c>
      <c r="I1613" s="6" t="s">
        <v>19</v>
      </c>
      <c r="J1613" s="7" t="s">
        <v>41</v>
      </c>
      <c r="K1613" s="7" t="s">
        <v>32</v>
      </c>
      <c r="L1613" s="9">
        <v>79</v>
      </c>
      <c r="M1613" s="10">
        <v>6.5799999999999997E-2</v>
      </c>
      <c r="N1613" s="6" t="s">
        <v>7310</v>
      </c>
      <c r="O1613" s="6" t="s">
        <v>19</v>
      </c>
      <c r="P1613" s="6"/>
      <c r="Q1613" s="19" t="s">
        <v>19</v>
      </c>
      <c r="R1613" s="19"/>
    </row>
    <row r="1614" spans="1:18" hidden="1" x14ac:dyDescent="0.3">
      <c r="A1614" s="6" t="s">
        <v>7311</v>
      </c>
      <c r="B1614" s="7" t="s">
        <v>503</v>
      </c>
      <c r="C1614" s="17" t="s">
        <v>6836</v>
      </c>
      <c r="D1614" s="17"/>
      <c r="E1614" s="8">
        <v>17518</v>
      </c>
      <c r="F1614" s="9">
        <v>75</v>
      </c>
      <c r="G1614" s="6" t="s">
        <v>7312</v>
      </c>
      <c r="H1614" s="7" t="s">
        <v>25</v>
      </c>
      <c r="I1614" s="6"/>
      <c r="J1614" s="7" t="s">
        <v>20</v>
      </c>
      <c r="K1614" s="7" t="s">
        <v>26</v>
      </c>
      <c r="L1614" s="6"/>
      <c r="M1614" s="10">
        <v>5.8200000000000002E-2</v>
      </c>
      <c r="N1614" s="6" t="s">
        <v>7313</v>
      </c>
      <c r="O1614" s="11">
        <v>10269.36</v>
      </c>
      <c r="P1614" s="11"/>
      <c r="Q1614" s="18">
        <v>1283.67</v>
      </c>
      <c r="R1614" s="19"/>
    </row>
    <row r="1615" spans="1:18" hidden="1" x14ac:dyDescent="0.3">
      <c r="A1615" s="6" t="s">
        <v>7314</v>
      </c>
      <c r="B1615" s="7" t="s">
        <v>179</v>
      </c>
      <c r="C1615" s="17" t="s">
        <v>7315</v>
      </c>
      <c r="D1615" s="17"/>
      <c r="E1615" s="8">
        <v>15972</v>
      </c>
      <c r="F1615" s="9">
        <v>79</v>
      </c>
      <c r="G1615" s="6" t="s">
        <v>7316</v>
      </c>
      <c r="H1615" s="7" t="s">
        <v>25</v>
      </c>
      <c r="I1615" s="6"/>
      <c r="J1615" s="7" t="s">
        <v>20</v>
      </c>
      <c r="K1615" s="7" t="s">
        <v>26</v>
      </c>
      <c r="L1615" s="6"/>
      <c r="M1615" s="10">
        <v>6.5799999999999997E-2</v>
      </c>
      <c r="N1615" s="6" t="s">
        <v>7317</v>
      </c>
      <c r="O1615" s="11">
        <v>37304.32</v>
      </c>
      <c r="P1615" s="11"/>
      <c r="Q1615" s="18">
        <v>4663.04</v>
      </c>
      <c r="R1615" s="19"/>
    </row>
    <row r="1616" spans="1:18" ht="43.2" hidden="1" x14ac:dyDescent="0.3">
      <c r="A1616" s="6" t="s">
        <v>7318</v>
      </c>
      <c r="B1616" s="7" t="s">
        <v>645</v>
      </c>
      <c r="C1616" s="17" t="s">
        <v>7319</v>
      </c>
      <c r="D1616" s="17"/>
      <c r="E1616" s="8">
        <v>18093</v>
      </c>
      <c r="F1616" s="9">
        <v>73</v>
      </c>
      <c r="G1616" s="6" t="s">
        <v>7320</v>
      </c>
      <c r="H1616" s="7" t="s">
        <v>39</v>
      </c>
      <c r="I1616" s="6" t="s">
        <v>7321</v>
      </c>
      <c r="J1616" s="7" t="s">
        <v>20</v>
      </c>
      <c r="K1616" s="7" t="s">
        <v>26</v>
      </c>
      <c r="L1616" s="6"/>
      <c r="M1616" s="10">
        <v>5.5300000000000002E-2</v>
      </c>
      <c r="N1616" s="6" t="s">
        <v>7322</v>
      </c>
      <c r="O1616" s="11">
        <v>39280</v>
      </c>
      <c r="P1616" s="11"/>
      <c r="Q1616" s="18">
        <v>3160</v>
      </c>
      <c r="R1616" s="19"/>
    </row>
    <row r="1617" spans="1:18" ht="43.2" hidden="1" x14ac:dyDescent="0.3">
      <c r="A1617" s="6" t="s">
        <v>7323</v>
      </c>
      <c r="B1617" s="7" t="s">
        <v>140</v>
      </c>
      <c r="C1617" s="17" t="s">
        <v>7324</v>
      </c>
      <c r="D1617" s="17"/>
      <c r="E1617" s="8">
        <v>16823</v>
      </c>
      <c r="F1617" s="9">
        <v>76</v>
      </c>
      <c r="G1617" s="6" t="s">
        <v>7325</v>
      </c>
      <c r="H1617" s="7" t="s">
        <v>39</v>
      </c>
      <c r="I1617" s="6" t="s">
        <v>122</v>
      </c>
      <c r="J1617" s="7" t="s">
        <v>20</v>
      </c>
      <c r="K1617" s="7" t="s">
        <v>26</v>
      </c>
      <c r="L1617" s="6"/>
      <c r="M1617" s="10">
        <v>5.9799999999999999E-2</v>
      </c>
      <c r="N1617" s="6" t="s">
        <v>7326</v>
      </c>
      <c r="O1617" s="11">
        <v>16000</v>
      </c>
      <c r="P1617" s="11"/>
      <c r="Q1617" s="18">
        <v>2000</v>
      </c>
      <c r="R1617" s="19"/>
    </row>
    <row r="1618" spans="1:18" ht="43.2" hidden="1" x14ac:dyDescent="0.3">
      <c r="A1618" s="6" t="s">
        <v>7327</v>
      </c>
      <c r="B1618" s="7" t="s">
        <v>87</v>
      </c>
      <c r="C1618" s="17" t="s">
        <v>7328</v>
      </c>
      <c r="D1618" s="17"/>
      <c r="E1618" s="8">
        <v>18010</v>
      </c>
      <c r="F1618" s="9">
        <v>73</v>
      </c>
      <c r="G1618" s="6" t="s">
        <v>7329</v>
      </c>
      <c r="H1618" s="7" t="s">
        <v>39</v>
      </c>
      <c r="I1618" s="6" t="s">
        <v>40</v>
      </c>
      <c r="J1618" s="7" t="s">
        <v>20</v>
      </c>
      <c r="K1618" s="7" t="s">
        <v>26</v>
      </c>
      <c r="L1618" s="6"/>
      <c r="M1618" s="10">
        <v>5.5300000000000002E-2</v>
      </c>
      <c r="N1618" s="6" t="s">
        <v>7330</v>
      </c>
      <c r="O1618" s="11">
        <v>12000</v>
      </c>
      <c r="P1618" s="11"/>
      <c r="Q1618" s="18">
        <v>3000</v>
      </c>
      <c r="R1618" s="19"/>
    </row>
    <row r="1619" spans="1:18" ht="43.2" hidden="1" x14ac:dyDescent="0.3">
      <c r="A1619" s="6" t="s">
        <v>7331</v>
      </c>
      <c r="B1619" s="7" t="s">
        <v>498</v>
      </c>
      <c r="C1619" s="17" t="s">
        <v>1895</v>
      </c>
      <c r="D1619" s="17"/>
      <c r="E1619" s="8">
        <v>18283</v>
      </c>
      <c r="F1619" s="9">
        <v>72</v>
      </c>
      <c r="G1619" s="6" t="s">
        <v>7332</v>
      </c>
      <c r="H1619" s="7" t="s">
        <v>39</v>
      </c>
      <c r="I1619" s="6" t="s">
        <v>728</v>
      </c>
      <c r="J1619" s="7" t="s">
        <v>20</v>
      </c>
      <c r="K1619" s="7" t="s">
        <v>26</v>
      </c>
      <c r="L1619" s="6"/>
      <c r="M1619" s="10">
        <v>5.3999999999999999E-2</v>
      </c>
      <c r="N1619" s="6" t="s">
        <v>7333</v>
      </c>
      <c r="O1619" s="11">
        <v>35419.050000000003</v>
      </c>
      <c r="P1619" s="11"/>
      <c r="Q1619" s="18">
        <v>521.63</v>
      </c>
      <c r="R1619" s="19"/>
    </row>
    <row r="1620" spans="1:18" ht="43.2" hidden="1" x14ac:dyDescent="0.3">
      <c r="A1620" s="6" t="s">
        <v>7334</v>
      </c>
      <c r="B1620" s="7" t="s">
        <v>2110</v>
      </c>
      <c r="C1620" s="17" t="s">
        <v>7335</v>
      </c>
      <c r="D1620" s="17"/>
      <c r="E1620" s="8">
        <v>18389</v>
      </c>
      <c r="F1620" s="9">
        <v>72</v>
      </c>
      <c r="G1620" s="6" t="s">
        <v>7336</v>
      </c>
      <c r="H1620" s="7" t="s">
        <v>39</v>
      </c>
      <c r="I1620" s="6" t="s">
        <v>89</v>
      </c>
      <c r="J1620" s="7" t="s">
        <v>20</v>
      </c>
      <c r="K1620" s="7" t="s">
        <v>26</v>
      </c>
      <c r="L1620" s="6"/>
      <c r="M1620" s="10">
        <v>5.3999999999999999E-2</v>
      </c>
      <c r="N1620" s="6" t="s">
        <v>7337</v>
      </c>
      <c r="O1620" s="11">
        <v>13600</v>
      </c>
      <c r="P1620" s="11"/>
      <c r="Q1620" s="18">
        <v>178.24</v>
      </c>
      <c r="R1620" s="19"/>
    </row>
    <row r="1621" spans="1:18" hidden="1" x14ac:dyDescent="0.3">
      <c r="A1621" s="6" t="s">
        <v>7338</v>
      </c>
      <c r="B1621" s="7" t="s">
        <v>1103</v>
      </c>
      <c r="C1621" s="17" t="s">
        <v>7339</v>
      </c>
      <c r="D1621" s="17"/>
      <c r="E1621" s="8">
        <v>17865</v>
      </c>
      <c r="F1621" s="9">
        <v>74</v>
      </c>
      <c r="G1621" s="6" t="s">
        <v>7340</v>
      </c>
      <c r="H1621" s="7" t="s">
        <v>25</v>
      </c>
      <c r="I1621" s="6"/>
      <c r="J1621" s="7" t="s">
        <v>20</v>
      </c>
      <c r="K1621" s="7" t="s">
        <v>26</v>
      </c>
      <c r="L1621" s="6"/>
      <c r="M1621" s="10">
        <v>5.67E-2</v>
      </c>
      <c r="N1621" s="6" t="s">
        <v>7341</v>
      </c>
      <c r="O1621" s="11">
        <v>66764.56</v>
      </c>
      <c r="P1621" s="11"/>
      <c r="Q1621" s="18">
        <v>8345.57</v>
      </c>
      <c r="R1621" s="19"/>
    </row>
    <row r="1622" spans="1:18" ht="43.2" x14ac:dyDescent="0.3">
      <c r="A1622" s="6" t="s">
        <v>7342</v>
      </c>
      <c r="B1622" s="7" t="s">
        <v>1129</v>
      </c>
      <c r="C1622" s="17" t="s">
        <v>1924</v>
      </c>
      <c r="D1622" s="17"/>
      <c r="E1622" s="8">
        <v>18076</v>
      </c>
      <c r="F1622" s="9">
        <v>73</v>
      </c>
      <c r="G1622" s="6" t="s">
        <v>7344</v>
      </c>
      <c r="H1622" s="7" t="s">
        <v>39</v>
      </c>
      <c r="I1622" s="6" t="s">
        <v>151</v>
      </c>
      <c r="J1622" s="7" t="s">
        <v>41</v>
      </c>
      <c r="K1622" s="7" t="s">
        <v>26</v>
      </c>
      <c r="L1622" s="9">
        <v>71</v>
      </c>
      <c r="M1622" s="10">
        <v>5.28E-2</v>
      </c>
      <c r="N1622" s="6" t="s">
        <v>7345</v>
      </c>
      <c r="O1622" s="11">
        <v>20000</v>
      </c>
      <c r="P1622" s="11"/>
      <c r="Q1622" s="18">
        <v>2500</v>
      </c>
      <c r="R1622" s="19"/>
    </row>
    <row r="1623" spans="1:18" ht="43.2" hidden="1" x14ac:dyDescent="0.3">
      <c r="A1623" s="6" t="s">
        <v>7346</v>
      </c>
      <c r="B1623" s="7" t="s">
        <v>240</v>
      </c>
      <c r="C1623" s="17" t="s">
        <v>7347</v>
      </c>
      <c r="D1623" s="17"/>
      <c r="E1623" s="8">
        <v>15359</v>
      </c>
      <c r="F1623" s="9">
        <v>80</v>
      </c>
      <c r="G1623" s="6" t="s">
        <v>7348</v>
      </c>
      <c r="H1623" s="7" t="s">
        <v>39</v>
      </c>
      <c r="I1623" s="6" t="s">
        <v>7349</v>
      </c>
      <c r="J1623" s="7" t="s">
        <v>20</v>
      </c>
      <c r="K1623" s="7" t="s">
        <v>26</v>
      </c>
      <c r="L1623" s="6"/>
      <c r="M1623" s="10">
        <v>6.8199999999999997E-2</v>
      </c>
      <c r="N1623" s="6" t="s">
        <v>7350</v>
      </c>
      <c r="O1623" s="11">
        <v>19440</v>
      </c>
      <c r="P1623" s="11"/>
      <c r="Q1623" s="18">
        <v>2430</v>
      </c>
      <c r="R1623" s="19"/>
    </row>
    <row r="1624" spans="1:18" ht="43.2" x14ac:dyDescent="0.3">
      <c r="A1624" s="6" t="s">
        <v>7351</v>
      </c>
      <c r="B1624" s="7" t="s">
        <v>5247</v>
      </c>
      <c r="C1624" s="17" t="s">
        <v>7352</v>
      </c>
      <c r="D1624" s="17"/>
      <c r="E1624" s="8">
        <v>15922</v>
      </c>
      <c r="F1624" s="9">
        <v>79</v>
      </c>
      <c r="G1624" s="6" t="s">
        <v>7353</v>
      </c>
      <c r="H1624" s="7" t="s">
        <v>39</v>
      </c>
      <c r="I1624" s="6" t="s">
        <v>106</v>
      </c>
      <c r="J1624" s="7" t="s">
        <v>41</v>
      </c>
      <c r="K1624" s="7" t="s">
        <v>26</v>
      </c>
      <c r="L1624" s="9">
        <v>76</v>
      </c>
      <c r="M1624" s="10">
        <v>5.9799999999999999E-2</v>
      </c>
      <c r="N1624" s="6" t="s">
        <v>7354</v>
      </c>
      <c r="O1624" s="11">
        <v>52000</v>
      </c>
      <c r="P1624" s="11"/>
      <c r="Q1624" s="18">
        <v>4000</v>
      </c>
      <c r="R1624" s="19"/>
    </row>
    <row r="1625" spans="1:18" hidden="1" x14ac:dyDescent="0.3">
      <c r="A1625" s="6" t="s">
        <v>7355</v>
      </c>
      <c r="B1625" s="7" t="s">
        <v>1964</v>
      </c>
      <c r="C1625" s="17" t="s">
        <v>195</v>
      </c>
      <c r="D1625" s="17"/>
      <c r="E1625" s="7" t="s">
        <v>4528</v>
      </c>
      <c r="F1625" s="9">
        <v>75</v>
      </c>
      <c r="G1625" s="6" t="s">
        <v>7356</v>
      </c>
      <c r="H1625" s="7" t="s">
        <v>25</v>
      </c>
      <c r="I1625" s="6" t="s">
        <v>19</v>
      </c>
      <c r="J1625" s="7" t="s">
        <v>20</v>
      </c>
      <c r="K1625" s="7" t="s">
        <v>32</v>
      </c>
      <c r="L1625" s="6"/>
      <c r="M1625" s="10">
        <v>5.8200000000000002E-2</v>
      </c>
      <c r="N1625" s="6" t="s">
        <v>7357</v>
      </c>
      <c r="O1625" s="6" t="s">
        <v>19</v>
      </c>
      <c r="P1625" s="6"/>
      <c r="Q1625" s="19" t="s">
        <v>19</v>
      </c>
      <c r="R1625" s="19"/>
    </row>
    <row r="1626" spans="1:18" ht="28.8" hidden="1" x14ac:dyDescent="0.3">
      <c r="A1626" s="6" t="s">
        <v>7358</v>
      </c>
      <c r="B1626" s="7" t="s">
        <v>1477</v>
      </c>
      <c r="C1626" s="17" t="s">
        <v>7359</v>
      </c>
      <c r="D1626" s="17"/>
      <c r="E1626" s="8">
        <v>18535</v>
      </c>
      <c r="F1626" s="9">
        <v>72</v>
      </c>
      <c r="G1626" s="6" t="s">
        <v>7360</v>
      </c>
      <c r="H1626" s="7" t="s">
        <v>39</v>
      </c>
      <c r="I1626" s="6" t="s">
        <v>321</v>
      </c>
      <c r="J1626" s="7" t="s">
        <v>20</v>
      </c>
      <c r="K1626" s="7" t="s">
        <v>26</v>
      </c>
      <c r="L1626" s="6"/>
      <c r="M1626" s="10">
        <v>5.3999999999999999E-2</v>
      </c>
      <c r="N1626" s="6" t="s">
        <v>7361</v>
      </c>
      <c r="O1626" s="11">
        <v>2400</v>
      </c>
      <c r="P1626" s="11"/>
      <c r="Q1626" s="18">
        <v>300</v>
      </c>
      <c r="R1626" s="19"/>
    </row>
    <row r="1627" spans="1:18" hidden="1" x14ac:dyDescent="0.3">
      <c r="A1627" s="6" t="s">
        <v>7362</v>
      </c>
      <c r="B1627" s="7" t="s">
        <v>7363</v>
      </c>
      <c r="C1627" s="17" t="s">
        <v>7364</v>
      </c>
      <c r="D1627" s="17"/>
      <c r="E1627" s="8">
        <v>16532</v>
      </c>
      <c r="F1627" s="9">
        <v>77</v>
      </c>
      <c r="G1627" s="6" t="s">
        <v>7365</v>
      </c>
      <c r="H1627" s="7" t="s">
        <v>25</v>
      </c>
      <c r="I1627" s="6"/>
      <c r="J1627" s="7" t="s">
        <v>20</v>
      </c>
      <c r="K1627" s="7" t="s">
        <v>26</v>
      </c>
      <c r="L1627" s="6"/>
      <c r="M1627" s="10">
        <v>6.1699999999999998E-2</v>
      </c>
      <c r="N1627" s="6" t="s">
        <v>7366</v>
      </c>
      <c r="O1627" s="11">
        <v>50526.96</v>
      </c>
      <c r="P1627" s="11"/>
      <c r="Q1627" s="18">
        <v>6315.87</v>
      </c>
      <c r="R1627" s="19"/>
    </row>
    <row r="1628" spans="1:18" ht="43.2" x14ac:dyDescent="0.3">
      <c r="A1628" s="6" t="s">
        <v>7367</v>
      </c>
      <c r="B1628" s="7" t="s">
        <v>81</v>
      </c>
      <c r="C1628" s="17" t="s">
        <v>759</v>
      </c>
      <c r="D1628" s="17"/>
      <c r="E1628" s="8">
        <v>17502</v>
      </c>
      <c r="F1628" s="9">
        <v>75</v>
      </c>
      <c r="G1628" s="6" t="s">
        <v>7368</v>
      </c>
      <c r="H1628" s="7" t="s">
        <v>39</v>
      </c>
      <c r="I1628" s="6" t="s">
        <v>3596</v>
      </c>
      <c r="J1628" s="7" t="s">
        <v>41</v>
      </c>
      <c r="K1628" s="7" t="s">
        <v>26</v>
      </c>
      <c r="L1628" s="9">
        <v>70</v>
      </c>
      <c r="M1628" s="10">
        <v>0.05</v>
      </c>
      <c r="N1628" s="6" t="s">
        <v>7369</v>
      </c>
      <c r="O1628" s="11">
        <v>31200</v>
      </c>
      <c r="P1628" s="11"/>
      <c r="Q1628" s="18">
        <v>3900</v>
      </c>
      <c r="R1628" s="19"/>
    </row>
    <row r="1629" spans="1:18" hidden="1" x14ac:dyDescent="0.3">
      <c r="A1629" s="6" t="s">
        <v>7370</v>
      </c>
      <c r="B1629" s="7" t="s">
        <v>29</v>
      </c>
      <c r="C1629" s="17" t="s">
        <v>7371</v>
      </c>
      <c r="D1629" s="17"/>
      <c r="E1629" s="8">
        <v>18494</v>
      </c>
      <c r="F1629" s="9">
        <v>72</v>
      </c>
      <c r="G1629" s="6" t="s">
        <v>7372</v>
      </c>
      <c r="H1629" s="7" t="s">
        <v>25</v>
      </c>
      <c r="I1629" s="6"/>
      <c r="J1629" s="7" t="s">
        <v>20</v>
      </c>
      <c r="K1629" s="7" t="s">
        <v>26</v>
      </c>
      <c r="L1629" s="6"/>
      <c r="M1629" s="10">
        <v>5.3999999999999999E-2</v>
      </c>
      <c r="N1629" s="6" t="s">
        <v>7373</v>
      </c>
      <c r="O1629" s="11">
        <v>38723.360000000001</v>
      </c>
      <c r="P1629" s="11"/>
      <c r="Q1629" s="18">
        <v>4840.42</v>
      </c>
      <c r="R1629" s="19"/>
    </row>
    <row r="1630" spans="1:18" ht="43.2" hidden="1" x14ac:dyDescent="0.3">
      <c r="A1630" s="6" t="s">
        <v>7374</v>
      </c>
      <c r="B1630" s="7" t="s">
        <v>406</v>
      </c>
      <c r="C1630" s="17" t="s">
        <v>7375</v>
      </c>
      <c r="D1630" s="17"/>
      <c r="E1630" s="8">
        <v>15737</v>
      </c>
      <c r="F1630" s="9">
        <v>79</v>
      </c>
      <c r="G1630" s="6" t="s">
        <v>7376</v>
      </c>
      <c r="H1630" s="7" t="s">
        <v>39</v>
      </c>
      <c r="I1630" s="6" t="s">
        <v>106</v>
      </c>
      <c r="J1630" s="7" t="s">
        <v>20</v>
      </c>
      <c r="K1630" s="7" t="s">
        <v>26</v>
      </c>
      <c r="L1630" s="6"/>
      <c r="M1630" s="10">
        <v>6.5799999999999997E-2</v>
      </c>
      <c r="N1630" s="6" t="s">
        <v>7377</v>
      </c>
      <c r="O1630" s="11">
        <v>32000</v>
      </c>
      <c r="P1630" s="11"/>
      <c r="Q1630" s="18">
        <v>4000</v>
      </c>
      <c r="R1630" s="19"/>
    </row>
    <row r="1631" spans="1:18" ht="28.8" hidden="1" x14ac:dyDescent="0.3">
      <c r="A1631" s="6" t="s">
        <v>7378</v>
      </c>
      <c r="B1631" s="7" t="s">
        <v>114</v>
      </c>
      <c r="C1631" s="17" t="s">
        <v>1381</v>
      </c>
      <c r="D1631" s="17"/>
      <c r="E1631" s="8">
        <v>15237</v>
      </c>
      <c r="F1631" s="9">
        <v>81</v>
      </c>
      <c r="G1631" s="6" t="s">
        <v>7379</v>
      </c>
      <c r="H1631" s="7" t="s">
        <v>39</v>
      </c>
      <c r="I1631" s="6" t="s">
        <v>7380</v>
      </c>
      <c r="J1631" s="7" t="s">
        <v>20</v>
      </c>
      <c r="K1631" s="7" t="s">
        <v>26</v>
      </c>
      <c r="L1631" s="6"/>
      <c r="M1631" s="10">
        <v>7.0800000000000002E-2</v>
      </c>
      <c r="N1631" s="6" t="s">
        <v>7381</v>
      </c>
      <c r="O1631" s="11">
        <v>4458.5600000000004</v>
      </c>
      <c r="P1631" s="11"/>
      <c r="Q1631" s="18">
        <v>557.32000000000005</v>
      </c>
      <c r="R1631" s="19"/>
    </row>
    <row r="1632" spans="1:18" ht="43.2" hidden="1" x14ac:dyDescent="0.3">
      <c r="A1632" s="6" t="s">
        <v>7382</v>
      </c>
      <c r="B1632" s="7" t="s">
        <v>7383</v>
      </c>
      <c r="C1632" s="17" t="s">
        <v>7384</v>
      </c>
      <c r="D1632" s="17"/>
      <c r="E1632" s="8">
        <v>16409</v>
      </c>
      <c r="F1632" s="9">
        <v>78</v>
      </c>
      <c r="G1632" s="6" t="s">
        <v>7385</v>
      </c>
      <c r="H1632" s="7" t="s">
        <v>39</v>
      </c>
      <c r="I1632" s="6" t="s">
        <v>2799</v>
      </c>
      <c r="J1632" s="7" t="s">
        <v>20</v>
      </c>
      <c r="K1632" s="7" t="s">
        <v>26</v>
      </c>
      <c r="L1632" s="6"/>
      <c r="M1632" s="10">
        <v>6.3600000000000004E-2</v>
      </c>
      <c r="N1632" s="6" t="s">
        <v>7386</v>
      </c>
      <c r="O1632" s="11">
        <v>30000</v>
      </c>
      <c r="P1632" s="11"/>
      <c r="Q1632" s="18">
        <v>3750</v>
      </c>
      <c r="R1632" s="19"/>
    </row>
    <row r="1633" spans="1:18" ht="28.8" hidden="1" x14ac:dyDescent="0.3">
      <c r="A1633" s="6" t="s">
        <v>7387</v>
      </c>
      <c r="B1633" s="7" t="s">
        <v>859</v>
      </c>
      <c r="C1633" s="17" t="s">
        <v>7388</v>
      </c>
      <c r="D1633" s="17"/>
      <c r="E1633" s="8">
        <v>17259</v>
      </c>
      <c r="F1633" s="9">
        <v>75</v>
      </c>
      <c r="G1633" s="6" t="s">
        <v>7389</v>
      </c>
      <c r="H1633" s="7" t="s">
        <v>39</v>
      </c>
      <c r="I1633" s="6" t="s">
        <v>7390</v>
      </c>
      <c r="J1633" s="7" t="s">
        <v>20</v>
      </c>
      <c r="K1633" s="7" t="s">
        <v>26</v>
      </c>
      <c r="L1633" s="6"/>
      <c r="M1633" s="10">
        <v>5.8200000000000002E-2</v>
      </c>
      <c r="N1633" s="6" t="s">
        <v>7391</v>
      </c>
      <c r="O1633" s="11">
        <v>15537.52</v>
      </c>
      <c r="P1633" s="11"/>
      <c r="Q1633" s="18">
        <v>692.19</v>
      </c>
      <c r="R1633" s="19"/>
    </row>
    <row r="1634" spans="1:18" ht="43.2" x14ac:dyDescent="0.3">
      <c r="A1634" s="6" t="s">
        <v>7392</v>
      </c>
      <c r="B1634" s="7" t="s">
        <v>7393</v>
      </c>
      <c r="C1634" s="17" t="s">
        <v>1585</v>
      </c>
      <c r="D1634" s="17"/>
      <c r="E1634" s="8">
        <v>16287</v>
      </c>
      <c r="F1634" s="9">
        <v>78</v>
      </c>
      <c r="G1634" s="6" t="s">
        <v>7394</v>
      </c>
      <c r="H1634" s="7" t="s">
        <v>39</v>
      </c>
      <c r="I1634" s="6" t="s">
        <v>151</v>
      </c>
      <c r="J1634" s="7" t="s">
        <v>41</v>
      </c>
      <c r="K1634" s="7" t="s">
        <v>26</v>
      </c>
      <c r="L1634" s="9">
        <v>73</v>
      </c>
      <c r="M1634" s="10">
        <v>5.5300000000000002E-2</v>
      </c>
      <c r="N1634" s="6" t="s">
        <v>7395</v>
      </c>
      <c r="O1634" s="11">
        <v>20000</v>
      </c>
      <c r="P1634" s="11"/>
      <c r="Q1634" s="18">
        <v>2500</v>
      </c>
      <c r="R1634" s="19"/>
    </row>
    <row r="1635" spans="1:18" ht="28.8" hidden="1" x14ac:dyDescent="0.3">
      <c r="A1635" s="6" t="s">
        <v>7396</v>
      </c>
      <c r="B1635" s="7" t="s">
        <v>7397</v>
      </c>
      <c r="C1635" s="17" t="s">
        <v>7398</v>
      </c>
      <c r="D1635" s="17"/>
      <c r="E1635" s="8">
        <v>16637</v>
      </c>
      <c r="F1635" s="9">
        <v>77</v>
      </c>
      <c r="G1635" s="6" t="s">
        <v>7399</v>
      </c>
      <c r="H1635" s="7" t="s">
        <v>39</v>
      </c>
      <c r="I1635" s="6" t="s">
        <v>284</v>
      </c>
      <c r="J1635" s="7" t="s">
        <v>20</v>
      </c>
      <c r="K1635" s="7" t="s">
        <v>26</v>
      </c>
      <c r="L1635" s="6"/>
      <c r="M1635" s="10">
        <v>6.1699999999999998E-2</v>
      </c>
      <c r="N1635" s="6" t="s">
        <v>7400</v>
      </c>
      <c r="O1635" s="11">
        <v>2000</v>
      </c>
      <c r="P1635" s="11"/>
      <c r="Q1635" s="18">
        <v>250</v>
      </c>
      <c r="R1635" s="19"/>
    </row>
    <row r="1636" spans="1:18" ht="43.2" x14ac:dyDescent="0.3">
      <c r="A1636" s="6" t="s">
        <v>7401</v>
      </c>
      <c r="B1636" s="7" t="s">
        <v>195</v>
      </c>
      <c r="C1636" s="17" t="s">
        <v>7402</v>
      </c>
      <c r="D1636" s="17"/>
      <c r="E1636" s="8">
        <v>16937</v>
      </c>
      <c r="F1636" s="9">
        <v>76</v>
      </c>
      <c r="G1636" s="6" t="s">
        <v>7403</v>
      </c>
      <c r="H1636" s="7" t="s">
        <v>39</v>
      </c>
      <c r="I1636" s="6" t="s">
        <v>132</v>
      </c>
      <c r="J1636" s="7" t="s">
        <v>41</v>
      </c>
      <c r="K1636" s="7" t="s">
        <v>26</v>
      </c>
      <c r="L1636" s="9">
        <v>74</v>
      </c>
      <c r="M1636" s="10">
        <v>5.67E-2</v>
      </c>
      <c r="N1636" s="6" t="s">
        <v>7404</v>
      </c>
      <c r="O1636" s="11">
        <v>12000</v>
      </c>
      <c r="P1636" s="11"/>
      <c r="Q1636" s="18">
        <v>1500</v>
      </c>
      <c r="R1636" s="19"/>
    </row>
    <row r="1637" spans="1:18" ht="43.2" x14ac:dyDescent="0.3">
      <c r="A1637" s="6" t="s">
        <v>7405</v>
      </c>
      <c r="B1637" s="7" t="s">
        <v>270</v>
      </c>
      <c r="C1637" s="17" t="s">
        <v>7406</v>
      </c>
      <c r="D1637" s="17"/>
      <c r="E1637" s="8">
        <v>16934</v>
      </c>
      <c r="F1637" s="9">
        <v>76</v>
      </c>
      <c r="G1637" s="6" t="s">
        <v>7407</v>
      </c>
      <c r="H1637" s="7" t="s">
        <v>39</v>
      </c>
      <c r="I1637" s="6" t="s">
        <v>4962</v>
      </c>
      <c r="J1637" s="7" t="s">
        <v>41</v>
      </c>
      <c r="K1637" s="7" t="s">
        <v>26</v>
      </c>
      <c r="L1637" s="9">
        <v>72</v>
      </c>
      <c r="M1637" s="10">
        <v>5.3999999999999999E-2</v>
      </c>
      <c r="N1637" s="6" t="s">
        <v>7408</v>
      </c>
      <c r="O1637" s="11">
        <v>52000</v>
      </c>
      <c r="P1637" s="11"/>
      <c r="Q1637" s="18">
        <v>6500</v>
      </c>
      <c r="R1637" s="19"/>
    </row>
    <row r="1638" spans="1:18" ht="43.2" hidden="1" x14ac:dyDescent="0.3">
      <c r="A1638" s="6" t="s">
        <v>7409</v>
      </c>
      <c r="B1638" s="7" t="s">
        <v>7410</v>
      </c>
      <c r="C1638" s="17" t="s">
        <v>7411</v>
      </c>
      <c r="D1638" s="17"/>
      <c r="E1638" s="8">
        <v>17023</v>
      </c>
      <c r="F1638" s="9">
        <v>76</v>
      </c>
      <c r="G1638" s="6" t="s">
        <v>7412</v>
      </c>
      <c r="H1638" s="7" t="s">
        <v>39</v>
      </c>
      <c r="I1638" s="6" t="s">
        <v>47</v>
      </c>
      <c r="J1638" s="7" t="s">
        <v>20</v>
      </c>
      <c r="K1638" s="7" t="s">
        <v>26</v>
      </c>
      <c r="L1638" s="6"/>
      <c r="M1638" s="10">
        <v>5.9799999999999999E-2</v>
      </c>
      <c r="N1638" s="6" t="s">
        <v>7413</v>
      </c>
      <c r="O1638" s="11">
        <v>8000</v>
      </c>
      <c r="P1638" s="11"/>
      <c r="Q1638" s="18">
        <v>1000</v>
      </c>
      <c r="R1638" s="19"/>
    </row>
    <row r="1639" spans="1:18" ht="43.2" hidden="1" x14ac:dyDescent="0.3">
      <c r="A1639" s="6" t="s">
        <v>7414</v>
      </c>
      <c r="B1639" s="7" t="s">
        <v>2565</v>
      </c>
      <c r="C1639" s="17" t="s">
        <v>6910</v>
      </c>
      <c r="D1639" s="17"/>
      <c r="E1639" s="8">
        <v>16043</v>
      </c>
      <c r="F1639" s="9">
        <v>79</v>
      </c>
      <c r="G1639" s="6" t="s">
        <v>7415</v>
      </c>
      <c r="H1639" s="7" t="s">
        <v>39</v>
      </c>
      <c r="I1639" s="6" t="s">
        <v>7416</v>
      </c>
      <c r="J1639" s="7" t="s">
        <v>20</v>
      </c>
      <c r="K1639" s="7" t="s">
        <v>26</v>
      </c>
      <c r="L1639" s="6"/>
      <c r="M1639" s="10">
        <v>6.5799999999999997E-2</v>
      </c>
      <c r="N1639" s="6" t="s">
        <v>7417</v>
      </c>
      <c r="O1639" s="11">
        <v>17800</v>
      </c>
      <c r="P1639" s="11"/>
      <c r="Q1639" s="18">
        <v>2225</v>
      </c>
      <c r="R1639" s="19"/>
    </row>
    <row r="1640" spans="1:18" hidden="1" x14ac:dyDescent="0.3">
      <c r="A1640" s="6" t="s">
        <v>7418</v>
      </c>
      <c r="B1640" s="7" t="s">
        <v>7419</v>
      </c>
      <c r="C1640" s="17" t="s">
        <v>931</v>
      </c>
      <c r="D1640" s="17"/>
      <c r="E1640" s="8">
        <v>17545</v>
      </c>
      <c r="F1640" s="9">
        <v>74</v>
      </c>
      <c r="G1640" s="6" t="s">
        <v>7420</v>
      </c>
      <c r="H1640" s="7" t="s">
        <v>25</v>
      </c>
      <c r="I1640" s="6"/>
      <c r="J1640" s="7" t="s">
        <v>20</v>
      </c>
      <c r="K1640" s="7" t="s">
        <v>26</v>
      </c>
      <c r="L1640" s="6"/>
      <c r="M1640" s="10">
        <v>5.67E-2</v>
      </c>
      <c r="N1640" s="6" t="s">
        <v>7421</v>
      </c>
      <c r="O1640" s="11">
        <v>13194</v>
      </c>
      <c r="P1640" s="11"/>
      <c r="Q1640" s="18">
        <v>1649.25</v>
      </c>
      <c r="R1640" s="19"/>
    </row>
    <row r="1641" spans="1:18" hidden="1" x14ac:dyDescent="0.3">
      <c r="A1641" s="6" t="s">
        <v>7422</v>
      </c>
      <c r="B1641" s="7" t="s">
        <v>7423</v>
      </c>
      <c r="C1641" s="17" t="s">
        <v>7424</v>
      </c>
      <c r="D1641" s="17"/>
      <c r="E1641" s="7" t="s">
        <v>3311</v>
      </c>
      <c r="F1641" s="9">
        <v>72</v>
      </c>
      <c r="G1641" s="6" t="s">
        <v>7425</v>
      </c>
      <c r="H1641" s="7" t="s">
        <v>19</v>
      </c>
      <c r="I1641" s="6" t="s">
        <v>19</v>
      </c>
      <c r="J1641" s="7" t="s">
        <v>20</v>
      </c>
      <c r="K1641" s="7"/>
      <c r="L1641" s="6"/>
      <c r="M1641" s="10">
        <v>5.3999999999999999E-2</v>
      </c>
      <c r="N1641" s="6" t="s">
        <v>7426</v>
      </c>
      <c r="O1641" s="6" t="s">
        <v>19</v>
      </c>
      <c r="P1641" s="6"/>
      <c r="Q1641" s="19" t="s">
        <v>19</v>
      </c>
      <c r="R1641" s="19"/>
    </row>
    <row r="1642" spans="1:18" ht="43.2" x14ac:dyDescent="0.3">
      <c r="A1642" s="6" t="s">
        <v>7427</v>
      </c>
      <c r="B1642" s="7" t="s">
        <v>270</v>
      </c>
      <c r="C1642" s="17" t="s">
        <v>7428</v>
      </c>
      <c r="D1642" s="17"/>
      <c r="E1642" s="8">
        <v>15105</v>
      </c>
      <c r="F1642" s="9">
        <v>81</v>
      </c>
      <c r="G1642" s="6" t="s">
        <v>7429</v>
      </c>
      <c r="H1642" s="7" t="s">
        <v>39</v>
      </c>
      <c r="I1642" s="6" t="s">
        <v>7430</v>
      </c>
      <c r="J1642" s="7" t="s">
        <v>41</v>
      </c>
      <c r="K1642" s="7" t="s">
        <v>26</v>
      </c>
      <c r="L1642" s="9">
        <v>75</v>
      </c>
      <c r="M1642" s="10">
        <v>5.8200000000000002E-2</v>
      </c>
      <c r="N1642" s="6" t="s">
        <v>7431</v>
      </c>
      <c r="O1642" s="11">
        <v>156400</v>
      </c>
      <c r="P1642" s="11"/>
      <c r="Q1642" s="18">
        <v>7050</v>
      </c>
      <c r="R1642" s="19"/>
    </row>
    <row r="1643" spans="1:18" hidden="1" x14ac:dyDescent="0.3">
      <c r="A1643" s="6" t="s">
        <v>7432</v>
      </c>
      <c r="B1643" s="7" t="s">
        <v>1477</v>
      </c>
      <c r="C1643" s="17" t="s">
        <v>7433</v>
      </c>
      <c r="D1643" s="17"/>
      <c r="E1643" s="8">
        <v>18475</v>
      </c>
      <c r="F1643" s="9">
        <v>72</v>
      </c>
      <c r="G1643" s="6" t="s">
        <v>7434</v>
      </c>
      <c r="H1643" s="7" t="s">
        <v>25</v>
      </c>
      <c r="I1643" s="6"/>
      <c r="J1643" s="7" t="s">
        <v>20</v>
      </c>
      <c r="K1643" s="7" t="s">
        <v>26</v>
      </c>
      <c r="L1643" s="6"/>
      <c r="M1643" s="10">
        <v>5.3999999999999999E-2</v>
      </c>
      <c r="N1643" s="6" t="s">
        <v>7435</v>
      </c>
      <c r="O1643" s="11">
        <v>40517.68</v>
      </c>
      <c r="P1643" s="11"/>
      <c r="Q1643" s="18">
        <v>5064.71</v>
      </c>
      <c r="R1643" s="19"/>
    </row>
    <row r="1644" spans="1:18" x14ac:dyDescent="0.3">
      <c r="A1644" s="6" t="s">
        <v>7436</v>
      </c>
      <c r="B1644" s="7" t="s">
        <v>120</v>
      </c>
      <c r="C1644" s="17" t="s">
        <v>1084</v>
      </c>
      <c r="D1644" s="17"/>
      <c r="E1644" s="8">
        <v>14998</v>
      </c>
      <c r="F1644" s="9">
        <v>81</v>
      </c>
      <c r="G1644" s="6" t="s">
        <v>7437</v>
      </c>
      <c r="H1644" s="7" t="s">
        <v>25</v>
      </c>
      <c r="I1644" s="6"/>
      <c r="J1644" s="7" t="s">
        <v>41</v>
      </c>
      <c r="K1644" s="7" t="s">
        <v>26</v>
      </c>
      <c r="L1644" s="9">
        <v>79</v>
      </c>
      <c r="M1644" s="10">
        <v>6.5799999999999997E-2</v>
      </c>
      <c r="N1644" s="6" t="s">
        <v>7438</v>
      </c>
      <c r="O1644" s="11">
        <v>21837.040000000001</v>
      </c>
      <c r="P1644" s="11"/>
      <c r="Q1644" s="18">
        <v>2729.63</v>
      </c>
      <c r="R1644" s="19"/>
    </row>
    <row r="1645" spans="1:18" ht="43.2" hidden="1" x14ac:dyDescent="0.3">
      <c r="A1645" s="6" t="s">
        <v>7439</v>
      </c>
      <c r="B1645" s="7" t="s">
        <v>29</v>
      </c>
      <c r="C1645" s="17" t="s">
        <v>7440</v>
      </c>
      <c r="D1645" s="17"/>
      <c r="E1645" s="8">
        <v>17412</v>
      </c>
      <c r="F1645" s="9">
        <v>75</v>
      </c>
      <c r="G1645" s="6" t="s">
        <v>7441</v>
      </c>
      <c r="H1645" s="7" t="s">
        <v>39</v>
      </c>
      <c r="I1645" s="6" t="s">
        <v>47</v>
      </c>
      <c r="J1645" s="7" t="s">
        <v>20</v>
      </c>
      <c r="K1645" s="7" t="s">
        <v>26</v>
      </c>
      <c r="L1645" s="6"/>
      <c r="M1645" s="10">
        <v>5.8200000000000002E-2</v>
      </c>
      <c r="N1645" s="6" t="s">
        <v>7442</v>
      </c>
      <c r="O1645" s="11">
        <v>8000</v>
      </c>
      <c r="P1645" s="11"/>
      <c r="Q1645" s="18">
        <v>1000</v>
      </c>
      <c r="R1645" s="19"/>
    </row>
    <row r="1646" spans="1:18" ht="43.2" hidden="1" x14ac:dyDescent="0.3">
      <c r="A1646" s="6" t="s">
        <v>7443</v>
      </c>
      <c r="B1646" s="7" t="s">
        <v>7444</v>
      </c>
      <c r="C1646" s="17" t="s">
        <v>7445</v>
      </c>
      <c r="D1646" s="17"/>
      <c r="E1646" s="8">
        <v>18063</v>
      </c>
      <c r="F1646" s="9">
        <v>73</v>
      </c>
      <c r="G1646" s="6" t="s">
        <v>7446</v>
      </c>
      <c r="H1646" s="7" t="s">
        <v>39</v>
      </c>
      <c r="I1646" s="6" t="s">
        <v>40</v>
      </c>
      <c r="J1646" s="7" t="s">
        <v>20</v>
      </c>
      <c r="K1646" s="7" t="s">
        <v>26</v>
      </c>
      <c r="L1646" s="6"/>
      <c r="M1646" s="10">
        <v>5.5300000000000002E-2</v>
      </c>
      <c r="N1646" s="6" t="s">
        <v>7447</v>
      </c>
      <c r="O1646" s="11">
        <v>15000</v>
      </c>
      <c r="P1646" s="11"/>
      <c r="Q1646" s="18">
        <v>3000</v>
      </c>
      <c r="R1646" s="19"/>
    </row>
    <row r="1647" spans="1:18" hidden="1" x14ac:dyDescent="0.3">
      <c r="A1647" s="6" t="s">
        <v>7448</v>
      </c>
      <c r="B1647" s="7" t="s">
        <v>616</v>
      </c>
      <c r="C1647" s="17" t="s">
        <v>7449</v>
      </c>
      <c r="D1647" s="17"/>
      <c r="E1647" s="7" t="s">
        <v>3167</v>
      </c>
      <c r="F1647" s="9">
        <v>75</v>
      </c>
      <c r="G1647" s="6" t="s">
        <v>7450</v>
      </c>
      <c r="H1647" s="7" t="s">
        <v>25</v>
      </c>
      <c r="I1647" s="6" t="s">
        <v>19</v>
      </c>
      <c r="J1647" s="7" t="s">
        <v>41</v>
      </c>
      <c r="K1647" s="7" t="s">
        <v>32</v>
      </c>
      <c r="L1647" s="9">
        <v>73</v>
      </c>
      <c r="M1647" s="10">
        <v>5.5300000000000002E-2</v>
      </c>
      <c r="N1647" s="6" t="s">
        <v>7451</v>
      </c>
      <c r="O1647" s="6" t="s">
        <v>19</v>
      </c>
      <c r="P1647" s="6"/>
      <c r="Q1647" s="19" t="s">
        <v>19</v>
      </c>
      <c r="R1647" s="19"/>
    </row>
    <row r="1648" spans="1:18" x14ac:dyDescent="0.3">
      <c r="A1648" s="6" t="s">
        <v>7452</v>
      </c>
      <c r="B1648" s="7" t="s">
        <v>1129</v>
      </c>
      <c r="C1648" s="17" t="s">
        <v>7453</v>
      </c>
      <c r="D1648" s="17"/>
      <c r="E1648" s="8">
        <v>17508</v>
      </c>
      <c r="F1648" s="9">
        <v>75</v>
      </c>
      <c r="G1648" s="6" t="s">
        <v>7454</v>
      </c>
      <c r="H1648" s="7" t="s">
        <v>25</v>
      </c>
      <c r="I1648" s="6"/>
      <c r="J1648" s="7" t="s">
        <v>41</v>
      </c>
      <c r="K1648" s="7" t="s">
        <v>26</v>
      </c>
      <c r="L1648" s="9">
        <v>72</v>
      </c>
      <c r="M1648" s="10">
        <v>5.3999999999999999E-2</v>
      </c>
      <c r="N1648" s="6" t="s">
        <v>7455</v>
      </c>
      <c r="O1648" s="11">
        <v>51708.959999999999</v>
      </c>
      <c r="P1648" s="11"/>
      <c r="Q1648" s="18">
        <v>6463.62</v>
      </c>
      <c r="R1648" s="19"/>
    </row>
    <row r="1649" spans="1:18" ht="28.8" hidden="1" x14ac:dyDescent="0.3">
      <c r="A1649" s="6" t="s">
        <v>7456</v>
      </c>
      <c r="B1649" s="7" t="s">
        <v>3015</v>
      </c>
      <c r="C1649" s="17" t="s">
        <v>7457</v>
      </c>
      <c r="D1649" s="17"/>
      <c r="E1649" s="8">
        <v>17360</v>
      </c>
      <c r="F1649" s="9">
        <v>75</v>
      </c>
      <c r="G1649" s="6" t="s">
        <v>7458</v>
      </c>
      <c r="H1649" s="7" t="s">
        <v>39</v>
      </c>
      <c r="I1649" s="6" t="s">
        <v>2738</v>
      </c>
      <c r="J1649" s="7" t="s">
        <v>20</v>
      </c>
      <c r="K1649" s="7" t="s">
        <v>26</v>
      </c>
      <c r="L1649" s="6"/>
      <c r="M1649" s="10">
        <v>5.8200000000000002E-2</v>
      </c>
      <c r="N1649" s="6" t="s">
        <v>7459</v>
      </c>
      <c r="O1649" s="11">
        <v>800</v>
      </c>
      <c r="P1649" s="11"/>
      <c r="Q1649" s="18">
        <v>100</v>
      </c>
      <c r="R1649" s="19"/>
    </row>
    <row r="1650" spans="1:18" ht="43.2" hidden="1" x14ac:dyDescent="0.3">
      <c r="A1650" s="6" t="s">
        <v>7460</v>
      </c>
      <c r="B1650" s="7" t="s">
        <v>7461</v>
      </c>
      <c r="C1650" s="17" t="s">
        <v>7462</v>
      </c>
      <c r="D1650" s="17"/>
      <c r="E1650" s="8">
        <v>18566</v>
      </c>
      <c r="F1650" s="9">
        <v>72</v>
      </c>
      <c r="G1650" s="6" t="s">
        <v>7463</v>
      </c>
      <c r="H1650" s="7" t="s">
        <v>39</v>
      </c>
      <c r="I1650" s="6" t="s">
        <v>106</v>
      </c>
      <c r="J1650" s="7" t="s">
        <v>20</v>
      </c>
      <c r="K1650" s="7" t="s">
        <v>26</v>
      </c>
      <c r="L1650" s="6"/>
      <c r="M1650" s="10">
        <v>5.3999999999999999E-2</v>
      </c>
      <c r="N1650" s="6" t="s">
        <v>7464</v>
      </c>
      <c r="O1650" s="11">
        <v>32000</v>
      </c>
      <c r="P1650" s="11"/>
      <c r="Q1650" s="18">
        <v>4000</v>
      </c>
      <c r="R1650" s="19"/>
    </row>
    <row r="1651" spans="1:18" x14ac:dyDescent="0.3">
      <c r="A1651" s="6" t="s">
        <v>7465</v>
      </c>
      <c r="B1651" s="7" t="s">
        <v>640</v>
      </c>
      <c r="C1651" s="17" t="s">
        <v>6918</v>
      </c>
      <c r="D1651" s="17"/>
      <c r="E1651" s="8">
        <v>17054</v>
      </c>
      <c r="F1651" s="9">
        <v>76</v>
      </c>
      <c r="G1651" s="6" t="s">
        <v>7466</v>
      </c>
      <c r="H1651" s="7" t="s">
        <v>25</v>
      </c>
      <c r="I1651" s="6"/>
      <c r="J1651" s="7" t="s">
        <v>41</v>
      </c>
      <c r="K1651" s="7" t="s">
        <v>26</v>
      </c>
      <c r="L1651" s="9">
        <v>73</v>
      </c>
      <c r="M1651" s="10">
        <v>5.5300000000000002E-2</v>
      </c>
      <c r="N1651" s="6" t="s">
        <v>7467</v>
      </c>
      <c r="O1651" s="11">
        <v>14000</v>
      </c>
      <c r="P1651" s="11"/>
      <c r="Q1651" s="18">
        <v>14000</v>
      </c>
      <c r="R1651" s="19"/>
    </row>
    <row r="1652" spans="1:18" ht="28.8" hidden="1" x14ac:dyDescent="0.3">
      <c r="A1652" s="6" t="s">
        <v>7468</v>
      </c>
      <c r="B1652" s="7" t="s">
        <v>7469</v>
      </c>
      <c r="C1652" s="17" t="s">
        <v>526</v>
      </c>
      <c r="D1652" s="17"/>
      <c r="E1652" s="8">
        <v>17286</v>
      </c>
      <c r="F1652" s="9">
        <v>75</v>
      </c>
      <c r="G1652" s="6" t="s">
        <v>7470</v>
      </c>
      <c r="H1652" s="7" t="s">
        <v>39</v>
      </c>
      <c r="I1652" s="6" t="s">
        <v>321</v>
      </c>
      <c r="J1652" s="7" t="s">
        <v>20</v>
      </c>
      <c r="K1652" s="7" t="s">
        <v>26</v>
      </c>
      <c r="L1652" s="6"/>
      <c r="M1652" s="10">
        <v>5.8200000000000002E-2</v>
      </c>
      <c r="N1652" s="6" t="s">
        <v>7471</v>
      </c>
      <c r="O1652" s="11">
        <v>11500</v>
      </c>
      <c r="P1652" s="11"/>
      <c r="Q1652" s="18">
        <v>500</v>
      </c>
      <c r="R1652" s="19"/>
    </row>
    <row r="1653" spans="1:18" hidden="1" x14ac:dyDescent="0.3">
      <c r="A1653" s="6" t="s">
        <v>7472</v>
      </c>
      <c r="B1653" s="7" t="s">
        <v>7473</v>
      </c>
      <c r="C1653" s="17" t="s">
        <v>7474</v>
      </c>
      <c r="D1653" s="17"/>
      <c r="E1653" s="7" t="s">
        <v>7475</v>
      </c>
      <c r="F1653" s="9">
        <v>72</v>
      </c>
      <c r="G1653" s="6" t="s">
        <v>7476</v>
      </c>
      <c r="H1653" s="7" t="s">
        <v>19</v>
      </c>
      <c r="I1653" s="6" t="s">
        <v>19</v>
      </c>
      <c r="J1653" s="7" t="s">
        <v>20</v>
      </c>
      <c r="K1653" s="7"/>
      <c r="L1653" s="6"/>
      <c r="M1653" s="10">
        <v>5.3999999999999999E-2</v>
      </c>
      <c r="N1653" s="6" t="s">
        <v>7477</v>
      </c>
      <c r="O1653" s="6" t="s">
        <v>19</v>
      </c>
      <c r="P1653" s="6"/>
      <c r="Q1653" s="19" t="s">
        <v>19</v>
      </c>
      <c r="R1653" s="19"/>
    </row>
    <row r="1654" spans="1:18" x14ac:dyDescent="0.3">
      <c r="A1654" s="6" t="s">
        <v>7478</v>
      </c>
      <c r="B1654" s="7" t="s">
        <v>3362</v>
      </c>
      <c r="C1654" s="17" t="s">
        <v>7479</v>
      </c>
      <c r="D1654" s="17"/>
      <c r="E1654" s="8">
        <v>14105</v>
      </c>
      <c r="F1654" s="9">
        <v>84</v>
      </c>
      <c r="G1654" s="6" t="s">
        <v>7480</v>
      </c>
      <c r="H1654" s="7" t="s">
        <v>25</v>
      </c>
      <c r="I1654" s="6"/>
      <c r="J1654" s="7" t="s">
        <v>41</v>
      </c>
      <c r="K1654" s="7" t="s">
        <v>26</v>
      </c>
      <c r="L1654" s="9">
        <v>81</v>
      </c>
      <c r="M1654" s="10">
        <v>7.0800000000000002E-2</v>
      </c>
      <c r="N1654" s="6" t="s">
        <v>7481</v>
      </c>
      <c r="O1654" s="11">
        <v>7921.6</v>
      </c>
      <c r="P1654" s="11"/>
      <c r="Q1654" s="18">
        <v>990.2</v>
      </c>
      <c r="R1654" s="19"/>
    </row>
    <row r="1655" spans="1:18" x14ac:dyDescent="0.3">
      <c r="A1655" s="6" t="s">
        <v>7482</v>
      </c>
      <c r="B1655" s="7" t="s">
        <v>1782</v>
      </c>
      <c r="C1655" s="17" t="s">
        <v>7483</v>
      </c>
      <c r="D1655" s="17"/>
      <c r="E1655" s="8">
        <v>17011</v>
      </c>
      <c r="F1655" s="9">
        <v>76</v>
      </c>
      <c r="G1655" s="6" t="s">
        <v>7484</v>
      </c>
      <c r="H1655" s="7" t="s">
        <v>25</v>
      </c>
      <c r="I1655" s="6"/>
      <c r="J1655" s="7" t="s">
        <v>41</v>
      </c>
      <c r="K1655" s="7" t="s">
        <v>26</v>
      </c>
      <c r="L1655" s="9">
        <v>73</v>
      </c>
      <c r="M1655" s="10">
        <v>5.5300000000000002E-2</v>
      </c>
      <c r="N1655" s="6" t="s">
        <v>7485</v>
      </c>
      <c r="O1655" s="11">
        <v>23141.119999999999</v>
      </c>
      <c r="P1655" s="11"/>
      <c r="Q1655" s="18">
        <v>2892.64</v>
      </c>
      <c r="R1655" s="19"/>
    </row>
    <row r="1656" spans="1:18" ht="28.8" hidden="1" x14ac:dyDescent="0.3">
      <c r="A1656" s="6" t="s">
        <v>7486</v>
      </c>
      <c r="B1656" s="7" t="s">
        <v>598</v>
      </c>
      <c r="C1656" s="17" t="s">
        <v>7487</v>
      </c>
      <c r="D1656" s="17"/>
      <c r="E1656" s="8">
        <v>16043</v>
      </c>
      <c r="F1656" s="9">
        <v>79</v>
      </c>
      <c r="G1656" s="6" t="s">
        <v>7488</v>
      </c>
      <c r="H1656" s="7" t="s">
        <v>39</v>
      </c>
      <c r="I1656" s="6" t="s">
        <v>7489</v>
      </c>
      <c r="J1656" s="7" t="s">
        <v>20</v>
      </c>
      <c r="K1656" s="7" t="s">
        <v>26</v>
      </c>
      <c r="L1656" s="6"/>
      <c r="M1656" s="10">
        <v>6.5799999999999997E-2</v>
      </c>
      <c r="N1656" s="6" t="s">
        <v>7490</v>
      </c>
      <c r="O1656" s="11">
        <v>3562.8</v>
      </c>
      <c r="P1656" s="11"/>
      <c r="Q1656" s="18">
        <v>445.35</v>
      </c>
      <c r="R1656" s="19"/>
    </row>
    <row r="1657" spans="1:18" ht="28.8" hidden="1" x14ac:dyDescent="0.3">
      <c r="A1657" s="6" t="s">
        <v>7491</v>
      </c>
      <c r="B1657" s="7" t="s">
        <v>678</v>
      </c>
      <c r="C1657" s="17" t="s">
        <v>7492</v>
      </c>
      <c r="D1657" s="17"/>
      <c r="E1657" s="8">
        <v>17992</v>
      </c>
      <c r="F1657" s="9">
        <v>73</v>
      </c>
      <c r="G1657" s="6" t="s">
        <v>7493</v>
      </c>
      <c r="H1657" s="7" t="s">
        <v>39</v>
      </c>
      <c r="I1657" s="6" t="s">
        <v>1562</v>
      </c>
      <c r="J1657" s="7" t="s">
        <v>20</v>
      </c>
      <c r="K1657" s="7" t="s">
        <v>26</v>
      </c>
      <c r="L1657" s="6"/>
      <c r="M1657" s="10">
        <v>5.5300000000000002E-2</v>
      </c>
      <c r="N1657" s="6" t="s">
        <v>7494</v>
      </c>
      <c r="O1657" s="11">
        <v>5200</v>
      </c>
      <c r="P1657" s="11"/>
      <c r="Q1657" s="18">
        <v>650</v>
      </c>
      <c r="R1657" s="19"/>
    </row>
    <row r="1658" spans="1:18" ht="43.2" hidden="1" x14ac:dyDescent="0.3">
      <c r="A1658" s="6" t="s">
        <v>7495</v>
      </c>
      <c r="B1658" s="7" t="s">
        <v>4346</v>
      </c>
      <c r="C1658" s="17" t="s">
        <v>7496</v>
      </c>
      <c r="D1658" s="17"/>
      <c r="E1658" s="8">
        <v>17676</v>
      </c>
      <c r="F1658" s="9">
        <v>74</v>
      </c>
      <c r="G1658" s="6" t="s">
        <v>7497</v>
      </c>
      <c r="H1658" s="7" t="s">
        <v>39</v>
      </c>
      <c r="I1658" s="6" t="s">
        <v>2453</v>
      </c>
      <c r="J1658" s="7" t="s">
        <v>20</v>
      </c>
      <c r="K1658" s="7" t="s">
        <v>26</v>
      </c>
      <c r="L1658" s="6"/>
      <c r="M1658" s="10">
        <v>5.67E-2</v>
      </c>
      <c r="N1658" s="6" t="s">
        <v>7498</v>
      </c>
      <c r="O1658" s="11">
        <v>23200</v>
      </c>
      <c r="P1658" s="11"/>
      <c r="Q1658" s="18">
        <v>2900</v>
      </c>
      <c r="R1658" s="19"/>
    </row>
    <row r="1659" spans="1:18" x14ac:dyDescent="0.3">
      <c r="A1659" s="6" t="s">
        <v>7499</v>
      </c>
      <c r="B1659" s="7" t="s">
        <v>76</v>
      </c>
      <c r="C1659" s="17" t="s">
        <v>7500</v>
      </c>
      <c r="D1659" s="17"/>
      <c r="E1659" s="8">
        <v>17593</v>
      </c>
      <c r="F1659" s="9">
        <v>74</v>
      </c>
      <c r="G1659" s="6" t="s">
        <v>7501</v>
      </c>
      <c r="H1659" s="7" t="s">
        <v>25</v>
      </c>
      <c r="I1659" s="6"/>
      <c r="J1659" s="7" t="s">
        <v>41</v>
      </c>
      <c r="K1659" s="7" t="s">
        <v>32</v>
      </c>
      <c r="L1659" s="9">
        <v>71</v>
      </c>
      <c r="M1659" s="10">
        <v>5.28E-2</v>
      </c>
      <c r="N1659" s="6" t="s">
        <v>7502</v>
      </c>
      <c r="O1659" s="11">
        <v>7552.47</v>
      </c>
      <c r="P1659" s="11"/>
      <c r="Q1659" s="18">
        <v>7552.47</v>
      </c>
      <c r="R1659" s="19"/>
    </row>
    <row r="1660" spans="1:18" hidden="1" x14ac:dyDescent="0.3">
      <c r="A1660" s="6" t="s">
        <v>7503</v>
      </c>
      <c r="B1660" s="7" t="s">
        <v>7504</v>
      </c>
      <c r="C1660" s="17" t="s">
        <v>7505</v>
      </c>
      <c r="D1660" s="17"/>
      <c r="E1660" s="7" t="s">
        <v>7506</v>
      </c>
      <c r="F1660" s="9">
        <v>81</v>
      </c>
      <c r="G1660" s="6" t="s">
        <v>7507</v>
      </c>
      <c r="H1660" s="7" t="s">
        <v>25</v>
      </c>
      <c r="I1660" s="6" t="s">
        <v>19</v>
      </c>
      <c r="J1660" s="7" t="s">
        <v>41</v>
      </c>
      <c r="K1660" s="7" t="s">
        <v>32</v>
      </c>
      <c r="L1660" s="9">
        <v>77</v>
      </c>
      <c r="M1660" s="10">
        <v>6.1699999999999998E-2</v>
      </c>
      <c r="N1660" s="6" t="s">
        <v>7508</v>
      </c>
      <c r="O1660" s="6" t="s">
        <v>19</v>
      </c>
      <c r="P1660" s="6"/>
      <c r="Q1660" s="19" t="s">
        <v>19</v>
      </c>
      <c r="R1660" s="19"/>
    </row>
    <row r="1661" spans="1:18" x14ac:dyDescent="0.3">
      <c r="A1661" s="6" t="s">
        <v>7509</v>
      </c>
      <c r="B1661" s="7" t="s">
        <v>7510</v>
      </c>
      <c r="C1661" s="17" t="s">
        <v>7511</v>
      </c>
      <c r="D1661" s="17"/>
      <c r="E1661" s="8">
        <v>16999</v>
      </c>
      <c r="F1661" s="9">
        <v>76</v>
      </c>
      <c r="G1661" s="6" t="s">
        <v>7512</v>
      </c>
      <c r="H1661" s="7" t="s">
        <v>25</v>
      </c>
      <c r="I1661" s="6"/>
      <c r="J1661" s="7" t="s">
        <v>41</v>
      </c>
      <c r="K1661" s="7" t="s">
        <v>26</v>
      </c>
      <c r="L1661" s="9">
        <v>72</v>
      </c>
      <c r="M1661" s="10">
        <v>5.3999999999999999E-2</v>
      </c>
      <c r="N1661" s="6" t="s">
        <v>7513</v>
      </c>
      <c r="O1661" s="11">
        <v>9922.8799999999992</v>
      </c>
      <c r="P1661" s="11"/>
      <c r="Q1661" s="18">
        <v>4961.4399999999996</v>
      </c>
      <c r="R1661" s="19"/>
    </row>
    <row r="1662" spans="1:18" ht="43.2" x14ac:dyDescent="0.3">
      <c r="A1662" s="6" t="s">
        <v>7514</v>
      </c>
      <c r="B1662" s="7" t="s">
        <v>5391</v>
      </c>
      <c r="C1662" s="17" t="s">
        <v>7515</v>
      </c>
      <c r="D1662" s="17"/>
      <c r="E1662" s="8">
        <v>18402</v>
      </c>
      <c r="F1662" s="9">
        <v>72</v>
      </c>
      <c r="G1662" s="6" t="s">
        <v>7516</v>
      </c>
      <c r="H1662" s="7" t="s">
        <v>39</v>
      </c>
      <c r="I1662" s="6" t="s">
        <v>122</v>
      </c>
      <c r="J1662" s="7" t="s">
        <v>41</v>
      </c>
      <c r="K1662" s="7" t="s">
        <v>26</v>
      </c>
      <c r="L1662" s="9">
        <v>67</v>
      </c>
      <c r="M1662" s="10">
        <v>4.3499999999999997E-2</v>
      </c>
      <c r="N1662" s="6" t="s">
        <v>7517</v>
      </c>
      <c r="O1662" s="11">
        <v>17800</v>
      </c>
      <c r="P1662" s="11"/>
      <c r="Q1662" s="18">
        <v>1145.0899999999999</v>
      </c>
      <c r="R1662" s="19"/>
    </row>
    <row r="1663" spans="1:18" ht="43.2" x14ac:dyDescent="0.3">
      <c r="A1663" s="6" t="s">
        <v>7518</v>
      </c>
      <c r="B1663" s="7" t="s">
        <v>503</v>
      </c>
      <c r="C1663" s="17" t="s">
        <v>7519</v>
      </c>
      <c r="D1663" s="17"/>
      <c r="E1663" s="8">
        <v>18390</v>
      </c>
      <c r="F1663" s="9">
        <v>72</v>
      </c>
      <c r="G1663" s="6" t="s">
        <v>7520</v>
      </c>
      <c r="H1663" s="7" t="s">
        <v>39</v>
      </c>
      <c r="I1663" s="6" t="s">
        <v>182</v>
      </c>
      <c r="J1663" s="7" t="s">
        <v>41</v>
      </c>
      <c r="K1663" s="7" t="s">
        <v>26</v>
      </c>
      <c r="L1663" s="9">
        <v>70</v>
      </c>
      <c r="M1663" s="10">
        <v>0.05</v>
      </c>
      <c r="N1663" s="6" t="s">
        <v>7521</v>
      </c>
      <c r="O1663" s="11">
        <v>36000</v>
      </c>
      <c r="P1663" s="11"/>
      <c r="Q1663" s="18">
        <v>4500</v>
      </c>
      <c r="R1663" s="19"/>
    </row>
    <row r="1664" spans="1:18" ht="43.2" hidden="1" x14ac:dyDescent="0.3">
      <c r="A1664" s="6" t="s">
        <v>7522</v>
      </c>
      <c r="B1664" s="7" t="s">
        <v>7523</v>
      </c>
      <c r="C1664" s="17" t="s">
        <v>7524</v>
      </c>
      <c r="D1664" s="17"/>
      <c r="E1664" s="8">
        <v>17980</v>
      </c>
      <c r="F1664" s="9">
        <v>73</v>
      </c>
      <c r="G1664" s="6" t="s">
        <v>7525</v>
      </c>
      <c r="H1664" s="7" t="s">
        <v>39</v>
      </c>
      <c r="I1664" s="6" t="s">
        <v>7526</v>
      </c>
      <c r="J1664" s="7" t="s">
        <v>20</v>
      </c>
      <c r="K1664" s="7" t="s">
        <v>26</v>
      </c>
      <c r="L1664" s="6"/>
      <c r="M1664" s="10">
        <v>5.5300000000000002E-2</v>
      </c>
      <c r="N1664" s="6" t="s">
        <v>7527</v>
      </c>
      <c r="O1664" s="11">
        <v>16640</v>
      </c>
      <c r="P1664" s="11"/>
      <c r="Q1664" s="18">
        <v>2080</v>
      </c>
      <c r="R1664" s="19"/>
    </row>
    <row r="1665" spans="1:18" ht="28.8" hidden="1" x14ac:dyDescent="0.3">
      <c r="A1665" s="6" t="s">
        <v>7528</v>
      </c>
      <c r="B1665" s="7" t="s">
        <v>7529</v>
      </c>
      <c r="C1665" s="17" t="s">
        <v>7530</v>
      </c>
      <c r="D1665" s="17"/>
      <c r="E1665" s="8">
        <v>16556</v>
      </c>
      <c r="F1665" s="9">
        <v>77</v>
      </c>
      <c r="G1665" s="6" t="s">
        <v>7531</v>
      </c>
      <c r="H1665" s="7" t="s">
        <v>39</v>
      </c>
      <c r="I1665" s="6" t="s">
        <v>67</v>
      </c>
      <c r="J1665" s="7" t="s">
        <v>20</v>
      </c>
      <c r="K1665" s="7" t="s">
        <v>26</v>
      </c>
      <c r="L1665" s="6"/>
      <c r="M1665" s="10">
        <v>6.1699999999999998E-2</v>
      </c>
      <c r="N1665" s="6" t="s">
        <v>7532</v>
      </c>
      <c r="O1665" s="11">
        <v>6400</v>
      </c>
      <c r="P1665" s="11"/>
      <c r="Q1665" s="18">
        <v>800</v>
      </c>
      <c r="R1665" s="19"/>
    </row>
    <row r="1666" spans="1:18" hidden="1" x14ac:dyDescent="0.3">
      <c r="A1666" s="6" t="s">
        <v>7533</v>
      </c>
      <c r="B1666" s="7" t="s">
        <v>338</v>
      </c>
      <c r="C1666" s="17" t="s">
        <v>7534</v>
      </c>
      <c r="D1666" s="17"/>
      <c r="E1666" s="8">
        <v>16456</v>
      </c>
      <c r="F1666" s="9">
        <v>77</v>
      </c>
      <c r="G1666" s="6" t="s">
        <v>7535</v>
      </c>
      <c r="H1666" s="7" t="s">
        <v>25</v>
      </c>
      <c r="I1666" s="6"/>
      <c r="J1666" s="7" t="s">
        <v>20</v>
      </c>
      <c r="K1666" s="7" t="s">
        <v>26</v>
      </c>
      <c r="L1666" s="6"/>
      <c r="M1666" s="10">
        <v>6.1699999999999998E-2</v>
      </c>
      <c r="N1666" s="6" t="s">
        <v>7536</v>
      </c>
      <c r="O1666" s="11">
        <v>17149.919999999998</v>
      </c>
      <c r="P1666" s="11"/>
      <c r="Q1666" s="18">
        <v>804.1</v>
      </c>
      <c r="R1666" s="19"/>
    </row>
    <row r="1667" spans="1:18" hidden="1" x14ac:dyDescent="0.3">
      <c r="A1667" s="6" t="s">
        <v>7537</v>
      </c>
      <c r="B1667" s="7" t="s">
        <v>4374</v>
      </c>
      <c r="C1667" s="17" t="s">
        <v>7538</v>
      </c>
      <c r="D1667" s="17"/>
      <c r="E1667" s="8">
        <v>18454</v>
      </c>
      <c r="F1667" s="9">
        <v>72</v>
      </c>
      <c r="G1667" s="6" t="s">
        <v>7539</v>
      </c>
      <c r="H1667" s="7" t="s">
        <v>25</v>
      </c>
      <c r="I1667" s="6"/>
      <c r="J1667" s="7" t="s">
        <v>20</v>
      </c>
      <c r="K1667" s="7" t="s">
        <v>26</v>
      </c>
      <c r="L1667" s="6"/>
      <c r="M1667" s="10">
        <v>5.3999999999999999E-2</v>
      </c>
      <c r="N1667" s="6" t="s">
        <v>7540</v>
      </c>
      <c r="O1667" s="11">
        <v>12983.36</v>
      </c>
      <c r="P1667" s="11"/>
      <c r="Q1667" s="18">
        <v>1622.92</v>
      </c>
      <c r="R1667" s="19"/>
    </row>
    <row r="1668" spans="1:18" ht="43.2" hidden="1" x14ac:dyDescent="0.3">
      <c r="A1668" s="6" t="s">
        <v>7541</v>
      </c>
      <c r="B1668" s="7" t="s">
        <v>29</v>
      </c>
      <c r="C1668" s="17" t="s">
        <v>7542</v>
      </c>
      <c r="D1668" s="17"/>
      <c r="E1668" s="8">
        <v>18582</v>
      </c>
      <c r="F1668" s="9">
        <v>72</v>
      </c>
      <c r="G1668" s="6" t="s">
        <v>7543</v>
      </c>
      <c r="H1668" s="7" t="s">
        <v>39</v>
      </c>
      <c r="I1668" s="6" t="s">
        <v>448</v>
      </c>
      <c r="J1668" s="7" t="s">
        <v>20</v>
      </c>
      <c r="K1668" s="7" t="s">
        <v>26</v>
      </c>
      <c r="L1668" s="6"/>
      <c r="M1668" s="10">
        <v>5.3999999999999999E-2</v>
      </c>
      <c r="N1668" s="6" t="s">
        <v>7544</v>
      </c>
      <c r="O1668" s="11">
        <v>26400</v>
      </c>
      <c r="P1668" s="11"/>
      <c r="Q1668" s="18">
        <v>3300</v>
      </c>
      <c r="R1668" s="19"/>
    </row>
    <row r="1669" spans="1:18" ht="43.2" hidden="1" x14ac:dyDescent="0.3">
      <c r="A1669" s="6" t="s">
        <v>7545</v>
      </c>
      <c r="B1669" s="7" t="s">
        <v>247</v>
      </c>
      <c r="C1669" s="17" t="s">
        <v>7546</v>
      </c>
      <c r="D1669" s="17"/>
      <c r="E1669" s="7" t="s">
        <v>2275</v>
      </c>
      <c r="F1669" s="9">
        <v>72</v>
      </c>
      <c r="G1669" s="6" t="s">
        <v>7547</v>
      </c>
      <c r="H1669" s="7" t="s">
        <v>39</v>
      </c>
      <c r="I1669" s="6" t="s">
        <v>1350</v>
      </c>
      <c r="J1669" s="7" t="s">
        <v>41</v>
      </c>
      <c r="K1669" s="7" t="s">
        <v>26</v>
      </c>
      <c r="L1669" s="9">
        <v>63</v>
      </c>
      <c r="M1669" s="10">
        <v>3.6999999999999998E-2</v>
      </c>
      <c r="N1669" s="6" t="s">
        <v>7548</v>
      </c>
      <c r="O1669" s="6" t="s">
        <v>19</v>
      </c>
      <c r="P1669" s="6"/>
      <c r="Q1669" s="19" t="s">
        <v>19</v>
      </c>
      <c r="R1669" s="19"/>
    </row>
    <row r="1670" spans="1:18" ht="43.2" x14ac:dyDescent="0.3">
      <c r="A1670" s="6" t="s">
        <v>7549</v>
      </c>
      <c r="B1670" s="7" t="s">
        <v>7550</v>
      </c>
      <c r="C1670" s="17" t="s">
        <v>7551</v>
      </c>
      <c r="D1670" s="17"/>
      <c r="E1670" s="8">
        <v>16546</v>
      </c>
      <c r="F1670" s="9">
        <v>77</v>
      </c>
      <c r="G1670" s="6" t="s">
        <v>7552</v>
      </c>
      <c r="H1670" s="7" t="s">
        <v>39</v>
      </c>
      <c r="I1670" s="6" t="s">
        <v>1026</v>
      </c>
      <c r="J1670" s="7" t="s">
        <v>41</v>
      </c>
      <c r="K1670" s="7" t="s">
        <v>26</v>
      </c>
      <c r="L1670" s="9">
        <v>74</v>
      </c>
      <c r="M1670" s="10">
        <v>5.67E-2</v>
      </c>
      <c r="N1670" s="6" t="s">
        <v>7553</v>
      </c>
      <c r="O1670" s="11">
        <v>8800</v>
      </c>
      <c r="P1670" s="11"/>
      <c r="Q1670" s="18">
        <v>1100</v>
      </c>
      <c r="R1670" s="19"/>
    </row>
    <row r="1671" spans="1:18" hidden="1" x14ac:dyDescent="0.3">
      <c r="A1671" s="6" t="s">
        <v>7554</v>
      </c>
      <c r="B1671" s="7" t="s">
        <v>7555</v>
      </c>
      <c r="C1671" s="17" t="s">
        <v>7556</v>
      </c>
      <c r="D1671" s="17"/>
      <c r="E1671" s="7" t="s">
        <v>7557</v>
      </c>
      <c r="F1671" s="9">
        <v>74</v>
      </c>
      <c r="G1671" s="6" t="s">
        <v>7558</v>
      </c>
      <c r="H1671" s="7" t="s">
        <v>25</v>
      </c>
      <c r="I1671" s="6" t="s">
        <v>19</v>
      </c>
      <c r="J1671" s="7" t="s">
        <v>20</v>
      </c>
      <c r="K1671" s="7" t="s">
        <v>32</v>
      </c>
      <c r="L1671" s="6"/>
      <c r="M1671" s="10">
        <v>5.67E-2</v>
      </c>
      <c r="N1671" s="6" t="s">
        <v>7559</v>
      </c>
      <c r="O1671" s="6" t="s">
        <v>19</v>
      </c>
      <c r="P1671" s="6"/>
      <c r="Q1671" s="19" t="s">
        <v>19</v>
      </c>
      <c r="R1671" s="19"/>
    </row>
    <row r="1672" spans="1:18" hidden="1" x14ac:dyDescent="0.3">
      <c r="A1672" s="6" t="s">
        <v>7560</v>
      </c>
      <c r="B1672" s="7" t="s">
        <v>135</v>
      </c>
      <c r="C1672" s="17" t="s">
        <v>7561</v>
      </c>
      <c r="D1672" s="17"/>
      <c r="E1672" s="8">
        <v>16425</v>
      </c>
      <c r="F1672" s="9">
        <v>78</v>
      </c>
      <c r="G1672" s="6" t="s">
        <v>7562</v>
      </c>
      <c r="H1672" s="7" t="s">
        <v>25</v>
      </c>
      <c r="I1672" s="6"/>
      <c r="J1672" s="7" t="s">
        <v>20</v>
      </c>
      <c r="K1672" s="7" t="s">
        <v>26</v>
      </c>
      <c r="L1672" s="6"/>
      <c r="M1672" s="10">
        <v>6.3600000000000004E-2</v>
      </c>
      <c r="N1672" s="6" t="s">
        <v>7563</v>
      </c>
      <c r="O1672" s="11">
        <v>10310.799999999999</v>
      </c>
      <c r="P1672" s="11"/>
      <c r="Q1672" s="18">
        <v>1288.8499999999999</v>
      </c>
      <c r="R1672" s="19"/>
    </row>
    <row r="1673" spans="1:18" ht="43.2" hidden="1" x14ac:dyDescent="0.3">
      <c r="A1673" s="6" t="s">
        <v>7564</v>
      </c>
      <c r="B1673" s="7" t="s">
        <v>3362</v>
      </c>
      <c r="C1673" s="17" t="s">
        <v>3475</v>
      </c>
      <c r="D1673" s="17"/>
      <c r="E1673" s="8">
        <v>18358</v>
      </c>
      <c r="F1673" s="9">
        <v>72</v>
      </c>
      <c r="G1673" s="6" t="s">
        <v>7565</v>
      </c>
      <c r="H1673" s="7" t="s">
        <v>39</v>
      </c>
      <c r="I1673" s="6" t="s">
        <v>1105</v>
      </c>
      <c r="J1673" s="7" t="s">
        <v>20</v>
      </c>
      <c r="K1673" s="7" t="s">
        <v>26</v>
      </c>
      <c r="L1673" s="6"/>
      <c r="M1673" s="10">
        <v>5.3999999999999999E-2</v>
      </c>
      <c r="N1673" s="6" t="s">
        <v>7566</v>
      </c>
      <c r="O1673" s="11">
        <v>10400</v>
      </c>
      <c r="P1673" s="11"/>
      <c r="Q1673" s="18">
        <v>1300</v>
      </c>
      <c r="R1673" s="19"/>
    </row>
    <row r="1674" spans="1:18" ht="28.8" hidden="1" x14ac:dyDescent="0.3">
      <c r="A1674" s="6" t="s">
        <v>7567</v>
      </c>
      <c r="B1674" s="7" t="s">
        <v>2565</v>
      </c>
      <c r="C1674" s="17" t="s">
        <v>7568</v>
      </c>
      <c r="D1674" s="17"/>
      <c r="E1674" s="8">
        <v>18377</v>
      </c>
      <c r="F1674" s="9">
        <v>72</v>
      </c>
      <c r="G1674" s="6" t="s">
        <v>7569</v>
      </c>
      <c r="H1674" s="7" t="s">
        <v>39</v>
      </c>
      <c r="I1674" s="6" t="s">
        <v>321</v>
      </c>
      <c r="J1674" s="7" t="s">
        <v>20</v>
      </c>
      <c r="K1674" s="7" t="s">
        <v>26</v>
      </c>
      <c r="L1674" s="6"/>
      <c r="M1674" s="10">
        <v>5.3999999999999999E-2</v>
      </c>
      <c r="N1674" s="6" t="s">
        <v>7570</v>
      </c>
      <c r="O1674" s="11">
        <v>17000</v>
      </c>
      <c r="P1674" s="11"/>
      <c r="Q1674" s="18">
        <v>500</v>
      </c>
      <c r="R1674" s="19"/>
    </row>
    <row r="1675" spans="1:18" x14ac:dyDescent="0.3">
      <c r="A1675" s="6" t="s">
        <v>7571</v>
      </c>
      <c r="B1675" s="7" t="s">
        <v>640</v>
      </c>
      <c r="C1675" s="17" t="s">
        <v>7023</v>
      </c>
      <c r="D1675" s="17"/>
      <c r="E1675" s="8">
        <v>17614</v>
      </c>
      <c r="F1675" s="9">
        <v>74</v>
      </c>
      <c r="G1675" s="6" t="s">
        <v>7572</v>
      </c>
      <c r="H1675" s="7" t="s">
        <v>25</v>
      </c>
      <c r="I1675" s="6"/>
      <c r="J1675" s="7" t="s">
        <v>41</v>
      </c>
      <c r="K1675" s="7" t="s">
        <v>32</v>
      </c>
      <c r="L1675" s="9">
        <v>65</v>
      </c>
      <c r="M1675" s="10">
        <v>0.04</v>
      </c>
      <c r="N1675" s="6" t="s">
        <v>7573</v>
      </c>
      <c r="O1675" s="11">
        <v>85371.48</v>
      </c>
      <c r="P1675" s="11"/>
      <c r="Q1675" s="18">
        <v>85371.48</v>
      </c>
      <c r="R1675" s="19"/>
    </row>
    <row r="1676" spans="1:18" ht="43.2" hidden="1" x14ac:dyDescent="0.3">
      <c r="A1676" s="6" t="s">
        <v>7574</v>
      </c>
      <c r="B1676" s="7" t="s">
        <v>3362</v>
      </c>
      <c r="C1676" s="17" t="s">
        <v>7575</v>
      </c>
      <c r="D1676" s="17"/>
      <c r="E1676" s="8">
        <v>17700</v>
      </c>
      <c r="F1676" s="9">
        <v>74</v>
      </c>
      <c r="G1676" s="6" t="s">
        <v>7576</v>
      </c>
      <c r="H1676" s="7" t="s">
        <v>39</v>
      </c>
      <c r="I1676" s="6" t="s">
        <v>2453</v>
      </c>
      <c r="J1676" s="7" t="s">
        <v>20</v>
      </c>
      <c r="K1676" s="7" t="s">
        <v>26</v>
      </c>
      <c r="L1676" s="6"/>
      <c r="M1676" s="10">
        <v>5.67E-2</v>
      </c>
      <c r="N1676" s="6" t="s">
        <v>7577</v>
      </c>
      <c r="O1676" s="11">
        <v>23200</v>
      </c>
      <c r="P1676" s="11"/>
      <c r="Q1676" s="18">
        <v>2900</v>
      </c>
      <c r="R1676" s="19"/>
    </row>
    <row r="1677" spans="1:18" ht="43.2" hidden="1" x14ac:dyDescent="0.3">
      <c r="A1677" s="6" t="s">
        <v>7578</v>
      </c>
      <c r="B1677" s="7" t="s">
        <v>406</v>
      </c>
      <c r="C1677" s="17" t="s">
        <v>7579</v>
      </c>
      <c r="D1677" s="17"/>
      <c r="E1677" s="8">
        <v>15740</v>
      </c>
      <c r="F1677" s="9">
        <v>79</v>
      </c>
      <c r="G1677" s="6" t="s">
        <v>7580</v>
      </c>
      <c r="H1677" s="7" t="s">
        <v>39</v>
      </c>
      <c r="I1677" s="6" t="s">
        <v>7581</v>
      </c>
      <c r="J1677" s="7" t="s">
        <v>20</v>
      </c>
      <c r="K1677" s="7" t="s">
        <v>26</v>
      </c>
      <c r="L1677" s="6"/>
      <c r="M1677" s="10">
        <v>6.5799999999999997E-2</v>
      </c>
      <c r="N1677" s="6" t="s">
        <v>7582</v>
      </c>
      <c r="O1677" s="11">
        <v>11821.84</v>
      </c>
      <c r="P1677" s="11"/>
      <c r="Q1677" s="18">
        <v>1477.73</v>
      </c>
      <c r="R1677" s="19"/>
    </row>
    <row r="1678" spans="1:18" ht="43.2" hidden="1" x14ac:dyDescent="0.3">
      <c r="A1678" s="6" t="s">
        <v>7583</v>
      </c>
      <c r="B1678" s="7" t="s">
        <v>120</v>
      </c>
      <c r="C1678" s="17" t="s">
        <v>7584</v>
      </c>
      <c r="D1678" s="17"/>
      <c r="E1678" s="8">
        <v>18360</v>
      </c>
      <c r="F1678" s="9">
        <v>72</v>
      </c>
      <c r="G1678" s="6" t="s">
        <v>7585</v>
      </c>
      <c r="H1678" s="7" t="s">
        <v>39</v>
      </c>
      <c r="I1678" s="6" t="s">
        <v>47</v>
      </c>
      <c r="J1678" s="7" t="s">
        <v>20</v>
      </c>
      <c r="K1678" s="7" t="s">
        <v>26</v>
      </c>
      <c r="L1678" s="6"/>
      <c r="M1678" s="10">
        <v>5.3999999999999999E-2</v>
      </c>
      <c r="N1678" s="6" t="s">
        <v>7586</v>
      </c>
      <c r="O1678" s="11">
        <v>7000</v>
      </c>
      <c r="P1678" s="11"/>
      <c r="Q1678" s="18">
        <v>1000</v>
      </c>
      <c r="R1678" s="19"/>
    </row>
    <row r="1679" spans="1:18" ht="28.8" hidden="1" x14ac:dyDescent="0.3">
      <c r="A1679" s="6" t="s">
        <v>7587</v>
      </c>
      <c r="B1679" s="7" t="s">
        <v>292</v>
      </c>
      <c r="C1679" s="17" t="s">
        <v>7588</v>
      </c>
      <c r="D1679" s="17"/>
      <c r="E1679" s="8">
        <v>18132</v>
      </c>
      <c r="F1679" s="9">
        <v>73</v>
      </c>
      <c r="G1679" s="6" t="s">
        <v>7589</v>
      </c>
      <c r="H1679" s="7" t="s">
        <v>39</v>
      </c>
      <c r="I1679" s="6" t="s">
        <v>1562</v>
      </c>
      <c r="J1679" s="7" t="s">
        <v>20</v>
      </c>
      <c r="K1679" s="7" t="s">
        <v>26</v>
      </c>
      <c r="L1679" s="6"/>
      <c r="M1679" s="10">
        <v>5.5300000000000002E-2</v>
      </c>
      <c r="N1679" s="6" t="s">
        <v>7590</v>
      </c>
      <c r="O1679" s="11">
        <v>5200</v>
      </c>
      <c r="P1679" s="11"/>
      <c r="Q1679" s="18">
        <v>650</v>
      </c>
      <c r="R1679" s="19"/>
    </row>
    <row r="1680" spans="1:18" ht="43.2" x14ac:dyDescent="0.3">
      <c r="A1680" s="6" t="s">
        <v>7591</v>
      </c>
      <c r="B1680" s="7" t="s">
        <v>120</v>
      </c>
      <c r="C1680" s="17" t="s">
        <v>4195</v>
      </c>
      <c r="D1680" s="17"/>
      <c r="E1680" s="8">
        <v>16131</v>
      </c>
      <c r="F1680" s="9">
        <v>78</v>
      </c>
      <c r="G1680" s="6" t="s">
        <v>7592</v>
      </c>
      <c r="H1680" s="7" t="s">
        <v>39</v>
      </c>
      <c r="I1680" s="6" t="s">
        <v>2603</v>
      </c>
      <c r="J1680" s="7" t="s">
        <v>41</v>
      </c>
      <c r="K1680" s="7" t="s">
        <v>26</v>
      </c>
      <c r="L1680" s="9">
        <v>77</v>
      </c>
      <c r="M1680" s="10">
        <v>6.1699999999999998E-2</v>
      </c>
      <c r="N1680" s="6" t="s">
        <v>7593</v>
      </c>
      <c r="O1680" s="11">
        <v>64000</v>
      </c>
      <c r="P1680" s="11"/>
      <c r="Q1680" s="18">
        <v>8000</v>
      </c>
      <c r="R1680" s="19"/>
    </row>
    <row r="1681" spans="1:18" hidden="1" x14ac:dyDescent="0.3">
      <c r="A1681" s="6" t="s">
        <v>7594</v>
      </c>
      <c r="B1681" s="7" t="s">
        <v>7595</v>
      </c>
      <c r="C1681" s="17" t="s">
        <v>2684</v>
      </c>
      <c r="D1681" s="17"/>
      <c r="E1681" s="7" t="s">
        <v>7596</v>
      </c>
      <c r="F1681" s="9">
        <v>82</v>
      </c>
      <c r="G1681" s="6" t="s">
        <v>7597</v>
      </c>
      <c r="H1681" s="7" t="s">
        <v>25</v>
      </c>
      <c r="I1681" s="6" t="s">
        <v>19</v>
      </c>
      <c r="J1681" s="7" t="s">
        <v>20</v>
      </c>
      <c r="K1681" s="7" t="s">
        <v>32</v>
      </c>
      <c r="L1681" s="6"/>
      <c r="M1681" s="10">
        <v>7.3800000000000004E-2</v>
      </c>
      <c r="N1681" s="6" t="s">
        <v>7598</v>
      </c>
      <c r="O1681" s="6" t="s">
        <v>19</v>
      </c>
      <c r="P1681" s="6"/>
      <c r="Q1681" s="19" t="s">
        <v>19</v>
      </c>
      <c r="R1681" s="19"/>
    </row>
    <row r="1682" spans="1:18" ht="43.2" hidden="1" x14ac:dyDescent="0.3">
      <c r="A1682" s="6" t="s">
        <v>7599</v>
      </c>
      <c r="B1682" s="7" t="s">
        <v>859</v>
      </c>
      <c r="C1682" s="17" t="s">
        <v>7600</v>
      </c>
      <c r="D1682" s="17"/>
      <c r="E1682" s="8">
        <v>15350</v>
      </c>
      <c r="F1682" s="9">
        <v>80</v>
      </c>
      <c r="G1682" s="6" t="s">
        <v>7601</v>
      </c>
      <c r="H1682" s="7" t="s">
        <v>39</v>
      </c>
      <c r="I1682" s="6" t="s">
        <v>745</v>
      </c>
      <c r="J1682" s="7" t="s">
        <v>20</v>
      </c>
      <c r="K1682" s="7" t="s">
        <v>26</v>
      </c>
      <c r="L1682" s="6"/>
      <c r="M1682" s="10">
        <v>6.8199999999999997E-2</v>
      </c>
      <c r="N1682" s="6" t="s">
        <v>7602</v>
      </c>
      <c r="O1682" s="11">
        <v>11200</v>
      </c>
      <c r="P1682" s="11"/>
      <c r="Q1682" s="18">
        <v>1400</v>
      </c>
      <c r="R1682" s="19"/>
    </row>
    <row r="1683" spans="1:18" ht="43.2" hidden="1" x14ac:dyDescent="0.3">
      <c r="A1683" s="6" t="s">
        <v>7603</v>
      </c>
      <c r="B1683" s="7" t="s">
        <v>7604</v>
      </c>
      <c r="C1683" s="17" t="s">
        <v>7605</v>
      </c>
      <c r="D1683" s="17"/>
      <c r="E1683" s="8">
        <v>18138</v>
      </c>
      <c r="F1683" s="9">
        <v>73</v>
      </c>
      <c r="G1683" s="6" t="s">
        <v>7606</v>
      </c>
      <c r="H1683" s="7" t="s">
        <v>39</v>
      </c>
      <c r="I1683" s="6" t="s">
        <v>89</v>
      </c>
      <c r="J1683" s="7" t="s">
        <v>20</v>
      </c>
      <c r="K1683" s="7" t="s">
        <v>26</v>
      </c>
      <c r="L1683" s="6"/>
      <c r="M1683" s="10">
        <v>5.5300000000000002E-2</v>
      </c>
      <c r="N1683" s="6" t="s">
        <v>7607</v>
      </c>
      <c r="O1683" s="11">
        <v>9600</v>
      </c>
      <c r="P1683" s="11"/>
      <c r="Q1683" s="18">
        <v>1200</v>
      </c>
      <c r="R1683" s="19"/>
    </row>
    <row r="1684" spans="1:18" ht="43.2" hidden="1" x14ac:dyDescent="0.3">
      <c r="A1684" s="6" t="s">
        <v>7608</v>
      </c>
      <c r="B1684" s="7" t="s">
        <v>3015</v>
      </c>
      <c r="C1684" s="17" t="s">
        <v>7609</v>
      </c>
      <c r="D1684" s="17"/>
      <c r="E1684" s="8">
        <v>15560</v>
      </c>
      <c r="F1684" s="9">
        <v>80</v>
      </c>
      <c r="G1684" s="6" t="s">
        <v>7610</v>
      </c>
      <c r="H1684" s="7" t="s">
        <v>39</v>
      </c>
      <c r="I1684" s="6" t="s">
        <v>538</v>
      </c>
      <c r="J1684" s="7" t="s">
        <v>20</v>
      </c>
      <c r="K1684" s="7" t="s">
        <v>26</v>
      </c>
      <c r="L1684" s="6"/>
      <c r="M1684" s="10">
        <v>6.8199999999999997E-2</v>
      </c>
      <c r="N1684" s="6" t="s">
        <v>7611</v>
      </c>
      <c r="O1684" s="11">
        <v>12800</v>
      </c>
      <c r="P1684" s="11"/>
      <c r="Q1684" s="18">
        <v>1600</v>
      </c>
      <c r="R1684" s="19"/>
    </row>
    <row r="1685" spans="1:18" ht="43.2" x14ac:dyDescent="0.3">
      <c r="A1685" s="6" t="s">
        <v>7612</v>
      </c>
      <c r="B1685" s="7" t="s">
        <v>2224</v>
      </c>
      <c r="C1685" s="17" t="s">
        <v>7613</v>
      </c>
      <c r="D1685" s="17"/>
      <c r="E1685" s="8">
        <v>16977</v>
      </c>
      <c r="F1685" s="9">
        <v>76</v>
      </c>
      <c r="G1685" s="6" t="s">
        <v>7614</v>
      </c>
      <c r="H1685" s="7" t="s">
        <v>39</v>
      </c>
      <c r="I1685" s="6" t="s">
        <v>432</v>
      </c>
      <c r="J1685" s="7" t="s">
        <v>41</v>
      </c>
      <c r="K1685" s="7" t="s">
        <v>26</v>
      </c>
      <c r="L1685" s="9">
        <v>74</v>
      </c>
      <c r="M1685" s="10">
        <v>5.67E-2</v>
      </c>
      <c r="N1685" s="6" t="s">
        <v>7615</v>
      </c>
      <c r="O1685" s="11">
        <v>19200</v>
      </c>
      <c r="P1685" s="11"/>
      <c r="Q1685" s="18">
        <v>2400</v>
      </c>
      <c r="R1685" s="19"/>
    </row>
    <row r="1686" spans="1:18" ht="43.2" hidden="1" x14ac:dyDescent="0.3">
      <c r="A1686" s="6" t="s">
        <v>7616</v>
      </c>
      <c r="B1686" s="7" t="s">
        <v>2306</v>
      </c>
      <c r="C1686" s="17" t="s">
        <v>7617</v>
      </c>
      <c r="D1686" s="17"/>
      <c r="E1686" s="8">
        <v>17356</v>
      </c>
      <c r="F1686" s="9">
        <v>75</v>
      </c>
      <c r="G1686" s="6" t="s">
        <v>7618</v>
      </c>
      <c r="H1686" s="7" t="s">
        <v>39</v>
      </c>
      <c r="I1686" s="6" t="s">
        <v>728</v>
      </c>
      <c r="J1686" s="7" t="s">
        <v>20</v>
      </c>
      <c r="K1686" s="7" t="s">
        <v>26</v>
      </c>
      <c r="L1686" s="6"/>
      <c r="M1686" s="10">
        <v>5.8200000000000002E-2</v>
      </c>
      <c r="N1686" s="6" t="s">
        <v>7619</v>
      </c>
      <c r="O1686" s="11">
        <v>28000</v>
      </c>
      <c r="P1686" s="11"/>
      <c r="Q1686" s="18">
        <v>3500</v>
      </c>
      <c r="R1686" s="19"/>
    </row>
    <row r="1687" spans="1:18" ht="43.2" x14ac:dyDescent="0.3">
      <c r="A1687" s="6" t="s">
        <v>7620</v>
      </c>
      <c r="B1687" s="7" t="s">
        <v>7621</v>
      </c>
      <c r="C1687" s="17" t="s">
        <v>7617</v>
      </c>
      <c r="D1687" s="17"/>
      <c r="E1687" s="8">
        <v>18408</v>
      </c>
      <c r="F1687" s="9">
        <v>72</v>
      </c>
      <c r="G1687" s="6" t="s">
        <v>7622</v>
      </c>
      <c r="H1687" s="7" t="s">
        <v>39</v>
      </c>
      <c r="I1687" s="6" t="s">
        <v>144</v>
      </c>
      <c r="J1687" s="7" t="s">
        <v>41</v>
      </c>
      <c r="K1687" s="7" t="s">
        <v>26</v>
      </c>
      <c r="L1687" s="9">
        <v>67</v>
      </c>
      <c r="M1687" s="10">
        <v>4.3499999999999997E-2</v>
      </c>
      <c r="N1687" s="6" t="s">
        <v>7623</v>
      </c>
      <c r="O1687" s="11">
        <v>40000</v>
      </c>
      <c r="P1687" s="11"/>
      <c r="Q1687" s="18">
        <v>5000</v>
      </c>
      <c r="R1687" s="19"/>
    </row>
    <row r="1688" spans="1:18" ht="28.8" x14ac:dyDescent="0.3">
      <c r="A1688" s="6" t="s">
        <v>7624</v>
      </c>
      <c r="B1688" s="7" t="s">
        <v>81</v>
      </c>
      <c r="C1688" s="17" t="s">
        <v>7625</v>
      </c>
      <c r="D1688" s="17"/>
      <c r="E1688" s="8">
        <v>17537</v>
      </c>
      <c r="F1688" s="9">
        <v>74</v>
      </c>
      <c r="G1688" s="6" t="s">
        <v>7626</v>
      </c>
      <c r="H1688" s="7" t="s">
        <v>39</v>
      </c>
      <c r="I1688" s="6" t="s">
        <v>237</v>
      </c>
      <c r="J1688" s="7" t="s">
        <v>41</v>
      </c>
      <c r="K1688" s="7" t="s">
        <v>26</v>
      </c>
      <c r="L1688" s="9">
        <v>69</v>
      </c>
      <c r="M1688" s="10">
        <v>4.7600000000000003E-2</v>
      </c>
      <c r="N1688" s="6" t="s">
        <v>7627</v>
      </c>
      <c r="O1688" s="11">
        <v>29245.32</v>
      </c>
      <c r="P1688" s="11"/>
      <c r="Q1688" s="18">
        <v>900</v>
      </c>
      <c r="R1688" s="19"/>
    </row>
    <row r="1689" spans="1:18" ht="28.8" hidden="1" x14ac:dyDescent="0.3">
      <c r="A1689" s="6" t="s">
        <v>7628</v>
      </c>
      <c r="B1689" s="7" t="s">
        <v>7629</v>
      </c>
      <c r="C1689" s="17" t="s">
        <v>3501</v>
      </c>
      <c r="D1689" s="17"/>
      <c r="E1689" s="8">
        <v>17504</v>
      </c>
      <c r="F1689" s="9">
        <v>75</v>
      </c>
      <c r="G1689" s="6" t="s">
        <v>7630</v>
      </c>
      <c r="H1689" s="7" t="s">
        <v>39</v>
      </c>
      <c r="I1689" s="6" t="s">
        <v>1160</v>
      </c>
      <c r="J1689" s="7" t="s">
        <v>20</v>
      </c>
      <c r="K1689" s="7" t="s">
        <v>26</v>
      </c>
      <c r="L1689" s="6"/>
      <c r="M1689" s="10">
        <v>5.8200000000000002E-2</v>
      </c>
      <c r="N1689" s="6" t="s">
        <v>7631</v>
      </c>
      <c r="O1689" s="11">
        <v>3200</v>
      </c>
      <c r="P1689" s="11"/>
      <c r="Q1689" s="18">
        <v>400</v>
      </c>
      <c r="R1689" s="19"/>
    </row>
    <row r="1690" spans="1:18" hidden="1" x14ac:dyDescent="0.3">
      <c r="A1690" s="6" t="s">
        <v>7632</v>
      </c>
      <c r="B1690" s="7" t="s">
        <v>7633</v>
      </c>
      <c r="C1690" s="17" t="s">
        <v>7634</v>
      </c>
      <c r="D1690" s="17"/>
      <c r="E1690" s="7" t="s">
        <v>7635</v>
      </c>
      <c r="F1690" s="9">
        <v>77</v>
      </c>
      <c r="G1690" s="6" t="s">
        <v>7636</v>
      </c>
      <c r="H1690" s="7" t="s">
        <v>25</v>
      </c>
      <c r="I1690" s="6" t="s">
        <v>19</v>
      </c>
      <c r="J1690" s="7" t="s">
        <v>41</v>
      </c>
      <c r="K1690" s="7" t="s">
        <v>32</v>
      </c>
      <c r="L1690" s="9">
        <v>73</v>
      </c>
      <c r="M1690" s="10">
        <v>5.5300000000000002E-2</v>
      </c>
      <c r="N1690" s="6" t="s">
        <v>7637</v>
      </c>
      <c r="O1690" s="6" t="s">
        <v>19</v>
      </c>
      <c r="P1690" s="6"/>
      <c r="Q1690" s="19" t="s">
        <v>19</v>
      </c>
      <c r="R1690" s="19"/>
    </row>
    <row r="1691" spans="1:18" ht="43.2" x14ac:dyDescent="0.3">
      <c r="A1691" s="6" t="s">
        <v>7638</v>
      </c>
      <c r="B1691" s="7" t="s">
        <v>1143</v>
      </c>
      <c r="C1691" s="17" t="s">
        <v>7639</v>
      </c>
      <c r="D1691" s="17"/>
      <c r="E1691" s="8">
        <v>18614</v>
      </c>
      <c r="F1691" s="9">
        <v>72</v>
      </c>
      <c r="G1691" s="6" t="s">
        <v>7641</v>
      </c>
      <c r="H1691" s="7" t="s">
        <v>39</v>
      </c>
      <c r="I1691" s="6" t="s">
        <v>2603</v>
      </c>
      <c r="J1691" s="7" t="s">
        <v>41</v>
      </c>
      <c r="K1691" s="7" t="s">
        <v>26</v>
      </c>
      <c r="L1691" s="9">
        <v>71</v>
      </c>
      <c r="M1691" s="10">
        <v>5.28E-2</v>
      </c>
      <c r="N1691" s="6" t="s">
        <v>7642</v>
      </c>
      <c r="O1691" s="11">
        <v>64000</v>
      </c>
      <c r="P1691" s="11"/>
      <c r="Q1691" s="18">
        <v>8000</v>
      </c>
      <c r="R1691" s="19"/>
    </row>
    <row r="1692" spans="1:18" ht="43.2" hidden="1" x14ac:dyDescent="0.3">
      <c r="A1692" s="6" t="s">
        <v>7643</v>
      </c>
      <c r="B1692" s="7" t="s">
        <v>349</v>
      </c>
      <c r="C1692" s="17" t="s">
        <v>7644</v>
      </c>
      <c r="D1692" s="17"/>
      <c r="E1692" s="8">
        <v>17815</v>
      </c>
      <c r="F1692" s="9">
        <v>74</v>
      </c>
      <c r="G1692" s="6" t="s">
        <v>7645</v>
      </c>
      <c r="H1692" s="7" t="s">
        <v>39</v>
      </c>
      <c r="I1692" s="6" t="s">
        <v>533</v>
      </c>
      <c r="J1692" s="7" t="s">
        <v>20</v>
      </c>
      <c r="K1692" s="7" t="s">
        <v>26</v>
      </c>
      <c r="L1692" s="6"/>
      <c r="M1692" s="10">
        <v>5.67E-2</v>
      </c>
      <c r="N1692" s="6" t="s">
        <v>7646</v>
      </c>
      <c r="O1692" s="11">
        <v>80000</v>
      </c>
      <c r="P1692" s="11"/>
      <c r="Q1692" s="18">
        <v>10000</v>
      </c>
      <c r="R1692" s="19"/>
    </row>
    <row r="1693" spans="1:18" ht="28.8" hidden="1" x14ac:dyDescent="0.3">
      <c r="A1693" s="6" t="s">
        <v>7647</v>
      </c>
      <c r="B1693" s="7" t="s">
        <v>7648</v>
      </c>
      <c r="C1693" s="17" t="s">
        <v>7649</v>
      </c>
      <c r="D1693" s="17"/>
      <c r="E1693" s="8">
        <v>17031</v>
      </c>
      <c r="F1693" s="9">
        <v>76</v>
      </c>
      <c r="G1693" s="6" t="s">
        <v>7650</v>
      </c>
      <c r="H1693" s="7" t="s">
        <v>39</v>
      </c>
      <c r="I1693" s="6" t="s">
        <v>237</v>
      </c>
      <c r="J1693" s="7" t="s">
        <v>20</v>
      </c>
      <c r="K1693" s="7" t="s">
        <v>26</v>
      </c>
      <c r="L1693" s="6"/>
      <c r="M1693" s="10">
        <v>5.9799999999999999E-2</v>
      </c>
      <c r="N1693" s="6" t="s">
        <v>7651</v>
      </c>
      <c r="O1693" s="11">
        <v>7200</v>
      </c>
      <c r="P1693" s="11"/>
      <c r="Q1693" s="18">
        <v>900</v>
      </c>
      <c r="R1693" s="19"/>
    </row>
    <row r="1694" spans="1:18" ht="43.2" x14ac:dyDescent="0.3">
      <c r="A1694" s="6" t="s">
        <v>7652</v>
      </c>
      <c r="B1694" s="7" t="s">
        <v>488</v>
      </c>
      <c r="C1694" s="17" t="s">
        <v>7653</v>
      </c>
      <c r="D1694" s="17"/>
      <c r="E1694" s="8">
        <v>17637</v>
      </c>
      <c r="F1694" s="9">
        <v>74</v>
      </c>
      <c r="G1694" s="6" t="s">
        <v>7654</v>
      </c>
      <c r="H1694" s="7" t="s">
        <v>39</v>
      </c>
      <c r="I1694" s="6" t="s">
        <v>7655</v>
      </c>
      <c r="J1694" s="7" t="s">
        <v>41</v>
      </c>
      <c r="K1694" s="7" t="s">
        <v>26</v>
      </c>
      <c r="L1694" s="9">
        <v>69</v>
      </c>
      <c r="M1694" s="10">
        <v>4.7600000000000003E-2</v>
      </c>
      <c r="N1694" s="6" t="s">
        <v>7656</v>
      </c>
      <c r="O1694" s="11">
        <v>49864</v>
      </c>
      <c r="P1694" s="11"/>
      <c r="Q1694" s="18">
        <v>6233</v>
      </c>
      <c r="R1694" s="19"/>
    </row>
    <row r="1695" spans="1:18" ht="43.2" hidden="1" x14ac:dyDescent="0.3">
      <c r="A1695" s="6" t="s">
        <v>7657</v>
      </c>
      <c r="B1695" s="7" t="s">
        <v>7658</v>
      </c>
      <c r="C1695" s="17" t="s">
        <v>2360</v>
      </c>
      <c r="D1695" s="17"/>
      <c r="E1695" s="8">
        <v>18607</v>
      </c>
      <c r="F1695" s="9">
        <v>72</v>
      </c>
      <c r="G1695" s="6" t="s">
        <v>7659</v>
      </c>
      <c r="H1695" s="7" t="s">
        <v>39</v>
      </c>
      <c r="I1695" s="6" t="s">
        <v>3746</v>
      </c>
      <c r="J1695" s="7" t="s">
        <v>20</v>
      </c>
      <c r="K1695" s="7" t="s">
        <v>32</v>
      </c>
      <c r="L1695" s="6"/>
      <c r="M1695" s="10">
        <v>5.3999999999999999E-2</v>
      </c>
      <c r="N1695" s="6" t="s">
        <v>7660</v>
      </c>
      <c r="O1695" s="11">
        <v>7500</v>
      </c>
      <c r="P1695" s="11"/>
      <c r="Q1695" s="18">
        <v>7500</v>
      </c>
      <c r="R1695" s="19"/>
    </row>
    <row r="1696" spans="1:18" ht="43.2" x14ac:dyDescent="0.3">
      <c r="A1696" s="6" t="s">
        <v>7661</v>
      </c>
      <c r="B1696" s="7" t="s">
        <v>2857</v>
      </c>
      <c r="C1696" s="17" t="s">
        <v>3278</v>
      </c>
      <c r="D1696" s="17"/>
      <c r="E1696" s="8">
        <v>18428</v>
      </c>
      <c r="F1696" s="9">
        <v>72</v>
      </c>
      <c r="G1696" s="6" t="s">
        <v>7662</v>
      </c>
      <c r="H1696" s="7" t="s">
        <v>39</v>
      </c>
      <c r="I1696" s="6" t="s">
        <v>106</v>
      </c>
      <c r="J1696" s="7" t="s">
        <v>41</v>
      </c>
      <c r="K1696" s="7" t="s">
        <v>26</v>
      </c>
      <c r="L1696" s="9">
        <v>65</v>
      </c>
      <c r="M1696" s="10">
        <v>0.04</v>
      </c>
      <c r="N1696" s="6" t="s">
        <v>7663</v>
      </c>
      <c r="O1696" s="11">
        <v>32000</v>
      </c>
      <c r="P1696" s="11"/>
      <c r="Q1696" s="18">
        <v>4000</v>
      </c>
      <c r="R1696" s="19"/>
    </row>
    <row r="1697" spans="1:18" x14ac:dyDescent="0.3">
      <c r="A1697" s="6" t="s">
        <v>7664</v>
      </c>
      <c r="B1697" s="7" t="s">
        <v>7665</v>
      </c>
      <c r="C1697" s="17" t="s">
        <v>3278</v>
      </c>
      <c r="D1697" s="17"/>
      <c r="E1697" s="8">
        <v>17911</v>
      </c>
      <c r="F1697" s="9">
        <v>73</v>
      </c>
      <c r="G1697" s="6" t="s">
        <v>7666</v>
      </c>
      <c r="H1697" s="7" t="s">
        <v>25</v>
      </c>
      <c r="I1697" s="6"/>
      <c r="J1697" s="7" t="s">
        <v>41</v>
      </c>
      <c r="K1697" s="7" t="s">
        <v>26</v>
      </c>
      <c r="L1697" s="9">
        <v>61</v>
      </c>
      <c r="M1697" s="10">
        <v>3.4500000000000003E-2</v>
      </c>
      <c r="N1697" s="6" t="s">
        <v>7667</v>
      </c>
      <c r="O1697" s="11">
        <v>16928.72</v>
      </c>
      <c r="P1697" s="11"/>
      <c r="Q1697" s="18">
        <v>0.46</v>
      </c>
      <c r="R1697" s="19"/>
    </row>
    <row r="1698" spans="1:18" x14ac:dyDescent="0.3">
      <c r="A1698" s="6" t="s">
        <v>7668</v>
      </c>
      <c r="B1698" s="7" t="s">
        <v>125</v>
      </c>
      <c r="C1698" s="17" t="s">
        <v>7669</v>
      </c>
      <c r="D1698" s="17"/>
      <c r="E1698" s="8">
        <v>16064</v>
      </c>
      <c r="F1698" s="9">
        <v>79</v>
      </c>
      <c r="G1698" s="6" t="s">
        <v>7670</v>
      </c>
      <c r="H1698" s="7" t="s">
        <v>25</v>
      </c>
      <c r="I1698" s="6"/>
      <c r="J1698" s="7" t="s">
        <v>41</v>
      </c>
      <c r="K1698" s="7" t="s">
        <v>26</v>
      </c>
      <c r="L1698" s="9">
        <v>76</v>
      </c>
      <c r="M1698" s="10">
        <v>5.9799999999999999E-2</v>
      </c>
      <c r="N1698" s="6" t="s">
        <v>7671</v>
      </c>
      <c r="O1698" s="11">
        <v>7081.52</v>
      </c>
      <c r="P1698" s="11"/>
      <c r="Q1698" s="18">
        <v>885.19</v>
      </c>
      <c r="R1698" s="19"/>
    </row>
    <row r="1699" spans="1:18" ht="43.2" hidden="1" x14ac:dyDescent="0.3">
      <c r="A1699" s="6" t="s">
        <v>7672</v>
      </c>
      <c r="B1699" s="7" t="s">
        <v>598</v>
      </c>
      <c r="C1699" s="17" t="s">
        <v>2862</v>
      </c>
      <c r="D1699" s="17"/>
      <c r="E1699" s="8">
        <v>17088</v>
      </c>
      <c r="F1699" s="9">
        <v>76</v>
      </c>
      <c r="G1699" s="6" t="s">
        <v>7673</v>
      </c>
      <c r="H1699" s="7" t="s">
        <v>39</v>
      </c>
      <c r="I1699" s="6" t="s">
        <v>40</v>
      </c>
      <c r="J1699" s="7" t="s">
        <v>20</v>
      </c>
      <c r="K1699" s="7" t="s">
        <v>26</v>
      </c>
      <c r="L1699" s="6"/>
      <c r="M1699" s="10">
        <v>5.9799999999999999E-2</v>
      </c>
      <c r="N1699" s="6" t="s">
        <v>7674</v>
      </c>
      <c r="O1699" s="11">
        <v>24000</v>
      </c>
      <c r="P1699" s="11"/>
      <c r="Q1699" s="18">
        <v>3000</v>
      </c>
      <c r="R1699" s="19"/>
    </row>
    <row r="1700" spans="1:18" ht="43.2" hidden="1" x14ac:dyDescent="0.3">
      <c r="A1700" s="6" t="s">
        <v>7675</v>
      </c>
      <c r="B1700" s="7" t="s">
        <v>4050</v>
      </c>
      <c r="C1700" s="17" t="s">
        <v>2871</v>
      </c>
      <c r="D1700" s="17"/>
      <c r="E1700" s="8">
        <v>18429</v>
      </c>
      <c r="F1700" s="9">
        <v>72</v>
      </c>
      <c r="G1700" s="6" t="s">
        <v>7676</v>
      </c>
      <c r="H1700" s="7" t="s">
        <v>39</v>
      </c>
      <c r="I1700" s="6" t="s">
        <v>40</v>
      </c>
      <c r="J1700" s="7" t="s">
        <v>20</v>
      </c>
      <c r="K1700" s="7" t="s">
        <v>26</v>
      </c>
      <c r="L1700" s="6"/>
      <c r="M1700" s="10">
        <v>5.3999999999999999E-2</v>
      </c>
      <c r="N1700" s="6" t="s">
        <v>7677</v>
      </c>
      <c r="O1700" s="11">
        <v>24000</v>
      </c>
      <c r="P1700" s="11"/>
      <c r="Q1700" s="18">
        <v>3000</v>
      </c>
      <c r="R1700" s="19"/>
    </row>
    <row r="1701" spans="1:18" ht="43.2" hidden="1" x14ac:dyDescent="0.3">
      <c r="A1701" s="6" t="s">
        <v>7678</v>
      </c>
      <c r="B1701" s="7" t="s">
        <v>125</v>
      </c>
      <c r="C1701" s="17" t="s">
        <v>7679</v>
      </c>
      <c r="D1701" s="17"/>
      <c r="E1701" s="8">
        <v>17493</v>
      </c>
      <c r="F1701" s="9">
        <v>75</v>
      </c>
      <c r="G1701" s="6" t="s">
        <v>7680</v>
      </c>
      <c r="H1701" s="7" t="s">
        <v>39</v>
      </c>
      <c r="I1701" s="6" t="s">
        <v>2646</v>
      </c>
      <c r="J1701" s="7" t="s">
        <v>20</v>
      </c>
      <c r="K1701" s="7" t="s">
        <v>26</v>
      </c>
      <c r="L1701" s="6"/>
      <c r="M1701" s="10">
        <v>5.8200000000000002E-2</v>
      </c>
      <c r="N1701" s="6" t="s">
        <v>7681</v>
      </c>
      <c r="O1701" s="11">
        <v>13200</v>
      </c>
      <c r="P1701" s="11"/>
      <c r="Q1701" s="18">
        <v>1700</v>
      </c>
      <c r="R1701" s="19"/>
    </row>
    <row r="1702" spans="1:18" ht="43.2" hidden="1" x14ac:dyDescent="0.3">
      <c r="A1702" s="6" t="s">
        <v>7682</v>
      </c>
      <c r="B1702" s="7" t="s">
        <v>924</v>
      </c>
      <c r="C1702" s="17" t="s">
        <v>7683</v>
      </c>
      <c r="D1702" s="17"/>
      <c r="E1702" s="8">
        <v>18502</v>
      </c>
      <c r="F1702" s="9">
        <v>72</v>
      </c>
      <c r="G1702" s="6" t="s">
        <v>7684</v>
      </c>
      <c r="H1702" s="7" t="s">
        <v>39</v>
      </c>
      <c r="I1702" s="6" t="s">
        <v>1514</v>
      </c>
      <c r="J1702" s="7" t="s">
        <v>20</v>
      </c>
      <c r="K1702" s="7" t="s">
        <v>26</v>
      </c>
      <c r="L1702" s="6"/>
      <c r="M1702" s="10">
        <v>5.3999999999999999E-2</v>
      </c>
      <c r="N1702" s="6" t="s">
        <v>7685</v>
      </c>
      <c r="O1702" s="11">
        <v>21600</v>
      </c>
      <c r="P1702" s="11"/>
      <c r="Q1702" s="18">
        <v>990.85</v>
      </c>
      <c r="R1702" s="19"/>
    </row>
    <row r="1703" spans="1:18" hidden="1" x14ac:dyDescent="0.3">
      <c r="A1703" s="6" t="s">
        <v>7686</v>
      </c>
      <c r="B1703" s="7" t="s">
        <v>5172</v>
      </c>
      <c r="C1703" s="17" t="s">
        <v>4165</v>
      </c>
      <c r="D1703" s="17"/>
      <c r="E1703" s="7" t="s">
        <v>7687</v>
      </c>
      <c r="F1703" s="9">
        <v>77</v>
      </c>
      <c r="G1703" s="6" t="s">
        <v>7688</v>
      </c>
      <c r="H1703" s="7" t="s">
        <v>25</v>
      </c>
      <c r="I1703" s="6" t="s">
        <v>19</v>
      </c>
      <c r="J1703" s="7" t="s">
        <v>20</v>
      </c>
      <c r="K1703" s="7" t="s">
        <v>32</v>
      </c>
      <c r="L1703" s="6"/>
      <c r="M1703" s="10">
        <v>6.1699999999999998E-2</v>
      </c>
      <c r="N1703" s="6" t="s">
        <v>7689</v>
      </c>
      <c r="O1703" s="6" t="s">
        <v>19</v>
      </c>
      <c r="P1703" s="6"/>
      <c r="Q1703" s="19" t="s">
        <v>19</v>
      </c>
      <c r="R1703" s="19"/>
    </row>
    <row r="1704" spans="1:18" ht="43.2" x14ac:dyDescent="0.3">
      <c r="A1704" s="6" t="s">
        <v>7690</v>
      </c>
      <c r="B1704" s="7" t="s">
        <v>276</v>
      </c>
      <c r="C1704" s="17" t="s">
        <v>7691</v>
      </c>
      <c r="D1704" s="17"/>
      <c r="E1704" s="8">
        <v>17311</v>
      </c>
      <c r="F1704" s="9">
        <v>75</v>
      </c>
      <c r="G1704" s="6" t="s">
        <v>7692</v>
      </c>
      <c r="H1704" s="7" t="s">
        <v>39</v>
      </c>
      <c r="I1704" s="6" t="s">
        <v>7693</v>
      </c>
      <c r="J1704" s="7" t="s">
        <v>41</v>
      </c>
      <c r="K1704" s="7" t="s">
        <v>26</v>
      </c>
      <c r="L1704" s="9">
        <v>70</v>
      </c>
      <c r="M1704" s="10">
        <v>0.05</v>
      </c>
      <c r="N1704" s="6" t="s">
        <v>7694</v>
      </c>
      <c r="O1704" s="11">
        <v>29842.400000000001</v>
      </c>
      <c r="P1704" s="11"/>
      <c r="Q1704" s="18">
        <v>3730.3</v>
      </c>
      <c r="R1704" s="19"/>
    </row>
    <row r="1705" spans="1:18" hidden="1" x14ac:dyDescent="0.3">
      <c r="A1705" s="6" t="s">
        <v>7695</v>
      </c>
      <c r="B1705" s="7" t="s">
        <v>7696</v>
      </c>
      <c r="C1705" s="17" t="s">
        <v>7697</v>
      </c>
      <c r="D1705" s="17"/>
      <c r="E1705" s="8">
        <v>18332</v>
      </c>
      <c r="F1705" s="9">
        <v>72</v>
      </c>
      <c r="G1705" s="6" t="s">
        <v>7698</v>
      </c>
      <c r="H1705" s="7" t="s">
        <v>25</v>
      </c>
      <c r="I1705" s="6"/>
      <c r="J1705" s="7" t="s">
        <v>20</v>
      </c>
      <c r="K1705" s="7" t="s">
        <v>26</v>
      </c>
      <c r="L1705" s="6"/>
      <c r="M1705" s="10">
        <v>5.3999999999999999E-2</v>
      </c>
      <c r="N1705" s="6" t="s">
        <v>7699</v>
      </c>
      <c r="O1705" s="11">
        <v>1561.28</v>
      </c>
      <c r="P1705" s="11"/>
      <c r="Q1705" s="18">
        <v>195.16</v>
      </c>
      <c r="R1705" s="19"/>
    </row>
    <row r="1706" spans="1:18" ht="43.2" x14ac:dyDescent="0.3">
      <c r="A1706" s="6" t="s">
        <v>7700</v>
      </c>
      <c r="B1706" s="7" t="s">
        <v>140</v>
      </c>
      <c r="C1706" s="17" t="s">
        <v>7701</v>
      </c>
      <c r="D1706" s="17"/>
      <c r="E1706" s="8">
        <v>17868</v>
      </c>
      <c r="F1706" s="9">
        <v>74</v>
      </c>
      <c r="G1706" s="6" t="s">
        <v>7702</v>
      </c>
      <c r="H1706" s="7" t="s">
        <v>39</v>
      </c>
      <c r="I1706" s="6" t="s">
        <v>106</v>
      </c>
      <c r="J1706" s="7" t="s">
        <v>41</v>
      </c>
      <c r="K1706" s="7" t="s">
        <v>26</v>
      </c>
      <c r="L1706" s="9">
        <v>71</v>
      </c>
      <c r="M1706" s="10">
        <v>5.28E-2</v>
      </c>
      <c r="N1706" s="6" t="s">
        <v>7703</v>
      </c>
      <c r="O1706" s="11">
        <v>32000</v>
      </c>
      <c r="P1706" s="11"/>
      <c r="Q1706" s="18">
        <v>4000</v>
      </c>
      <c r="R1706" s="19"/>
    </row>
    <row r="1707" spans="1:18" ht="43.2" x14ac:dyDescent="0.3">
      <c r="A1707" s="6" t="s">
        <v>7704</v>
      </c>
      <c r="B1707" s="7" t="s">
        <v>5788</v>
      </c>
      <c r="C1707" s="17" t="s">
        <v>3260</v>
      </c>
      <c r="D1707" s="17"/>
      <c r="E1707" s="8">
        <v>17472</v>
      </c>
      <c r="F1707" s="9">
        <v>75</v>
      </c>
      <c r="G1707" s="6" t="s">
        <v>7705</v>
      </c>
      <c r="H1707" s="7" t="s">
        <v>39</v>
      </c>
      <c r="I1707" s="6" t="s">
        <v>89</v>
      </c>
      <c r="J1707" s="7" t="s">
        <v>41</v>
      </c>
      <c r="K1707" s="7" t="s">
        <v>26</v>
      </c>
      <c r="L1707" s="9">
        <v>71</v>
      </c>
      <c r="M1707" s="10">
        <v>5.28E-2</v>
      </c>
      <c r="N1707" s="6" t="s">
        <v>7706</v>
      </c>
      <c r="O1707" s="11">
        <v>9600</v>
      </c>
      <c r="P1707" s="11"/>
      <c r="Q1707" s="18">
        <v>1200</v>
      </c>
      <c r="R1707" s="19"/>
    </row>
    <row r="1708" spans="1:18" ht="28.8" x14ac:dyDescent="0.3">
      <c r="A1708" s="6" t="s">
        <v>7707</v>
      </c>
      <c r="B1708" s="7" t="s">
        <v>246</v>
      </c>
      <c r="C1708" s="17" t="s">
        <v>7708</v>
      </c>
      <c r="D1708" s="17"/>
      <c r="E1708" s="8">
        <v>15081</v>
      </c>
      <c r="F1708" s="9">
        <v>81</v>
      </c>
      <c r="G1708" s="6" t="s">
        <v>7709</v>
      </c>
      <c r="H1708" s="7" t="s">
        <v>39</v>
      </c>
      <c r="I1708" s="6" t="s">
        <v>681</v>
      </c>
      <c r="J1708" s="7" t="s">
        <v>41</v>
      </c>
      <c r="K1708" s="7" t="s">
        <v>26</v>
      </c>
      <c r="L1708" s="9">
        <v>86</v>
      </c>
      <c r="M1708" s="10">
        <v>8.9899999999999994E-2</v>
      </c>
      <c r="N1708" s="6" t="s">
        <v>7710</v>
      </c>
      <c r="O1708" s="11">
        <v>5600</v>
      </c>
      <c r="P1708" s="11"/>
      <c r="Q1708" s="18">
        <v>700</v>
      </c>
      <c r="R1708" s="19"/>
    </row>
    <row r="1709" spans="1:18" ht="28.8" x14ac:dyDescent="0.3">
      <c r="A1709" s="6" t="s">
        <v>7711</v>
      </c>
      <c r="B1709" s="7" t="s">
        <v>6419</v>
      </c>
      <c r="C1709" s="17" t="s">
        <v>4251</v>
      </c>
      <c r="D1709" s="17"/>
      <c r="E1709" s="8">
        <v>18454</v>
      </c>
      <c r="F1709" s="9">
        <v>72</v>
      </c>
      <c r="G1709" s="6" t="s">
        <v>7712</v>
      </c>
      <c r="H1709" s="7" t="s">
        <v>39</v>
      </c>
      <c r="I1709" s="6" t="s">
        <v>67</v>
      </c>
      <c r="J1709" s="7" t="s">
        <v>41</v>
      </c>
      <c r="K1709" s="7" t="s">
        <v>26</v>
      </c>
      <c r="L1709" s="9">
        <v>71</v>
      </c>
      <c r="M1709" s="10">
        <v>5.28E-2</v>
      </c>
      <c r="N1709" s="6" t="s">
        <v>7713</v>
      </c>
      <c r="O1709" s="11">
        <v>6400</v>
      </c>
      <c r="P1709" s="11"/>
      <c r="Q1709" s="18">
        <v>800</v>
      </c>
      <c r="R1709" s="19"/>
    </row>
    <row r="1710" spans="1:18" ht="28.8" hidden="1" x14ac:dyDescent="0.3">
      <c r="A1710" s="6" t="s">
        <v>7714</v>
      </c>
      <c r="B1710" s="7" t="s">
        <v>81</v>
      </c>
      <c r="C1710" s="17" t="s">
        <v>7715</v>
      </c>
      <c r="D1710" s="17"/>
      <c r="E1710" s="8">
        <v>17670</v>
      </c>
      <c r="F1710" s="9">
        <v>74</v>
      </c>
      <c r="G1710" s="6" t="s">
        <v>7716</v>
      </c>
      <c r="H1710" s="7" t="s">
        <v>39</v>
      </c>
      <c r="I1710" s="6" t="s">
        <v>1160</v>
      </c>
      <c r="J1710" s="7" t="s">
        <v>20</v>
      </c>
      <c r="K1710" s="7" t="s">
        <v>26</v>
      </c>
      <c r="L1710" s="6"/>
      <c r="M1710" s="10">
        <v>5.67E-2</v>
      </c>
      <c r="N1710" s="6" t="s">
        <v>7717</v>
      </c>
      <c r="O1710" s="11">
        <v>3200</v>
      </c>
      <c r="P1710" s="11"/>
      <c r="Q1710" s="18">
        <v>400</v>
      </c>
      <c r="R1710" s="19"/>
    </row>
    <row r="1711" spans="1:18" hidden="1" x14ac:dyDescent="0.3">
      <c r="A1711" s="6" t="s">
        <v>7718</v>
      </c>
      <c r="B1711" s="7" t="s">
        <v>7719</v>
      </c>
      <c r="C1711" s="17" t="s">
        <v>4390</v>
      </c>
      <c r="D1711" s="17"/>
      <c r="E1711" s="8">
        <v>17934</v>
      </c>
      <c r="F1711" s="9">
        <v>73</v>
      </c>
      <c r="G1711" s="6" t="s">
        <v>7720</v>
      </c>
      <c r="H1711" s="7" t="s">
        <v>25</v>
      </c>
      <c r="I1711" s="6"/>
      <c r="J1711" s="7" t="s">
        <v>20</v>
      </c>
      <c r="K1711" s="7" t="s">
        <v>26</v>
      </c>
      <c r="L1711" s="6"/>
      <c r="M1711" s="10">
        <v>5.5300000000000002E-2</v>
      </c>
      <c r="N1711" s="6" t="s">
        <v>7721</v>
      </c>
      <c r="O1711" s="11">
        <v>32662.720000000001</v>
      </c>
      <c r="P1711" s="11"/>
      <c r="Q1711" s="18">
        <v>359.82</v>
      </c>
      <c r="R1711" s="19"/>
    </row>
    <row r="1712" spans="1:18" ht="43.2" hidden="1" x14ac:dyDescent="0.3">
      <c r="A1712" s="6" t="s">
        <v>7722</v>
      </c>
      <c r="B1712" s="7" t="s">
        <v>140</v>
      </c>
      <c r="C1712" s="17" t="s">
        <v>2503</v>
      </c>
      <c r="D1712" s="17"/>
      <c r="E1712" s="8">
        <v>16599</v>
      </c>
      <c r="F1712" s="9">
        <v>77</v>
      </c>
      <c r="G1712" s="6" t="s">
        <v>7723</v>
      </c>
      <c r="H1712" s="7" t="s">
        <v>39</v>
      </c>
      <c r="I1712" s="6" t="s">
        <v>2805</v>
      </c>
      <c r="J1712" s="7" t="s">
        <v>20</v>
      </c>
      <c r="K1712" s="7" t="s">
        <v>32</v>
      </c>
      <c r="L1712" s="6"/>
      <c r="M1712" s="10">
        <v>6.1699999999999998E-2</v>
      </c>
      <c r="N1712" s="6" t="s">
        <v>7724</v>
      </c>
      <c r="O1712" s="11">
        <v>30000</v>
      </c>
      <c r="P1712" s="11"/>
      <c r="Q1712" s="18">
        <v>30000</v>
      </c>
      <c r="R1712" s="19"/>
    </row>
    <row r="1713" spans="1:18" x14ac:dyDescent="0.3">
      <c r="A1713" s="6" t="s">
        <v>7725</v>
      </c>
      <c r="B1713" s="7" t="s">
        <v>4050</v>
      </c>
      <c r="C1713" s="17" t="s">
        <v>7726</v>
      </c>
      <c r="D1713" s="17"/>
      <c r="E1713" s="8">
        <v>16723</v>
      </c>
      <c r="F1713" s="9">
        <v>77</v>
      </c>
      <c r="G1713" s="6" t="s">
        <v>7727</v>
      </c>
      <c r="H1713" s="7" t="s">
        <v>25</v>
      </c>
      <c r="I1713" s="6"/>
      <c r="J1713" s="7" t="s">
        <v>41</v>
      </c>
      <c r="K1713" s="7" t="s">
        <v>26</v>
      </c>
      <c r="L1713" s="9">
        <v>74</v>
      </c>
      <c r="M1713" s="10">
        <v>5.67E-2</v>
      </c>
      <c r="N1713" s="6" t="s">
        <v>7728</v>
      </c>
      <c r="O1713" s="11">
        <v>2166.48</v>
      </c>
      <c r="P1713" s="11"/>
      <c r="Q1713" s="18">
        <v>270.81</v>
      </c>
      <c r="R1713" s="19"/>
    </row>
    <row r="1714" spans="1:18" ht="43.2" hidden="1" x14ac:dyDescent="0.3">
      <c r="A1714" s="6" t="s">
        <v>7729</v>
      </c>
      <c r="B1714" s="7" t="s">
        <v>7730</v>
      </c>
      <c r="C1714" s="17" t="s">
        <v>7731</v>
      </c>
      <c r="D1714" s="17"/>
      <c r="E1714" s="8">
        <v>17011</v>
      </c>
      <c r="F1714" s="9">
        <v>76</v>
      </c>
      <c r="G1714" s="6" t="s">
        <v>7732</v>
      </c>
      <c r="H1714" s="7" t="s">
        <v>39</v>
      </c>
      <c r="I1714" s="6" t="s">
        <v>538</v>
      </c>
      <c r="J1714" s="7" t="s">
        <v>20</v>
      </c>
      <c r="K1714" s="7" t="s">
        <v>26</v>
      </c>
      <c r="L1714" s="6"/>
      <c r="M1714" s="10">
        <v>5.9799999999999999E-2</v>
      </c>
      <c r="N1714" s="6" t="s">
        <v>7733</v>
      </c>
      <c r="O1714" s="11">
        <v>12800</v>
      </c>
      <c r="P1714" s="11"/>
      <c r="Q1714" s="18">
        <v>1600</v>
      </c>
      <c r="R1714" s="19"/>
    </row>
    <row r="1715" spans="1:18" ht="43.2" x14ac:dyDescent="0.3">
      <c r="A1715" s="6" t="s">
        <v>7734</v>
      </c>
      <c r="B1715" s="7" t="s">
        <v>7735</v>
      </c>
      <c r="C1715" s="17" t="s">
        <v>7736</v>
      </c>
      <c r="D1715" s="17"/>
      <c r="E1715" s="8">
        <v>17840</v>
      </c>
      <c r="F1715" s="9">
        <v>74</v>
      </c>
      <c r="G1715" s="6" t="s">
        <v>7737</v>
      </c>
      <c r="H1715" s="7" t="s">
        <v>39</v>
      </c>
      <c r="I1715" s="6" t="s">
        <v>40</v>
      </c>
      <c r="J1715" s="7" t="s">
        <v>41</v>
      </c>
      <c r="K1715" s="7" t="s">
        <v>26</v>
      </c>
      <c r="L1715" s="9">
        <v>63</v>
      </c>
      <c r="M1715" s="10">
        <v>3.6999999999999998E-2</v>
      </c>
      <c r="N1715" s="6" t="s">
        <v>7738</v>
      </c>
      <c r="O1715" s="11">
        <v>24000</v>
      </c>
      <c r="P1715" s="11"/>
      <c r="Q1715" s="18">
        <v>3000</v>
      </c>
      <c r="R1715" s="19"/>
    </row>
    <row r="1716" spans="1:18" ht="43.2" hidden="1" x14ac:dyDescent="0.3">
      <c r="A1716" s="6" t="s">
        <v>7739</v>
      </c>
      <c r="B1716" s="7" t="s">
        <v>977</v>
      </c>
      <c r="C1716" s="17" t="s">
        <v>7740</v>
      </c>
      <c r="D1716" s="17"/>
      <c r="E1716" s="8">
        <v>17509</v>
      </c>
      <c r="F1716" s="9">
        <v>75</v>
      </c>
      <c r="G1716" s="6" t="s">
        <v>7741</v>
      </c>
      <c r="H1716" s="7" t="s">
        <v>39</v>
      </c>
      <c r="I1716" s="6" t="s">
        <v>7742</v>
      </c>
      <c r="J1716" s="7" t="s">
        <v>20</v>
      </c>
      <c r="K1716" s="7" t="s">
        <v>26</v>
      </c>
      <c r="L1716" s="6"/>
      <c r="M1716" s="10">
        <v>5.8200000000000002E-2</v>
      </c>
      <c r="N1716" s="6" t="s">
        <v>7743</v>
      </c>
      <c r="O1716" s="11">
        <v>13200</v>
      </c>
      <c r="P1716" s="11"/>
      <c r="Q1716" s="18">
        <v>1650</v>
      </c>
      <c r="R1716" s="19"/>
    </row>
    <row r="1717" spans="1:18" hidden="1" x14ac:dyDescent="0.3">
      <c r="A1717" s="6" t="s">
        <v>7744</v>
      </c>
      <c r="B1717" s="7" t="s">
        <v>1477</v>
      </c>
      <c r="C1717" s="17" t="s">
        <v>7745</v>
      </c>
      <c r="D1717" s="17"/>
      <c r="E1717" s="8">
        <v>16965</v>
      </c>
      <c r="F1717" s="9">
        <v>76</v>
      </c>
      <c r="G1717" s="6" t="s">
        <v>7746</v>
      </c>
      <c r="H1717" s="7" t="s">
        <v>25</v>
      </c>
      <c r="I1717" s="6"/>
      <c r="J1717" s="7" t="s">
        <v>20</v>
      </c>
      <c r="K1717" s="7" t="s">
        <v>26</v>
      </c>
      <c r="L1717" s="6"/>
      <c r="M1717" s="10">
        <v>5.9799999999999999E-2</v>
      </c>
      <c r="N1717" s="6" t="s">
        <v>7747</v>
      </c>
      <c r="O1717" s="11">
        <v>10952.4</v>
      </c>
      <c r="P1717" s="11"/>
      <c r="Q1717" s="18">
        <v>240.24</v>
      </c>
      <c r="R1717" s="19"/>
    </row>
    <row r="1718" spans="1:18" ht="43.2" hidden="1" x14ac:dyDescent="0.3">
      <c r="A1718" s="6" t="s">
        <v>7748</v>
      </c>
      <c r="B1718" s="7" t="s">
        <v>2110</v>
      </c>
      <c r="C1718" s="17" t="s">
        <v>7749</v>
      </c>
      <c r="D1718" s="17"/>
      <c r="E1718" s="8">
        <v>17229</v>
      </c>
      <c r="F1718" s="9">
        <v>75</v>
      </c>
      <c r="G1718" s="6" t="s">
        <v>7750</v>
      </c>
      <c r="H1718" s="7" t="s">
        <v>39</v>
      </c>
      <c r="I1718" s="6" t="s">
        <v>106</v>
      </c>
      <c r="J1718" s="7" t="s">
        <v>20</v>
      </c>
      <c r="K1718" s="7" t="s">
        <v>26</v>
      </c>
      <c r="L1718" s="6"/>
      <c r="M1718" s="10">
        <v>5.8200000000000002E-2</v>
      </c>
      <c r="N1718" s="6" t="s">
        <v>7751</v>
      </c>
      <c r="O1718" s="11">
        <v>32000</v>
      </c>
      <c r="P1718" s="11"/>
      <c r="Q1718" s="18">
        <v>4000</v>
      </c>
      <c r="R1718" s="19"/>
    </row>
    <row r="1719" spans="1:18" ht="43.2" hidden="1" x14ac:dyDescent="0.3">
      <c r="A1719" s="6" t="s">
        <v>7752</v>
      </c>
      <c r="B1719" s="7" t="s">
        <v>81</v>
      </c>
      <c r="C1719" s="17" t="s">
        <v>2612</v>
      </c>
      <c r="D1719" s="17"/>
      <c r="E1719" s="8">
        <v>18078</v>
      </c>
      <c r="F1719" s="9">
        <v>73</v>
      </c>
      <c r="G1719" s="6" t="s">
        <v>7753</v>
      </c>
      <c r="H1719" s="7" t="s">
        <v>39</v>
      </c>
      <c r="I1719" s="6" t="s">
        <v>4962</v>
      </c>
      <c r="J1719" s="7" t="s">
        <v>20</v>
      </c>
      <c r="K1719" s="7" t="s">
        <v>26</v>
      </c>
      <c r="L1719" s="6"/>
      <c r="M1719" s="10">
        <v>5.5300000000000002E-2</v>
      </c>
      <c r="N1719" s="6" t="s">
        <v>7754</v>
      </c>
      <c r="O1719" s="11">
        <v>52000</v>
      </c>
      <c r="P1719" s="11"/>
      <c r="Q1719" s="18">
        <v>6500</v>
      </c>
      <c r="R1719" s="19"/>
    </row>
    <row r="1720" spans="1:18" ht="43.2" x14ac:dyDescent="0.3">
      <c r="A1720" s="6" t="s">
        <v>7755</v>
      </c>
      <c r="B1720" s="7" t="s">
        <v>115</v>
      </c>
      <c r="C1720" s="17" t="s">
        <v>7756</v>
      </c>
      <c r="D1720" s="17"/>
      <c r="E1720" s="8">
        <v>16983</v>
      </c>
      <c r="F1720" s="9">
        <v>76</v>
      </c>
      <c r="G1720" s="6" t="s">
        <v>7757</v>
      </c>
      <c r="H1720" s="7" t="s">
        <v>39</v>
      </c>
      <c r="I1720" s="6" t="s">
        <v>2646</v>
      </c>
      <c r="J1720" s="7" t="s">
        <v>41</v>
      </c>
      <c r="K1720" s="7" t="s">
        <v>26</v>
      </c>
      <c r="L1720" s="9">
        <v>73</v>
      </c>
      <c r="M1720" s="10">
        <v>5.5300000000000002E-2</v>
      </c>
      <c r="N1720" s="6" t="s">
        <v>7758</v>
      </c>
      <c r="O1720" s="11">
        <v>13600</v>
      </c>
      <c r="P1720" s="11"/>
      <c r="Q1720" s="18">
        <v>1700</v>
      </c>
      <c r="R1720" s="19"/>
    </row>
    <row r="1721" spans="1:18" ht="43.2" hidden="1" x14ac:dyDescent="0.3">
      <c r="A1721" s="6" t="s">
        <v>7759</v>
      </c>
      <c r="B1721" s="7" t="s">
        <v>7760</v>
      </c>
      <c r="C1721" s="17" t="s">
        <v>7761</v>
      </c>
      <c r="D1721" s="17"/>
      <c r="E1721" s="8">
        <v>16398</v>
      </c>
      <c r="F1721" s="9">
        <v>78</v>
      </c>
      <c r="G1721" s="6" t="s">
        <v>7762</v>
      </c>
      <c r="H1721" s="7" t="s">
        <v>39</v>
      </c>
      <c r="I1721" s="6" t="s">
        <v>7763</v>
      </c>
      <c r="J1721" s="7" t="s">
        <v>20</v>
      </c>
      <c r="K1721" s="7" t="s">
        <v>26</v>
      </c>
      <c r="L1721" s="6"/>
      <c r="M1721" s="10">
        <v>6.3600000000000004E-2</v>
      </c>
      <c r="N1721" s="6" t="s">
        <v>7764</v>
      </c>
      <c r="O1721" s="11">
        <v>8618.9599999999991</v>
      </c>
      <c r="P1721" s="11"/>
      <c r="Q1721" s="18">
        <v>1077.3699999999999</v>
      </c>
      <c r="R1721" s="19"/>
    </row>
    <row r="1722" spans="1:18" ht="43.2" hidden="1" x14ac:dyDescent="0.3">
      <c r="A1722" s="6" t="s">
        <v>7765</v>
      </c>
      <c r="B1722" s="7" t="s">
        <v>247</v>
      </c>
      <c r="C1722" s="17" t="s">
        <v>3897</v>
      </c>
      <c r="D1722" s="17"/>
      <c r="E1722" s="8">
        <v>17750</v>
      </c>
      <c r="F1722" s="9">
        <v>74</v>
      </c>
      <c r="G1722" s="6" t="s">
        <v>7766</v>
      </c>
      <c r="H1722" s="7" t="s">
        <v>39</v>
      </c>
      <c r="I1722" s="6" t="s">
        <v>7767</v>
      </c>
      <c r="J1722" s="7" t="s">
        <v>20</v>
      </c>
      <c r="K1722" s="7" t="s">
        <v>32</v>
      </c>
      <c r="L1722" s="6"/>
      <c r="M1722" s="10">
        <v>5.67E-2</v>
      </c>
      <c r="N1722" s="6" t="s">
        <v>7768</v>
      </c>
      <c r="O1722" s="11">
        <v>17471.5</v>
      </c>
      <c r="P1722" s="11"/>
      <c r="Q1722" s="18">
        <v>3971.5</v>
      </c>
      <c r="R1722" s="19"/>
    </row>
    <row r="1723" spans="1:18" ht="43.2" x14ac:dyDescent="0.3">
      <c r="A1723" s="6" t="s">
        <v>7769</v>
      </c>
      <c r="B1723" s="7" t="s">
        <v>270</v>
      </c>
      <c r="C1723" s="17" t="s">
        <v>7770</v>
      </c>
      <c r="D1723" s="17"/>
      <c r="E1723" s="8">
        <v>17559</v>
      </c>
      <c r="F1723" s="9">
        <v>74</v>
      </c>
      <c r="G1723" s="6" t="s">
        <v>7771</v>
      </c>
      <c r="H1723" s="7" t="s">
        <v>39</v>
      </c>
      <c r="I1723" s="6" t="s">
        <v>522</v>
      </c>
      <c r="J1723" s="7" t="s">
        <v>41</v>
      </c>
      <c r="K1723" s="7" t="s">
        <v>26</v>
      </c>
      <c r="L1723" s="9">
        <v>70</v>
      </c>
      <c r="M1723" s="10">
        <v>0.05</v>
      </c>
      <c r="N1723" s="6" t="s">
        <v>7772</v>
      </c>
      <c r="O1723" s="11">
        <v>28800</v>
      </c>
      <c r="P1723" s="11"/>
      <c r="Q1723" s="18">
        <v>3600</v>
      </c>
      <c r="R1723" s="19"/>
    </row>
    <row r="1724" spans="1:18" hidden="1" x14ac:dyDescent="0.3">
      <c r="A1724" s="6" t="s">
        <v>7773</v>
      </c>
      <c r="B1724" s="7" t="s">
        <v>7397</v>
      </c>
      <c r="C1724" s="17" t="s">
        <v>7774</v>
      </c>
      <c r="D1724" s="17"/>
      <c r="E1724" s="8">
        <v>17651</v>
      </c>
      <c r="F1724" s="9">
        <v>74</v>
      </c>
      <c r="G1724" s="6" t="s">
        <v>7775</v>
      </c>
      <c r="H1724" s="7" t="s">
        <v>25</v>
      </c>
      <c r="I1724" s="6"/>
      <c r="J1724" s="7" t="s">
        <v>20</v>
      </c>
      <c r="K1724" s="7" t="s">
        <v>26</v>
      </c>
      <c r="L1724" s="6"/>
      <c r="M1724" s="10">
        <v>5.67E-2</v>
      </c>
      <c r="N1724" s="6" t="s">
        <v>7776</v>
      </c>
      <c r="O1724" s="11">
        <v>3999.68</v>
      </c>
      <c r="P1724" s="11"/>
      <c r="Q1724" s="18">
        <v>499.96</v>
      </c>
      <c r="R1724" s="19"/>
    </row>
    <row r="1725" spans="1:18" ht="43.2" hidden="1" x14ac:dyDescent="0.3">
      <c r="A1725" s="6" t="s">
        <v>7777</v>
      </c>
      <c r="B1725" s="7" t="s">
        <v>349</v>
      </c>
      <c r="C1725" s="17" t="s">
        <v>7778</v>
      </c>
      <c r="D1725" s="17"/>
      <c r="E1725" s="8">
        <v>17045</v>
      </c>
      <c r="F1725" s="9">
        <v>76</v>
      </c>
      <c r="G1725" s="6" t="s">
        <v>7779</v>
      </c>
      <c r="H1725" s="7" t="s">
        <v>39</v>
      </c>
      <c r="I1725" s="6" t="s">
        <v>132</v>
      </c>
      <c r="J1725" s="7" t="s">
        <v>20</v>
      </c>
      <c r="K1725" s="7" t="s">
        <v>26</v>
      </c>
      <c r="L1725" s="6"/>
      <c r="M1725" s="10">
        <v>5.9799999999999999E-2</v>
      </c>
      <c r="N1725" s="6" t="s">
        <v>7780</v>
      </c>
      <c r="O1725" s="11">
        <v>12000</v>
      </c>
      <c r="P1725" s="11"/>
      <c r="Q1725" s="18">
        <v>1500</v>
      </c>
      <c r="R1725" s="19"/>
    </row>
    <row r="1726" spans="1:18" ht="43.2" hidden="1" x14ac:dyDescent="0.3">
      <c r="A1726" s="6" t="s">
        <v>7781</v>
      </c>
      <c r="B1726" s="7" t="s">
        <v>6419</v>
      </c>
      <c r="C1726" s="17" t="s">
        <v>7782</v>
      </c>
      <c r="D1726" s="17"/>
      <c r="E1726" s="8">
        <v>18409</v>
      </c>
      <c r="F1726" s="9">
        <v>72</v>
      </c>
      <c r="G1726" s="6" t="s">
        <v>7783</v>
      </c>
      <c r="H1726" s="7" t="s">
        <v>39</v>
      </c>
      <c r="I1726" s="6" t="s">
        <v>6817</v>
      </c>
      <c r="J1726" s="7" t="s">
        <v>20</v>
      </c>
      <c r="K1726" s="7" t="s">
        <v>26</v>
      </c>
      <c r="L1726" s="6"/>
      <c r="M1726" s="10">
        <v>5.3999999999999999E-2</v>
      </c>
      <c r="N1726" s="6" t="s">
        <v>7784</v>
      </c>
      <c r="O1726" s="11">
        <v>8400</v>
      </c>
      <c r="P1726" s="11"/>
      <c r="Q1726" s="18">
        <v>1050</v>
      </c>
      <c r="R1726" s="19"/>
    </row>
    <row r="1727" spans="1:18" ht="28.8" hidden="1" x14ac:dyDescent="0.3">
      <c r="A1727" s="6" t="s">
        <v>7785</v>
      </c>
      <c r="B1727" s="7" t="s">
        <v>859</v>
      </c>
      <c r="C1727" s="17" t="s">
        <v>7786</v>
      </c>
      <c r="D1727" s="17"/>
      <c r="E1727" s="8">
        <v>17321</v>
      </c>
      <c r="F1727" s="9">
        <v>75</v>
      </c>
      <c r="G1727" s="6" t="s">
        <v>7787</v>
      </c>
      <c r="H1727" s="7" t="s">
        <v>39</v>
      </c>
      <c r="I1727" s="6" t="s">
        <v>1160</v>
      </c>
      <c r="J1727" s="7" t="s">
        <v>20</v>
      </c>
      <c r="K1727" s="7" t="s">
        <v>26</v>
      </c>
      <c r="L1727" s="6"/>
      <c r="M1727" s="10">
        <v>5.8200000000000002E-2</v>
      </c>
      <c r="N1727" s="6" t="s">
        <v>5672</v>
      </c>
      <c r="O1727" s="11">
        <v>3200</v>
      </c>
      <c r="P1727" s="11"/>
      <c r="Q1727" s="18">
        <v>400</v>
      </c>
      <c r="R1727" s="19"/>
    </row>
    <row r="1728" spans="1:18" ht="43.2" x14ac:dyDescent="0.3">
      <c r="A1728" s="6" t="s">
        <v>7788</v>
      </c>
      <c r="B1728" s="7" t="s">
        <v>7789</v>
      </c>
      <c r="C1728" s="17" t="s">
        <v>3306</v>
      </c>
      <c r="D1728" s="17"/>
      <c r="E1728" s="8">
        <v>18083</v>
      </c>
      <c r="F1728" s="9">
        <v>73</v>
      </c>
      <c r="G1728" s="6" t="s">
        <v>7790</v>
      </c>
      <c r="H1728" s="7" t="s">
        <v>39</v>
      </c>
      <c r="I1728" s="6" t="s">
        <v>415</v>
      </c>
      <c r="J1728" s="7" t="s">
        <v>41</v>
      </c>
      <c r="K1728" s="7" t="s">
        <v>26</v>
      </c>
      <c r="L1728" s="9">
        <v>68</v>
      </c>
      <c r="M1728" s="10">
        <v>4.5499999999999999E-2</v>
      </c>
      <c r="N1728" s="6" t="s">
        <v>7791</v>
      </c>
      <c r="O1728" s="11">
        <v>16800</v>
      </c>
      <c r="P1728" s="11"/>
      <c r="Q1728" s="18">
        <v>2100</v>
      </c>
      <c r="R1728" s="19"/>
    </row>
    <row r="1729" spans="1:18" ht="43.2" hidden="1" x14ac:dyDescent="0.3">
      <c r="A1729" s="6" t="s">
        <v>7792</v>
      </c>
      <c r="B1729" s="7" t="s">
        <v>7793</v>
      </c>
      <c r="C1729" s="17" t="s">
        <v>7794</v>
      </c>
      <c r="D1729" s="17"/>
      <c r="E1729" s="8">
        <v>17181</v>
      </c>
      <c r="F1729" s="9">
        <v>75</v>
      </c>
      <c r="G1729" s="6" t="s">
        <v>7795</v>
      </c>
      <c r="H1729" s="7" t="s">
        <v>39</v>
      </c>
      <c r="I1729" s="6" t="s">
        <v>132</v>
      </c>
      <c r="J1729" s="7" t="s">
        <v>20</v>
      </c>
      <c r="K1729" s="7" t="s">
        <v>26</v>
      </c>
      <c r="L1729" s="6"/>
      <c r="M1729" s="10">
        <v>5.8200000000000002E-2</v>
      </c>
      <c r="N1729" s="6" t="s">
        <v>7796</v>
      </c>
      <c r="O1729" s="11">
        <v>12000</v>
      </c>
      <c r="P1729" s="11"/>
      <c r="Q1729" s="18">
        <v>1500</v>
      </c>
      <c r="R1729" s="19"/>
    </row>
    <row r="1730" spans="1:18" ht="43.2" x14ac:dyDescent="0.3">
      <c r="A1730" s="6" t="s">
        <v>7797</v>
      </c>
      <c r="B1730" s="7" t="s">
        <v>7798</v>
      </c>
      <c r="C1730" s="17" t="s">
        <v>7799</v>
      </c>
      <c r="D1730" s="17"/>
      <c r="E1730" s="8">
        <v>16257</v>
      </c>
      <c r="F1730" s="9">
        <v>78</v>
      </c>
      <c r="G1730" s="6" t="s">
        <v>7800</v>
      </c>
      <c r="H1730" s="7" t="s">
        <v>39</v>
      </c>
      <c r="I1730" s="6" t="s">
        <v>47</v>
      </c>
      <c r="J1730" s="7" t="s">
        <v>41</v>
      </c>
      <c r="K1730" s="7" t="s">
        <v>26</v>
      </c>
      <c r="L1730" s="9">
        <v>72</v>
      </c>
      <c r="M1730" s="10">
        <v>5.3999999999999999E-2</v>
      </c>
      <c r="N1730" s="6" t="s">
        <v>7801</v>
      </c>
      <c r="O1730" s="11">
        <v>8000</v>
      </c>
      <c r="P1730" s="11"/>
      <c r="Q1730" s="18">
        <v>1000</v>
      </c>
      <c r="R1730" s="19"/>
    </row>
    <row r="1731" spans="1:18" hidden="1" x14ac:dyDescent="0.3">
      <c r="A1731" s="6" t="s">
        <v>7802</v>
      </c>
      <c r="B1731" s="7" t="s">
        <v>7803</v>
      </c>
      <c r="C1731" s="17" t="s">
        <v>3044</v>
      </c>
      <c r="D1731" s="17"/>
      <c r="E1731" s="8">
        <v>15741</v>
      </c>
      <c r="F1731" s="9">
        <v>79</v>
      </c>
      <c r="G1731" s="6" t="s">
        <v>7804</v>
      </c>
      <c r="H1731" s="7" t="s">
        <v>25</v>
      </c>
      <c r="I1731" s="6"/>
      <c r="J1731" s="7" t="s">
        <v>20</v>
      </c>
      <c r="K1731" s="7" t="s">
        <v>26</v>
      </c>
      <c r="L1731" s="6"/>
      <c r="M1731" s="10">
        <v>6.5799999999999997E-2</v>
      </c>
      <c r="N1731" s="6" t="s">
        <v>7805</v>
      </c>
      <c r="O1731" s="11">
        <v>6884.08</v>
      </c>
      <c r="P1731" s="11"/>
      <c r="Q1731" s="18">
        <v>860.51</v>
      </c>
      <c r="R1731" s="19"/>
    </row>
    <row r="1732" spans="1:18" ht="43.2" hidden="1" x14ac:dyDescent="0.3">
      <c r="A1732" s="6" t="s">
        <v>7806</v>
      </c>
      <c r="B1732" s="7" t="s">
        <v>240</v>
      </c>
      <c r="C1732" s="17" t="s">
        <v>3044</v>
      </c>
      <c r="D1732" s="17"/>
      <c r="E1732" s="8">
        <v>17995</v>
      </c>
      <c r="F1732" s="9">
        <v>73</v>
      </c>
      <c r="G1732" s="6" t="s">
        <v>7807</v>
      </c>
      <c r="H1732" s="7" t="s">
        <v>39</v>
      </c>
      <c r="I1732" s="6" t="s">
        <v>7808</v>
      </c>
      <c r="J1732" s="7" t="s">
        <v>20</v>
      </c>
      <c r="K1732" s="7" t="s">
        <v>26</v>
      </c>
      <c r="L1732" s="6"/>
      <c r="M1732" s="10">
        <v>5.5300000000000002E-2</v>
      </c>
      <c r="N1732" s="6" t="s">
        <v>7809</v>
      </c>
      <c r="O1732" s="11">
        <v>10678.48</v>
      </c>
      <c r="P1732" s="11"/>
      <c r="Q1732" s="18">
        <v>1334.81</v>
      </c>
      <c r="R1732" s="19"/>
    </row>
    <row r="1733" spans="1:18" hidden="1" x14ac:dyDescent="0.3">
      <c r="A1733" s="6" t="s">
        <v>7810</v>
      </c>
      <c r="B1733" s="7" t="s">
        <v>830</v>
      </c>
      <c r="C1733" s="17" t="s">
        <v>3044</v>
      </c>
      <c r="D1733" s="17"/>
      <c r="E1733" s="8">
        <v>18024</v>
      </c>
      <c r="F1733" s="9">
        <v>73</v>
      </c>
      <c r="G1733" s="6" t="s">
        <v>7811</v>
      </c>
      <c r="H1733" s="7" t="s">
        <v>25</v>
      </c>
      <c r="I1733" s="6"/>
      <c r="J1733" s="7" t="s">
        <v>20</v>
      </c>
      <c r="K1733" s="7" t="s">
        <v>26</v>
      </c>
      <c r="L1733" s="6"/>
      <c r="M1733" s="10">
        <v>5.5300000000000002E-2</v>
      </c>
      <c r="N1733" s="6" t="s">
        <v>7812</v>
      </c>
      <c r="O1733" s="11">
        <v>11020.56</v>
      </c>
      <c r="P1733" s="11"/>
      <c r="Q1733" s="18">
        <v>1377.57</v>
      </c>
      <c r="R1733" s="19"/>
    </row>
    <row r="1734" spans="1:18" ht="43.2" x14ac:dyDescent="0.3">
      <c r="A1734" s="6" t="s">
        <v>7813</v>
      </c>
      <c r="B1734" s="7" t="s">
        <v>7814</v>
      </c>
      <c r="C1734" s="17" t="s">
        <v>3085</v>
      </c>
      <c r="D1734" s="17"/>
      <c r="E1734" s="8">
        <v>17513</v>
      </c>
      <c r="F1734" s="9">
        <v>75</v>
      </c>
      <c r="G1734" s="6" t="s">
        <v>7815</v>
      </c>
      <c r="H1734" s="7" t="s">
        <v>39</v>
      </c>
      <c r="I1734" s="6" t="s">
        <v>1031</v>
      </c>
      <c r="J1734" s="7" t="s">
        <v>41</v>
      </c>
      <c r="K1734" s="7" t="s">
        <v>26</v>
      </c>
      <c r="L1734" s="9">
        <v>72</v>
      </c>
      <c r="M1734" s="10">
        <v>5.3999999999999999E-2</v>
      </c>
      <c r="N1734" s="6" t="s">
        <v>7816</v>
      </c>
      <c r="O1734" s="11">
        <v>18000</v>
      </c>
      <c r="P1734" s="11"/>
      <c r="Q1734" s="18">
        <v>2250</v>
      </c>
      <c r="R1734" s="19"/>
    </row>
    <row r="1735" spans="1:18" hidden="1" x14ac:dyDescent="0.3">
      <c r="A1735" s="6" t="s">
        <v>7817</v>
      </c>
      <c r="B1735" s="7" t="s">
        <v>5266</v>
      </c>
      <c r="C1735" s="17" t="s">
        <v>1038</v>
      </c>
      <c r="D1735" s="17"/>
      <c r="E1735" s="8">
        <v>18474</v>
      </c>
      <c r="F1735" s="9">
        <v>72</v>
      </c>
      <c r="G1735" s="6" t="s">
        <v>7818</v>
      </c>
      <c r="H1735" s="7" t="s">
        <v>25</v>
      </c>
      <c r="I1735" s="6"/>
      <c r="J1735" s="7" t="s">
        <v>20</v>
      </c>
      <c r="K1735" s="7" t="s">
        <v>26</v>
      </c>
      <c r="L1735" s="6"/>
      <c r="M1735" s="10">
        <v>5.3999999999999999E-2</v>
      </c>
      <c r="N1735" s="6" t="s">
        <v>7819</v>
      </c>
      <c r="O1735" s="11">
        <v>26559.439999999999</v>
      </c>
      <c r="P1735" s="11"/>
      <c r="Q1735" s="18">
        <v>7.91</v>
      </c>
      <c r="R1735" s="19"/>
    </row>
    <row r="1736" spans="1:18" ht="43.2" x14ac:dyDescent="0.3">
      <c r="A1736" s="6" t="s">
        <v>7820</v>
      </c>
      <c r="B1736" s="7" t="s">
        <v>81</v>
      </c>
      <c r="C1736" s="17" t="s">
        <v>3702</v>
      </c>
      <c r="D1736" s="17"/>
      <c r="E1736" s="8">
        <v>15693</v>
      </c>
      <c r="F1736" s="9">
        <v>80</v>
      </c>
      <c r="G1736" s="6" t="s">
        <v>7821</v>
      </c>
      <c r="H1736" s="7" t="s">
        <v>39</v>
      </c>
      <c r="I1736" s="6" t="s">
        <v>7822</v>
      </c>
      <c r="J1736" s="7" t="s">
        <v>41</v>
      </c>
      <c r="K1736" s="7" t="s">
        <v>26</v>
      </c>
      <c r="L1736" s="9">
        <v>78</v>
      </c>
      <c r="M1736" s="10">
        <v>6.3600000000000004E-2</v>
      </c>
      <c r="N1736" s="6" t="s">
        <v>7823</v>
      </c>
      <c r="O1736" s="11">
        <v>32800</v>
      </c>
      <c r="P1736" s="11"/>
      <c r="Q1736" s="18">
        <v>4100</v>
      </c>
      <c r="R1736" s="19"/>
    </row>
    <row r="1737" spans="1:18" ht="43.2" hidden="1" x14ac:dyDescent="0.3">
      <c r="A1737" s="6" t="s">
        <v>7824</v>
      </c>
      <c r="B1737" s="7" t="s">
        <v>81</v>
      </c>
      <c r="C1737" s="17" t="s">
        <v>7825</v>
      </c>
      <c r="D1737" s="17"/>
      <c r="E1737" s="8">
        <v>16768</v>
      </c>
      <c r="F1737" s="9">
        <v>77</v>
      </c>
      <c r="G1737" s="6" t="s">
        <v>7826</v>
      </c>
      <c r="H1737" s="7" t="s">
        <v>39</v>
      </c>
      <c r="I1737" s="6" t="s">
        <v>1350</v>
      </c>
      <c r="J1737" s="7" t="s">
        <v>20</v>
      </c>
      <c r="K1737" s="7" t="s">
        <v>26</v>
      </c>
      <c r="L1737" s="6"/>
      <c r="M1737" s="10">
        <v>6.1699999999999998E-2</v>
      </c>
      <c r="N1737" s="6" t="s">
        <v>7827</v>
      </c>
      <c r="O1737" s="11">
        <v>44000</v>
      </c>
      <c r="P1737" s="11"/>
      <c r="Q1737" s="18">
        <v>5500</v>
      </c>
      <c r="R1737" s="19"/>
    </row>
    <row r="1738" spans="1:18" ht="43.2" hidden="1" x14ac:dyDescent="0.3">
      <c r="A1738" s="6" t="s">
        <v>7828</v>
      </c>
      <c r="B1738" s="7" t="s">
        <v>5817</v>
      </c>
      <c r="C1738" s="17" t="s">
        <v>7829</v>
      </c>
      <c r="D1738" s="17"/>
      <c r="E1738" s="8">
        <v>18621</v>
      </c>
      <c r="F1738" s="9">
        <v>72</v>
      </c>
      <c r="G1738" s="6" t="s">
        <v>7830</v>
      </c>
      <c r="H1738" s="7" t="s">
        <v>39</v>
      </c>
      <c r="I1738" s="6" t="s">
        <v>2151</v>
      </c>
      <c r="J1738" s="7" t="s">
        <v>20</v>
      </c>
      <c r="K1738" s="7" t="s">
        <v>32</v>
      </c>
      <c r="L1738" s="6"/>
      <c r="M1738" s="10">
        <v>5.3999999999999999E-2</v>
      </c>
      <c r="N1738" s="6" t="s">
        <v>7831</v>
      </c>
      <c r="O1738" s="11">
        <v>12000</v>
      </c>
      <c r="P1738" s="11"/>
      <c r="Q1738" s="18">
        <v>12000</v>
      </c>
      <c r="R1738" s="19"/>
    </row>
    <row r="1739" spans="1:18" hidden="1" x14ac:dyDescent="0.3">
      <c r="A1739" s="6" t="s">
        <v>7832</v>
      </c>
      <c r="B1739" s="7" t="s">
        <v>1163</v>
      </c>
      <c r="C1739" s="17" t="s">
        <v>3960</v>
      </c>
      <c r="D1739" s="17"/>
      <c r="E1739" s="8">
        <v>17507</v>
      </c>
      <c r="F1739" s="9">
        <v>75</v>
      </c>
      <c r="G1739" s="6" t="s">
        <v>7833</v>
      </c>
      <c r="H1739" s="7" t="s">
        <v>25</v>
      </c>
      <c r="I1739" s="6"/>
      <c r="J1739" s="7" t="s">
        <v>20</v>
      </c>
      <c r="K1739" s="7" t="s">
        <v>26</v>
      </c>
      <c r="L1739" s="6"/>
      <c r="M1739" s="10">
        <v>5.8200000000000002E-2</v>
      </c>
      <c r="N1739" s="6" t="s">
        <v>7834</v>
      </c>
      <c r="O1739" s="11">
        <v>29272</v>
      </c>
      <c r="P1739" s="11"/>
      <c r="Q1739" s="18">
        <v>3659</v>
      </c>
      <c r="R1739" s="19"/>
    </row>
    <row r="1740" spans="1:18" ht="28.8" hidden="1" x14ac:dyDescent="0.3">
      <c r="A1740" s="6" t="s">
        <v>7835</v>
      </c>
      <c r="B1740" s="7" t="s">
        <v>4300</v>
      </c>
      <c r="C1740" s="17" t="s">
        <v>7836</v>
      </c>
      <c r="D1740" s="17"/>
      <c r="E1740" s="8">
        <v>16685</v>
      </c>
      <c r="F1740" s="9">
        <v>77</v>
      </c>
      <c r="G1740" s="6" t="s">
        <v>7837</v>
      </c>
      <c r="H1740" s="7" t="s">
        <v>39</v>
      </c>
      <c r="I1740" s="6" t="s">
        <v>7838</v>
      </c>
      <c r="J1740" s="7" t="s">
        <v>20</v>
      </c>
      <c r="K1740" s="7" t="s">
        <v>26</v>
      </c>
      <c r="L1740" s="6"/>
      <c r="M1740" s="10">
        <v>6.1699999999999998E-2</v>
      </c>
      <c r="N1740" s="6" t="s">
        <v>7839</v>
      </c>
      <c r="O1740" s="11">
        <v>5920</v>
      </c>
      <c r="P1740" s="11"/>
      <c r="Q1740" s="18">
        <v>740</v>
      </c>
      <c r="R1740" s="19"/>
    </row>
    <row r="1741" spans="1:18" ht="43.2" x14ac:dyDescent="0.3">
      <c r="A1741" s="6" t="s">
        <v>7840</v>
      </c>
      <c r="B1741" s="7" t="s">
        <v>7841</v>
      </c>
      <c r="C1741" s="17" t="s">
        <v>3129</v>
      </c>
      <c r="D1741" s="17"/>
      <c r="E1741" s="8">
        <v>16206</v>
      </c>
      <c r="F1741" s="9">
        <v>78</v>
      </c>
      <c r="G1741" s="6" t="s">
        <v>7842</v>
      </c>
      <c r="H1741" s="7" t="s">
        <v>39</v>
      </c>
      <c r="I1741" s="6" t="s">
        <v>1599</v>
      </c>
      <c r="J1741" s="7" t="s">
        <v>41</v>
      </c>
      <c r="K1741" s="7" t="s">
        <v>26</v>
      </c>
      <c r="L1741" s="9">
        <v>73</v>
      </c>
      <c r="M1741" s="10">
        <v>5.5300000000000002E-2</v>
      </c>
      <c r="N1741" s="6" t="s">
        <v>7843</v>
      </c>
      <c r="O1741" s="11">
        <v>25600</v>
      </c>
      <c r="P1741" s="11"/>
      <c r="Q1741" s="18">
        <v>3200</v>
      </c>
      <c r="R1741" s="19"/>
    </row>
    <row r="1742" spans="1:18" ht="28.8" hidden="1" x14ac:dyDescent="0.3">
      <c r="A1742" s="6" t="s">
        <v>7844</v>
      </c>
      <c r="B1742" s="7" t="s">
        <v>173</v>
      </c>
      <c r="C1742" s="17" t="s">
        <v>7845</v>
      </c>
      <c r="D1742" s="17"/>
      <c r="E1742" s="8">
        <v>16295</v>
      </c>
      <c r="F1742" s="9">
        <v>78</v>
      </c>
      <c r="G1742" s="6" t="s">
        <v>7846</v>
      </c>
      <c r="H1742" s="7" t="s">
        <v>39</v>
      </c>
      <c r="I1742" s="6" t="s">
        <v>7847</v>
      </c>
      <c r="J1742" s="7" t="s">
        <v>20</v>
      </c>
      <c r="K1742" s="7" t="s">
        <v>26</v>
      </c>
      <c r="L1742" s="6"/>
      <c r="M1742" s="10">
        <v>6.3600000000000004E-2</v>
      </c>
      <c r="N1742" s="6" t="s">
        <v>7848</v>
      </c>
      <c r="O1742" s="11">
        <v>7358.24</v>
      </c>
      <c r="P1742" s="11"/>
      <c r="Q1742" s="18">
        <v>919.78</v>
      </c>
      <c r="R1742" s="19"/>
    </row>
    <row r="1743" spans="1:18" ht="43.2" x14ac:dyDescent="0.3">
      <c r="A1743" s="6" t="s">
        <v>7849</v>
      </c>
      <c r="B1743" s="7" t="s">
        <v>125</v>
      </c>
      <c r="C1743" s="17" t="s">
        <v>4798</v>
      </c>
      <c r="D1743" s="17"/>
      <c r="E1743" s="8">
        <v>16339</v>
      </c>
      <c r="F1743" s="9">
        <v>78</v>
      </c>
      <c r="G1743" s="6" t="s">
        <v>7850</v>
      </c>
      <c r="H1743" s="7" t="s">
        <v>39</v>
      </c>
      <c r="I1743" s="6" t="s">
        <v>151</v>
      </c>
      <c r="J1743" s="7" t="s">
        <v>41</v>
      </c>
      <c r="K1743" s="7" t="s">
        <v>26</v>
      </c>
      <c r="L1743" s="9">
        <v>71</v>
      </c>
      <c r="M1743" s="10">
        <v>5.28E-2</v>
      </c>
      <c r="N1743" s="6" t="s">
        <v>7851</v>
      </c>
      <c r="O1743" s="11">
        <v>20000</v>
      </c>
      <c r="P1743" s="11"/>
      <c r="Q1743" s="18">
        <v>2500</v>
      </c>
      <c r="R1743" s="19"/>
    </row>
    <row r="1744" spans="1:18" ht="43.2" x14ac:dyDescent="0.3">
      <c r="A1744" s="6" t="s">
        <v>7852</v>
      </c>
      <c r="B1744" s="7" t="s">
        <v>6692</v>
      </c>
      <c r="C1744" s="17" t="s">
        <v>7853</v>
      </c>
      <c r="D1744" s="17"/>
      <c r="E1744" s="8">
        <v>17100</v>
      </c>
      <c r="F1744" s="9">
        <v>76</v>
      </c>
      <c r="G1744" s="6" t="s">
        <v>7854</v>
      </c>
      <c r="H1744" s="7" t="s">
        <v>39</v>
      </c>
      <c r="I1744" s="6" t="s">
        <v>7855</v>
      </c>
      <c r="J1744" s="7" t="s">
        <v>41</v>
      </c>
      <c r="K1744" s="7" t="s">
        <v>26</v>
      </c>
      <c r="L1744" s="9">
        <v>71</v>
      </c>
      <c r="M1744" s="10">
        <v>5.28E-2</v>
      </c>
      <c r="N1744" s="6" t="s">
        <v>7856</v>
      </c>
      <c r="O1744" s="11">
        <v>44013.279999999999</v>
      </c>
      <c r="P1744" s="11"/>
      <c r="Q1744" s="18">
        <v>2376.66</v>
      </c>
      <c r="R1744" s="19"/>
    </row>
    <row r="1745" spans="1:18" ht="43.2" hidden="1" x14ac:dyDescent="0.3">
      <c r="A1745" s="6" t="s">
        <v>7857</v>
      </c>
      <c r="B1745" s="7" t="s">
        <v>235</v>
      </c>
      <c r="C1745" s="17" t="s">
        <v>7858</v>
      </c>
      <c r="D1745" s="17"/>
      <c r="E1745" s="8">
        <v>17628</v>
      </c>
      <c r="F1745" s="9">
        <v>74</v>
      </c>
      <c r="G1745" s="6" t="s">
        <v>7859</v>
      </c>
      <c r="H1745" s="7" t="s">
        <v>39</v>
      </c>
      <c r="I1745" s="6" t="s">
        <v>7860</v>
      </c>
      <c r="J1745" s="7" t="s">
        <v>20</v>
      </c>
      <c r="K1745" s="7" t="s">
        <v>32</v>
      </c>
      <c r="L1745" s="6"/>
      <c r="M1745" s="10">
        <v>5.67E-2</v>
      </c>
      <c r="N1745" s="6" t="s">
        <v>7861</v>
      </c>
      <c r="O1745" s="11">
        <v>53000</v>
      </c>
      <c r="P1745" s="11"/>
      <c r="Q1745" s="18">
        <v>35000</v>
      </c>
      <c r="R1745" s="19"/>
    </row>
    <row r="1746" spans="1:18" ht="28.8" hidden="1" x14ac:dyDescent="0.3">
      <c r="A1746" s="6" t="s">
        <v>7862</v>
      </c>
      <c r="B1746" s="7" t="s">
        <v>7863</v>
      </c>
      <c r="C1746" s="17" t="s">
        <v>7864</v>
      </c>
      <c r="D1746" s="17"/>
      <c r="E1746" s="7" t="s">
        <v>4498</v>
      </c>
      <c r="F1746" s="9">
        <v>76</v>
      </c>
      <c r="G1746" s="6" t="s">
        <v>7865</v>
      </c>
      <c r="H1746" s="7" t="s">
        <v>25</v>
      </c>
      <c r="I1746" s="6" t="s">
        <v>19</v>
      </c>
      <c r="J1746" s="7" t="s">
        <v>20</v>
      </c>
      <c r="K1746" s="7" t="s">
        <v>26</v>
      </c>
      <c r="L1746" s="6"/>
      <c r="M1746" s="10">
        <v>5.9799999999999999E-2</v>
      </c>
      <c r="N1746" s="6" t="s">
        <v>7866</v>
      </c>
      <c r="O1746" s="6" t="s">
        <v>19</v>
      </c>
      <c r="P1746" s="6"/>
      <c r="Q1746" s="19" t="s">
        <v>19</v>
      </c>
      <c r="R1746" s="19"/>
    </row>
    <row r="1747" spans="1:18" hidden="1" x14ac:dyDescent="0.3">
      <c r="A1747" s="6" t="s">
        <v>7867</v>
      </c>
      <c r="B1747" s="7" t="s">
        <v>29</v>
      </c>
      <c r="C1747" s="17" t="s">
        <v>7868</v>
      </c>
      <c r="D1747" s="17"/>
      <c r="E1747" s="7" t="s">
        <v>7869</v>
      </c>
      <c r="F1747" s="9">
        <v>76</v>
      </c>
      <c r="G1747" s="6" t="s">
        <v>7870</v>
      </c>
      <c r="H1747" s="7" t="s">
        <v>25</v>
      </c>
      <c r="I1747" s="6" t="s">
        <v>19</v>
      </c>
      <c r="J1747" s="7" t="s">
        <v>20</v>
      </c>
      <c r="K1747" s="7" t="s">
        <v>26</v>
      </c>
      <c r="L1747" s="6"/>
      <c r="M1747" s="10">
        <v>5.9799999999999999E-2</v>
      </c>
      <c r="N1747" s="6" t="s">
        <v>7871</v>
      </c>
      <c r="O1747" s="6" t="s">
        <v>19</v>
      </c>
      <c r="P1747" s="6"/>
      <c r="Q1747" s="19" t="s">
        <v>19</v>
      </c>
      <c r="R1747" s="19"/>
    </row>
    <row r="1748" spans="1:18" ht="28.8" hidden="1" x14ac:dyDescent="0.3">
      <c r="A1748" s="6" t="s">
        <v>7872</v>
      </c>
      <c r="B1748" s="7" t="s">
        <v>830</v>
      </c>
      <c r="C1748" s="17" t="s">
        <v>7873</v>
      </c>
      <c r="D1748" s="17"/>
      <c r="E1748" s="8">
        <v>17778</v>
      </c>
      <c r="F1748" s="9">
        <v>74</v>
      </c>
      <c r="G1748" s="6" t="s">
        <v>7874</v>
      </c>
      <c r="H1748" s="7" t="s">
        <v>39</v>
      </c>
      <c r="I1748" s="6" t="s">
        <v>2315</v>
      </c>
      <c r="J1748" s="7" t="s">
        <v>20</v>
      </c>
      <c r="K1748" s="7" t="s">
        <v>26</v>
      </c>
      <c r="L1748" s="6"/>
      <c r="M1748" s="10">
        <v>5.67E-2</v>
      </c>
      <c r="N1748" s="6" t="s">
        <v>7875</v>
      </c>
      <c r="O1748" s="11">
        <v>12000</v>
      </c>
      <c r="P1748" s="11"/>
      <c r="Q1748" s="18">
        <v>12000</v>
      </c>
      <c r="R1748" s="19"/>
    </row>
    <row r="1749" spans="1:18" ht="43.2" hidden="1" x14ac:dyDescent="0.3">
      <c r="A1749" s="6" t="s">
        <v>7876</v>
      </c>
      <c r="B1749" s="7" t="s">
        <v>140</v>
      </c>
      <c r="C1749" s="17" t="s">
        <v>7877</v>
      </c>
      <c r="D1749" s="17"/>
      <c r="E1749" s="8">
        <v>18097</v>
      </c>
      <c r="F1749" s="9">
        <v>73</v>
      </c>
      <c r="G1749" s="6" t="s">
        <v>7878</v>
      </c>
      <c r="H1749" s="7" t="s">
        <v>39</v>
      </c>
      <c r="I1749" s="6" t="s">
        <v>7879</v>
      </c>
      <c r="J1749" s="7" t="s">
        <v>20</v>
      </c>
      <c r="K1749" s="7" t="s">
        <v>32</v>
      </c>
      <c r="L1749" s="6"/>
      <c r="M1749" s="10">
        <v>5.5300000000000002E-2</v>
      </c>
      <c r="N1749" s="6" t="s">
        <v>7880</v>
      </c>
      <c r="O1749" s="11">
        <v>16776.37</v>
      </c>
      <c r="P1749" s="11"/>
      <c r="Q1749" s="18">
        <v>16776.37</v>
      </c>
      <c r="R1749" s="19"/>
    </row>
    <row r="1750" spans="1:18" hidden="1" x14ac:dyDescent="0.3">
      <c r="A1750" s="6" t="s">
        <v>7881</v>
      </c>
      <c r="B1750" s="7" t="s">
        <v>140</v>
      </c>
      <c r="C1750" s="17" t="s">
        <v>7882</v>
      </c>
      <c r="D1750" s="17"/>
      <c r="E1750" s="7" t="s">
        <v>7883</v>
      </c>
      <c r="F1750" s="9">
        <v>80</v>
      </c>
      <c r="G1750" s="6" t="s">
        <v>7884</v>
      </c>
      <c r="H1750" s="7" t="s">
        <v>25</v>
      </c>
      <c r="I1750" s="6" t="s">
        <v>19</v>
      </c>
      <c r="J1750" s="7" t="s">
        <v>41</v>
      </c>
      <c r="K1750" s="7" t="s">
        <v>32</v>
      </c>
      <c r="L1750" s="9">
        <v>74</v>
      </c>
      <c r="M1750" s="10">
        <v>5.67E-2</v>
      </c>
      <c r="N1750" s="6" t="s">
        <v>7885</v>
      </c>
      <c r="O1750" s="6" t="s">
        <v>19</v>
      </c>
      <c r="P1750" s="6"/>
      <c r="Q1750" s="19" t="s">
        <v>19</v>
      </c>
      <c r="R1750" s="19"/>
    </row>
    <row r="1751" spans="1:18" x14ac:dyDescent="0.3">
      <c r="A1751" s="6" t="s">
        <v>7886</v>
      </c>
      <c r="B1751" s="7" t="s">
        <v>129</v>
      </c>
      <c r="C1751" s="17" t="s">
        <v>7887</v>
      </c>
      <c r="D1751" s="17"/>
      <c r="E1751" s="8">
        <v>17485</v>
      </c>
      <c r="F1751" s="9">
        <v>75</v>
      </c>
      <c r="G1751" s="6" t="s">
        <v>7888</v>
      </c>
      <c r="H1751" s="7" t="s">
        <v>25</v>
      </c>
      <c r="I1751" s="6"/>
      <c r="J1751" s="7" t="s">
        <v>41</v>
      </c>
      <c r="K1751" s="7" t="s">
        <v>26</v>
      </c>
      <c r="L1751" s="9">
        <v>68</v>
      </c>
      <c r="M1751" s="10">
        <v>4.5499999999999999E-2</v>
      </c>
      <c r="N1751" s="6" t="s">
        <v>7889</v>
      </c>
      <c r="O1751" s="11">
        <v>19778.16</v>
      </c>
      <c r="P1751" s="11"/>
      <c r="Q1751" s="18">
        <v>2472.27</v>
      </c>
      <c r="R1751" s="19"/>
    </row>
    <row r="1752" spans="1:18" ht="43.2" x14ac:dyDescent="0.3">
      <c r="A1752" s="6" t="s">
        <v>7890</v>
      </c>
      <c r="B1752" s="7" t="s">
        <v>7891</v>
      </c>
      <c r="C1752" s="17" t="s">
        <v>4064</v>
      </c>
      <c r="D1752" s="17"/>
      <c r="E1752" s="8">
        <v>18591</v>
      </c>
      <c r="F1752" s="9">
        <v>72</v>
      </c>
      <c r="G1752" s="6" t="s">
        <v>7892</v>
      </c>
      <c r="H1752" s="7" t="s">
        <v>39</v>
      </c>
      <c r="I1752" s="6" t="s">
        <v>151</v>
      </c>
      <c r="J1752" s="7" t="s">
        <v>41</v>
      </c>
      <c r="K1752" s="7" t="s">
        <v>26</v>
      </c>
      <c r="L1752" s="9">
        <v>69</v>
      </c>
      <c r="M1752" s="10">
        <v>4.7600000000000003E-2</v>
      </c>
      <c r="N1752" s="6" t="s">
        <v>7893</v>
      </c>
      <c r="O1752" s="11">
        <v>20000</v>
      </c>
      <c r="P1752" s="11"/>
      <c r="Q1752" s="18">
        <v>94.24</v>
      </c>
      <c r="R1752" s="19"/>
    </row>
    <row r="1753" spans="1:18" ht="43.2" hidden="1" x14ac:dyDescent="0.3">
      <c r="A1753" s="6" t="s">
        <v>7894</v>
      </c>
      <c r="B1753" s="7" t="s">
        <v>1143</v>
      </c>
      <c r="C1753" s="17" t="s">
        <v>7895</v>
      </c>
      <c r="D1753" s="17"/>
      <c r="E1753" s="8">
        <v>17760</v>
      </c>
      <c r="F1753" s="9">
        <v>74</v>
      </c>
      <c r="G1753" s="6" t="s">
        <v>7896</v>
      </c>
      <c r="H1753" s="7" t="s">
        <v>39</v>
      </c>
      <c r="I1753" s="6" t="s">
        <v>398</v>
      </c>
      <c r="J1753" s="7" t="s">
        <v>20</v>
      </c>
      <c r="K1753" s="7" t="s">
        <v>26</v>
      </c>
      <c r="L1753" s="6"/>
      <c r="M1753" s="10">
        <v>5.67E-2</v>
      </c>
      <c r="N1753" s="6" t="s">
        <v>7897</v>
      </c>
      <c r="O1753" s="11">
        <v>15200</v>
      </c>
      <c r="P1753" s="11"/>
      <c r="Q1753" s="18">
        <v>1900</v>
      </c>
      <c r="R1753" s="19"/>
    </row>
    <row r="1754" spans="1:18" hidden="1" x14ac:dyDescent="0.3">
      <c r="A1754" s="6" t="s">
        <v>7898</v>
      </c>
      <c r="B1754" s="7" t="s">
        <v>7899</v>
      </c>
      <c r="C1754" s="17" t="s">
        <v>7900</v>
      </c>
      <c r="D1754" s="17"/>
      <c r="E1754" s="8">
        <v>16854</v>
      </c>
      <c r="F1754" s="9">
        <v>76</v>
      </c>
      <c r="G1754" s="6" t="s">
        <v>7901</v>
      </c>
      <c r="H1754" s="7" t="s">
        <v>25</v>
      </c>
      <c r="I1754" s="6"/>
      <c r="J1754" s="7" t="s">
        <v>20</v>
      </c>
      <c r="K1754" s="7" t="s">
        <v>26</v>
      </c>
      <c r="L1754" s="6"/>
      <c r="M1754" s="10">
        <v>5.9799999999999999E-2</v>
      </c>
      <c r="N1754" s="6" t="s">
        <v>7902</v>
      </c>
      <c r="O1754" s="11">
        <v>52855.76</v>
      </c>
      <c r="P1754" s="11"/>
      <c r="Q1754" s="18">
        <v>6606.97</v>
      </c>
      <c r="R1754" s="19"/>
    </row>
    <row r="1755" spans="1:18" ht="43.2" hidden="1" x14ac:dyDescent="0.3">
      <c r="A1755" s="6" t="s">
        <v>7903</v>
      </c>
      <c r="B1755" s="7" t="s">
        <v>1325</v>
      </c>
      <c r="C1755" s="17" t="s">
        <v>7904</v>
      </c>
      <c r="D1755" s="17"/>
      <c r="E1755" s="8">
        <v>16883</v>
      </c>
      <c r="F1755" s="9">
        <v>76</v>
      </c>
      <c r="G1755" s="6" t="s">
        <v>7905</v>
      </c>
      <c r="H1755" s="7" t="s">
        <v>39</v>
      </c>
      <c r="I1755" s="6" t="s">
        <v>94</v>
      </c>
      <c r="J1755" s="7" t="s">
        <v>20</v>
      </c>
      <c r="K1755" s="7" t="s">
        <v>26</v>
      </c>
      <c r="L1755" s="6"/>
      <c r="M1755" s="10">
        <v>5.9799999999999999E-2</v>
      </c>
      <c r="N1755" s="6" t="s">
        <v>7906</v>
      </c>
      <c r="O1755" s="11">
        <v>22400</v>
      </c>
      <c r="P1755" s="11"/>
      <c r="Q1755" s="18">
        <v>2800</v>
      </c>
      <c r="R1755" s="19"/>
    </row>
    <row r="1756" spans="1:18" ht="43.2" hidden="1" x14ac:dyDescent="0.3">
      <c r="A1756" s="6" t="s">
        <v>7907</v>
      </c>
      <c r="B1756" s="7" t="s">
        <v>2211</v>
      </c>
      <c r="C1756" s="17" t="s">
        <v>7904</v>
      </c>
      <c r="D1756" s="17"/>
      <c r="E1756" s="8">
        <v>16827</v>
      </c>
      <c r="F1756" s="9">
        <v>76</v>
      </c>
      <c r="G1756" s="6" t="s">
        <v>7908</v>
      </c>
      <c r="H1756" s="7" t="s">
        <v>39</v>
      </c>
      <c r="I1756" s="6" t="s">
        <v>1514</v>
      </c>
      <c r="J1756" s="7" t="s">
        <v>20</v>
      </c>
      <c r="K1756" s="7" t="s">
        <v>26</v>
      </c>
      <c r="L1756" s="6"/>
      <c r="M1756" s="10">
        <v>5.9799999999999999E-2</v>
      </c>
      <c r="N1756" s="6" t="s">
        <v>7909</v>
      </c>
      <c r="O1756" s="11">
        <v>21600</v>
      </c>
      <c r="P1756" s="11"/>
      <c r="Q1756" s="18">
        <v>2700</v>
      </c>
      <c r="R1756" s="19"/>
    </row>
    <row r="1757" spans="1:18" ht="43.2" hidden="1" x14ac:dyDescent="0.3">
      <c r="A1757" s="6" t="s">
        <v>7910</v>
      </c>
      <c r="B1757" s="7" t="s">
        <v>456</v>
      </c>
      <c r="C1757" s="17" t="s">
        <v>7911</v>
      </c>
      <c r="D1757" s="17"/>
      <c r="E1757" s="7" t="s">
        <v>6453</v>
      </c>
      <c r="F1757" s="9">
        <v>74</v>
      </c>
      <c r="G1757" s="6" t="s">
        <v>7912</v>
      </c>
      <c r="H1757" s="7" t="s">
        <v>39</v>
      </c>
      <c r="I1757" s="6" t="s">
        <v>877</v>
      </c>
      <c r="J1757" s="7" t="s">
        <v>41</v>
      </c>
      <c r="K1757" s="7" t="s">
        <v>32</v>
      </c>
      <c r="L1757" s="9">
        <v>60</v>
      </c>
      <c r="M1757" s="10">
        <v>3.3300000000000003E-2</v>
      </c>
      <c r="N1757" s="6" t="s">
        <v>7913</v>
      </c>
      <c r="O1757" s="6" t="s">
        <v>19</v>
      </c>
      <c r="P1757" s="6"/>
      <c r="Q1757" s="19" t="s">
        <v>19</v>
      </c>
      <c r="R1757" s="19"/>
    </row>
    <row r="1758" spans="1:18" hidden="1" x14ac:dyDescent="0.3">
      <c r="A1758" s="6" t="s">
        <v>7914</v>
      </c>
      <c r="B1758" s="7" t="s">
        <v>456</v>
      </c>
      <c r="C1758" s="17" t="s">
        <v>7915</v>
      </c>
      <c r="D1758" s="17"/>
      <c r="E1758" s="7" t="s">
        <v>7343</v>
      </c>
      <c r="F1758" s="9">
        <v>73</v>
      </c>
      <c r="G1758" s="6" t="s">
        <v>7916</v>
      </c>
      <c r="H1758" s="7" t="s">
        <v>25</v>
      </c>
      <c r="I1758" s="6" t="s">
        <v>19</v>
      </c>
      <c r="J1758" s="7" t="s">
        <v>41</v>
      </c>
      <c r="K1758" s="7" t="s">
        <v>26</v>
      </c>
      <c r="L1758" s="9">
        <v>71</v>
      </c>
      <c r="M1758" s="10">
        <v>5.28E-2</v>
      </c>
      <c r="N1758" s="6" t="s">
        <v>7917</v>
      </c>
      <c r="O1758" s="6" t="s">
        <v>19</v>
      </c>
      <c r="P1758" s="6"/>
      <c r="Q1758" s="19" t="s">
        <v>19</v>
      </c>
      <c r="R1758" s="19"/>
    </row>
    <row r="1759" spans="1:18" hidden="1" x14ac:dyDescent="0.3">
      <c r="A1759" s="6" t="s">
        <v>7918</v>
      </c>
      <c r="B1759" s="7" t="s">
        <v>531</v>
      </c>
      <c r="C1759" s="17" t="s">
        <v>5806</v>
      </c>
      <c r="D1759" s="17"/>
      <c r="E1759" s="7" t="s">
        <v>7919</v>
      </c>
      <c r="F1759" s="9">
        <v>72</v>
      </c>
      <c r="G1759" s="6" t="s">
        <v>7920</v>
      </c>
      <c r="H1759" s="7" t="s">
        <v>25</v>
      </c>
      <c r="I1759" s="6" t="s">
        <v>19</v>
      </c>
      <c r="J1759" s="7" t="s">
        <v>20</v>
      </c>
      <c r="K1759" s="7" t="s">
        <v>26</v>
      </c>
      <c r="L1759" s="6"/>
      <c r="M1759" s="10">
        <v>5.3999999999999999E-2</v>
      </c>
      <c r="N1759" s="6" t="s">
        <v>7921</v>
      </c>
      <c r="O1759" s="6" t="s">
        <v>19</v>
      </c>
      <c r="P1759" s="6"/>
      <c r="Q1759" s="19" t="s">
        <v>19</v>
      </c>
      <c r="R1759" s="19"/>
    </row>
    <row r="1760" spans="1:18" ht="43.2" hidden="1" x14ac:dyDescent="0.3">
      <c r="A1760" s="6" t="s">
        <v>7922</v>
      </c>
      <c r="B1760" s="7" t="s">
        <v>1038</v>
      </c>
      <c r="C1760" s="17" t="s">
        <v>7923</v>
      </c>
      <c r="D1760" s="17"/>
      <c r="E1760" s="8">
        <v>15530</v>
      </c>
      <c r="F1760" s="9">
        <v>80</v>
      </c>
      <c r="G1760" s="6" t="s">
        <v>7924</v>
      </c>
      <c r="H1760" s="7" t="s">
        <v>39</v>
      </c>
      <c r="I1760" s="6" t="s">
        <v>7925</v>
      </c>
      <c r="J1760" s="7" t="s">
        <v>20</v>
      </c>
      <c r="K1760" s="7" t="s">
        <v>32</v>
      </c>
      <c r="L1760" s="6"/>
      <c r="M1760" s="10">
        <v>6.8199999999999997E-2</v>
      </c>
      <c r="N1760" s="6" t="s">
        <v>7926</v>
      </c>
      <c r="O1760" s="11">
        <v>47000</v>
      </c>
      <c r="P1760" s="11"/>
      <c r="Q1760" s="18">
        <v>47000</v>
      </c>
      <c r="R1760" s="19"/>
    </row>
    <row r="1761" spans="1:18" ht="43.2" x14ac:dyDescent="0.3">
      <c r="A1761" s="6" t="s">
        <v>7927</v>
      </c>
      <c r="B1761" s="7" t="s">
        <v>1129</v>
      </c>
      <c r="C1761" s="17" t="s">
        <v>7928</v>
      </c>
      <c r="D1761" s="17"/>
      <c r="E1761" s="8">
        <v>16826</v>
      </c>
      <c r="F1761" s="9">
        <v>76</v>
      </c>
      <c r="G1761" s="6" t="s">
        <v>7929</v>
      </c>
      <c r="H1761" s="7" t="s">
        <v>39</v>
      </c>
      <c r="I1761" s="6" t="s">
        <v>1147</v>
      </c>
      <c r="J1761" s="7" t="s">
        <v>41</v>
      </c>
      <c r="K1761" s="7" t="s">
        <v>26</v>
      </c>
      <c r="L1761" s="9">
        <v>74</v>
      </c>
      <c r="M1761" s="10">
        <v>5.67E-2</v>
      </c>
      <c r="N1761" s="6" t="s">
        <v>7930</v>
      </c>
      <c r="O1761" s="11">
        <v>24800</v>
      </c>
      <c r="P1761" s="11"/>
      <c r="Q1761" s="18">
        <v>3100</v>
      </c>
      <c r="R1761" s="19"/>
    </row>
    <row r="1762" spans="1:18" hidden="1" x14ac:dyDescent="0.3">
      <c r="A1762" s="6" t="s">
        <v>7931</v>
      </c>
      <c r="B1762" s="7" t="s">
        <v>7932</v>
      </c>
      <c r="C1762" s="17" t="s">
        <v>3995</v>
      </c>
      <c r="D1762" s="17"/>
      <c r="E1762" s="7" t="s">
        <v>7028</v>
      </c>
      <c r="F1762" s="9">
        <v>72</v>
      </c>
      <c r="G1762" s="6" t="s">
        <v>7933</v>
      </c>
      <c r="H1762" s="7" t="s">
        <v>19</v>
      </c>
      <c r="I1762" s="6" t="s">
        <v>19</v>
      </c>
      <c r="J1762" s="7" t="s">
        <v>20</v>
      </c>
      <c r="K1762" s="7"/>
      <c r="L1762" s="6"/>
      <c r="M1762" s="10">
        <v>5.3999999999999999E-2</v>
      </c>
      <c r="N1762" s="6" t="s">
        <v>7934</v>
      </c>
      <c r="O1762" s="6" t="s">
        <v>19</v>
      </c>
      <c r="P1762" s="6"/>
      <c r="Q1762" s="19" t="s">
        <v>19</v>
      </c>
      <c r="R1762" s="19"/>
    </row>
    <row r="1763" spans="1:18" ht="28.8" hidden="1" x14ac:dyDescent="0.3">
      <c r="A1763" s="6" t="s">
        <v>7935</v>
      </c>
      <c r="B1763" s="7" t="s">
        <v>401</v>
      </c>
      <c r="C1763" s="17" t="s">
        <v>7936</v>
      </c>
      <c r="D1763" s="17"/>
      <c r="E1763" s="8">
        <v>16229</v>
      </c>
      <c r="F1763" s="9">
        <v>78</v>
      </c>
      <c r="G1763" s="6" t="s">
        <v>7937</v>
      </c>
      <c r="H1763" s="7" t="s">
        <v>39</v>
      </c>
      <c r="I1763" s="6" t="s">
        <v>7938</v>
      </c>
      <c r="J1763" s="7" t="s">
        <v>20</v>
      </c>
      <c r="K1763" s="7" t="s">
        <v>26</v>
      </c>
      <c r="L1763" s="6"/>
      <c r="M1763" s="10">
        <v>6.3600000000000004E-2</v>
      </c>
      <c r="N1763" s="6" t="s">
        <v>7939</v>
      </c>
      <c r="O1763" s="11">
        <v>4386.96</v>
      </c>
      <c r="P1763" s="11"/>
      <c r="Q1763" s="18">
        <v>548.37</v>
      </c>
      <c r="R1763" s="19"/>
    </row>
    <row r="1764" spans="1:18" ht="28.8" hidden="1" x14ac:dyDescent="0.3">
      <c r="A1764" s="6" t="s">
        <v>7940</v>
      </c>
      <c r="B1764" s="7" t="s">
        <v>235</v>
      </c>
      <c r="C1764" s="17" t="s">
        <v>7941</v>
      </c>
      <c r="D1764" s="17"/>
      <c r="E1764" s="8">
        <v>16330</v>
      </c>
      <c r="F1764" s="9">
        <v>78</v>
      </c>
      <c r="G1764" s="6" t="s">
        <v>7942</v>
      </c>
      <c r="H1764" s="7" t="s">
        <v>39</v>
      </c>
      <c r="I1764" s="6" t="s">
        <v>7943</v>
      </c>
      <c r="J1764" s="7" t="s">
        <v>20</v>
      </c>
      <c r="K1764" s="7" t="s">
        <v>26</v>
      </c>
      <c r="L1764" s="6"/>
      <c r="M1764" s="10">
        <v>6.3600000000000004E-2</v>
      </c>
      <c r="N1764" s="6" t="s">
        <v>7944</v>
      </c>
      <c r="O1764" s="11">
        <v>8536</v>
      </c>
      <c r="P1764" s="11"/>
      <c r="Q1764" s="18">
        <v>692</v>
      </c>
      <c r="R1764" s="19"/>
    </row>
    <row r="1765" spans="1:18" ht="43.2" hidden="1" x14ac:dyDescent="0.3">
      <c r="A1765" s="6" t="s">
        <v>7945</v>
      </c>
      <c r="B1765" s="7" t="s">
        <v>330</v>
      </c>
      <c r="C1765" s="17" t="s">
        <v>7946</v>
      </c>
      <c r="D1765" s="17"/>
      <c r="E1765" s="8">
        <v>18253</v>
      </c>
      <c r="F1765" s="9">
        <v>73</v>
      </c>
      <c r="G1765" s="6" t="s">
        <v>7947</v>
      </c>
      <c r="H1765" s="7" t="s">
        <v>39</v>
      </c>
      <c r="I1765" s="6" t="s">
        <v>122</v>
      </c>
      <c r="J1765" s="7" t="s">
        <v>20</v>
      </c>
      <c r="K1765" s="7" t="s">
        <v>26</v>
      </c>
      <c r="L1765" s="6"/>
      <c r="M1765" s="10">
        <v>5.5300000000000002E-2</v>
      </c>
      <c r="N1765" s="6" t="s">
        <v>7948</v>
      </c>
      <c r="O1765" s="11">
        <v>17000</v>
      </c>
      <c r="P1765" s="11"/>
      <c r="Q1765" s="18">
        <v>2000</v>
      </c>
      <c r="R1765" s="19"/>
    </row>
    <row r="1766" spans="1:18" ht="43.2" hidden="1" x14ac:dyDescent="0.3">
      <c r="A1766" s="6" t="s">
        <v>7949</v>
      </c>
      <c r="B1766" s="7" t="s">
        <v>5744</v>
      </c>
      <c r="C1766" s="17" t="s">
        <v>7946</v>
      </c>
      <c r="D1766" s="17"/>
      <c r="E1766" s="8">
        <v>17714</v>
      </c>
      <c r="F1766" s="9">
        <v>74</v>
      </c>
      <c r="G1766" s="6" t="s">
        <v>7950</v>
      </c>
      <c r="H1766" s="7" t="s">
        <v>39</v>
      </c>
      <c r="I1766" s="6" t="s">
        <v>728</v>
      </c>
      <c r="J1766" s="7" t="s">
        <v>20</v>
      </c>
      <c r="K1766" s="7" t="s">
        <v>26</v>
      </c>
      <c r="L1766" s="6"/>
      <c r="M1766" s="10">
        <v>5.67E-2</v>
      </c>
      <c r="N1766" s="6" t="s">
        <v>7951</v>
      </c>
      <c r="O1766" s="11">
        <v>28000</v>
      </c>
      <c r="P1766" s="11"/>
      <c r="Q1766" s="18">
        <v>3500</v>
      </c>
      <c r="R1766" s="19"/>
    </row>
    <row r="1767" spans="1:18" ht="43.2" x14ac:dyDescent="0.3">
      <c r="A1767" s="6" t="s">
        <v>7952</v>
      </c>
      <c r="B1767" s="7" t="s">
        <v>466</v>
      </c>
      <c r="C1767" s="17" t="s">
        <v>7953</v>
      </c>
      <c r="D1767" s="17"/>
      <c r="E1767" s="8">
        <v>16418</v>
      </c>
      <c r="F1767" s="9">
        <v>78</v>
      </c>
      <c r="G1767" s="6" t="s">
        <v>7954</v>
      </c>
      <c r="H1767" s="7" t="s">
        <v>39</v>
      </c>
      <c r="I1767" s="6" t="s">
        <v>122</v>
      </c>
      <c r="J1767" s="7" t="s">
        <v>41</v>
      </c>
      <c r="K1767" s="7" t="s">
        <v>26</v>
      </c>
      <c r="L1767" s="9">
        <v>72</v>
      </c>
      <c r="M1767" s="10">
        <v>5.3999999999999999E-2</v>
      </c>
      <c r="N1767" s="6" t="s">
        <v>7955</v>
      </c>
      <c r="O1767" s="11">
        <v>16000</v>
      </c>
      <c r="P1767" s="11"/>
      <c r="Q1767" s="18">
        <v>2000</v>
      </c>
      <c r="R1767" s="19"/>
    </row>
    <row r="1768" spans="1:18" hidden="1" x14ac:dyDescent="0.3">
      <c r="A1768" s="6" t="s">
        <v>7956</v>
      </c>
      <c r="B1768" s="7" t="s">
        <v>7957</v>
      </c>
      <c r="C1768" s="17" t="s">
        <v>7958</v>
      </c>
      <c r="D1768" s="17"/>
      <c r="E1768" s="8">
        <v>16778</v>
      </c>
      <c r="F1768" s="9">
        <v>77</v>
      </c>
      <c r="G1768" s="6" t="s">
        <v>7959</v>
      </c>
      <c r="H1768" s="7" t="s">
        <v>25</v>
      </c>
      <c r="I1768" s="6"/>
      <c r="J1768" s="7" t="s">
        <v>20</v>
      </c>
      <c r="K1768" s="7" t="s">
        <v>26</v>
      </c>
      <c r="L1768" s="6"/>
      <c r="M1768" s="10">
        <v>6.1699999999999998E-2</v>
      </c>
      <c r="N1768" s="6" t="s">
        <v>7960</v>
      </c>
      <c r="O1768" s="11">
        <v>14253.76</v>
      </c>
      <c r="P1768" s="11"/>
      <c r="Q1768" s="18">
        <v>1781.72</v>
      </c>
      <c r="R1768" s="19"/>
    </row>
    <row r="1769" spans="1:18" ht="28.8" x14ac:dyDescent="0.3">
      <c r="A1769" s="6" t="s">
        <v>7961</v>
      </c>
      <c r="B1769" s="7" t="s">
        <v>412</v>
      </c>
      <c r="C1769" s="17" t="s">
        <v>7962</v>
      </c>
      <c r="D1769" s="17"/>
      <c r="E1769" s="8">
        <v>15622</v>
      </c>
      <c r="F1769" s="9">
        <v>80</v>
      </c>
      <c r="G1769" s="6" t="s">
        <v>7963</v>
      </c>
      <c r="H1769" s="7" t="s">
        <v>39</v>
      </c>
      <c r="I1769" s="6" t="s">
        <v>6271</v>
      </c>
      <c r="J1769" s="7" t="s">
        <v>41</v>
      </c>
      <c r="K1769" s="7" t="s">
        <v>26</v>
      </c>
      <c r="L1769" s="9">
        <v>75</v>
      </c>
      <c r="M1769" s="10">
        <v>5.8200000000000002E-2</v>
      </c>
      <c r="N1769" s="6" t="s">
        <v>7964</v>
      </c>
      <c r="O1769" s="11">
        <v>3600</v>
      </c>
      <c r="P1769" s="11"/>
      <c r="Q1769" s="18">
        <v>450</v>
      </c>
      <c r="R1769" s="19"/>
    </row>
    <row r="1770" spans="1:18" ht="43.2" x14ac:dyDescent="0.3">
      <c r="A1770" s="6" t="s">
        <v>7965</v>
      </c>
      <c r="B1770" s="7" t="s">
        <v>2516</v>
      </c>
      <c r="C1770" s="17" t="s">
        <v>7966</v>
      </c>
      <c r="D1770" s="17"/>
      <c r="E1770" s="8">
        <v>16164</v>
      </c>
      <c r="F1770" s="9">
        <v>78</v>
      </c>
      <c r="G1770" s="6" t="s">
        <v>7967</v>
      </c>
      <c r="H1770" s="7" t="s">
        <v>39</v>
      </c>
      <c r="I1770" s="6" t="s">
        <v>122</v>
      </c>
      <c r="J1770" s="7" t="s">
        <v>41</v>
      </c>
      <c r="K1770" s="7" t="s">
        <v>26</v>
      </c>
      <c r="L1770" s="9">
        <v>76</v>
      </c>
      <c r="M1770" s="10">
        <v>5.9799999999999999E-2</v>
      </c>
      <c r="N1770" s="6" t="s">
        <v>7968</v>
      </c>
      <c r="O1770" s="11">
        <v>16000</v>
      </c>
      <c r="P1770" s="11"/>
      <c r="Q1770" s="18">
        <v>2000</v>
      </c>
      <c r="R1770" s="19"/>
    </row>
    <row r="1771" spans="1:18" ht="28.8" hidden="1" x14ac:dyDescent="0.3">
      <c r="A1771" s="6" t="s">
        <v>7969</v>
      </c>
      <c r="B1771" s="7" t="s">
        <v>270</v>
      </c>
      <c r="C1771" s="17" t="s">
        <v>7970</v>
      </c>
      <c r="D1771" s="17"/>
      <c r="E1771" s="7" t="s">
        <v>7971</v>
      </c>
      <c r="F1771" s="9">
        <v>76</v>
      </c>
      <c r="G1771" s="6" t="s">
        <v>7972</v>
      </c>
      <c r="H1771" s="7" t="s">
        <v>39</v>
      </c>
      <c r="I1771" s="6" t="s">
        <v>2315</v>
      </c>
      <c r="J1771" s="7" t="s">
        <v>20</v>
      </c>
      <c r="K1771" s="7" t="s">
        <v>26</v>
      </c>
      <c r="L1771" s="6"/>
      <c r="M1771" s="10">
        <v>5.9799999999999999E-2</v>
      </c>
      <c r="N1771" s="6" t="s">
        <v>7973</v>
      </c>
      <c r="O1771" s="6" t="s">
        <v>19</v>
      </c>
      <c r="P1771" s="6"/>
      <c r="Q1771" s="19" t="s">
        <v>19</v>
      </c>
      <c r="R1771" s="19"/>
    </row>
    <row r="1772" spans="1:18" ht="43.2" x14ac:dyDescent="0.3">
      <c r="A1772" s="6" t="s">
        <v>7974</v>
      </c>
      <c r="B1772" s="7" t="s">
        <v>195</v>
      </c>
      <c r="C1772" s="17" t="s">
        <v>7975</v>
      </c>
      <c r="D1772" s="17"/>
      <c r="E1772" s="8">
        <v>15873</v>
      </c>
      <c r="F1772" s="9">
        <v>79</v>
      </c>
      <c r="G1772" s="6" t="s">
        <v>7976</v>
      </c>
      <c r="H1772" s="7" t="s">
        <v>39</v>
      </c>
      <c r="I1772" s="6" t="s">
        <v>144</v>
      </c>
      <c r="J1772" s="7" t="s">
        <v>41</v>
      </c>
      <c r="K1772" s="7" t="s">
        <v>26</v>
      </c>
      <c r="L1772" s="9">
        <v>75</v>
      </c>
      <c r="M1772" s="10">
        <v>5.8200000000000002E-2</v>
      </c>
      <c r="N1772" s="6" t="s">
        <v>7977</v>
      </c>
      <c r="O1772" s="11">
        <v>40000</v>
      </c>
      <c r="P1772" s="11"/>
      <c r="Q1772" s="18">
        <v>5000</v>
      </c>
      <c r="R1772" s="19"/>
    </row>
    <row r="1773" spans="1:18" ht="43.2" hidden="1" x14ac:dyDescent="0.3">
      <c r="A1773" s="6" t="s">
        <v>7978</v>
      </c>
      <c r="B1773" s="7" t="s">
        <v>7979</v>
      </c>
      <c r="C1773" s="17" t="s">
        <v>7975</v>
      </c>
      <c r="D1773" s="17"/>
      <c r="E1773" s="8">
        <v>17241</v>
      </c>
      <c r="F1773" s="9">
        <v>75</v>
      </c>
      <c r="G1773" s="6" t="s">
        <v>7980</v>
      </c>
      <c r="H1773" s="7" t="s">
        <v>39</v>
      </c>
      <c r="I1773" s="6" t="s">
        <v>106</v>
      </c>
      <c r="J1773" s="7" t="s">
        <v>20</v>
      </c>
      <c r="K1773" s="7" t="s">
        <v>26</v>
      </c>
      <c r="L1773" s="6"/>
      <c r="M1773" s="10">
        <v>5.8200000000000002E-2</v>
      </c>
      <c r="N1773" s="6" t="s">
        <v>7981</v>
      </c>
      <c r="O1773" s="11">
        <v>32000</v>
      </c>
      <c r="P1773" s="11"/>
      <c r="Q1773" s="18">
        <v>4000</v>
      </c>
      <c r="R1773" s="19"/>
    </row>
    <row r="1774" spans="1:18" ht="43.2" hidden="1" x14ac:dyDescent="0.3">
      <c r="A1774" s="6" t="s">
        <v>7982</v>
      </c>
      <c r="B1774" s="7" t="s">
        <v>5817</v>
      </c>
      <c r="C1774" s="17" t="s">
        <v>4390</v>
      </c>
      <c r="D1774" s="17"/>
      <c r="E1774" s="8">
        <v>17636</v>
      </c>
      <c r="F1774" s="9">
        <v>74</v>
      </c>
      <c r="G1774" s="6" t="s">
        <v>7983</v>
      </c>
      <c r="H1774" s="7" t="s">
        <v>39</v>
      </c>
      <c r="I1774" s="6" t="s">
        <v>4967</v>
      </c>
      <c r="J1774" s="7" t="s">
        <v>20</v>
      </c>
      <c r="K1774" s="7" t="s">
        <v>26</v>
      </c>
      <c r="L1774" s="6"/>
      <c r="M1774" s="10">
        <v>5.67E-2</v>
      </c>
      <c r="N1774" s="6" t="s">
        <v>7984</v>
      </c>
      <c r="O1774" s="11">
        <v>34400</v>
      </c>
      <c r="P1774" s="11"/>
      <c r="Q1774" s="18">
        <v>1548.06</v>
      </c>
      <c r="R1774" s="19"/>
    </row>
    <row r="1775" spans="1:18" ht="28.8" hidden="1" x14ac:dyDescent="0.3">
      <c r="A1775" s="6" t="s">
        <v>7985</v>
      </c>
      <c r="B1775" s="7" t="s">
        <v>830</v>
      </c>
      <c r="C1775" s="17" t="s">
        <v>4402</v>
      </c>
      <c r="D1775" s="17"/>
      <c r="E1775" s="8">
        <v>17921</v>
      </c>
      <c r="F1775" s="9">
        <v>73</v>
      </c>
      <c r="G1775" s="6" t="s">
        <v>7986</v>
      </c>
      <c r="H1775" s="7" t="s">
        <v>39</v>
      </c>
      <c r="I1775" s="6" t="s">
        <v>5527</v>
      </c>
      <c r="J1775" s="7" t="s">
        <v>20</v>
      </c>
      <c r="K1775" s="7" t="s">
        <v>26</v>
      </c>
      <c r="L1775" s="6"/>
      <c r="M1775" s="10">
        <v>5.5300000000000002E-2</v>
      </c>
      <c r="N1775" s="6" t="s">
        <v>7987</v>
      </c>
      <c r="O1775" s="11">
        <v>1200</v>
      </c>
      <c r="P1775" s="11"/>
      <c r="Q1775" s="18">
        <v>150</v>
      </c>
      <c r="R1775" s="19"/>
    </row>
    <row r="1776" spans="1:18" ht="43.2" x14ac:dyDescent="0.3">
      <c r="A1776" s="6" t="s">
        <v>7988</v>
      </c>
      <c r="B1776" s="7" t="s">
        <v>7989</v>
      </c>
      <c r="C1776" s="17" t="s">
        <v>7990</v>
      </c>
      <c r="D1776" s="17"/>
      <c r="E1776" s="8">
        <v>17871</v>
      </c>
      <c r="F1776" s="9">
        <v>74</v>
      </c>
      <c r="G1776" s="6" t="s">
        <v>7991</v>
      </c>
      <c r="H1776" s="7" t="s">
        <v>39</v>
      </c>
      <c r="I1776" s="6" t="s">
        <v>728</v>
      </c>
      <c r="J1776" s="7" t="s">
        <v>41</v>
      </c>
      <c r="K1776" s="7" t="s">
        <v>26</v>
      </c>
      <c r="L1776" s="9">
        <v>59</v>
      </c>
      <c r="M1776" s="10">
        <v>3.2300000000000002E-2</v>
      </c>
      <c r="N1776" s="6" t="s">
        <v>7992</v>
      </c>
      <c r="O1776" s="11">
        <v>28000</v>
      </c>
      <c r="P1776" s="11"/>
      <c r="Q1776" s="18">
        <v>3500</v>
      </c>
      <c r="R1776" s="19"/>
    </row>
    <row r="1777" spans="1:18" hidden="1" x14ac:dyDescent="0.3">
      <c r="A1777" s="6" t="s">
        <v>7993</v>
      </c>
      <c r="B1777" s="7" t="s">
        <v>1125</v>
      </c>
      <c r="C1777" s="17" t="s">
        <v>7994</v>
      </c>
      <c r="D1777" s="17"/>
      <c r="E1777" s="7" t="s">
        <v>7995</v>
      </c>
      <c r="F1777" s="9">
        <v>79</v>
      </c>
      <c r="G1777" s="6" t="s">
        <v>7996</v>
      </c>
      <c r="H1777" s="7" t="s">
        <v>25</v>
      </c>
      <c r="I1777" s="6" t="s">
        <v>19</v>
      </c>
      <c r="J1777" s="7" t="s">
        <v>20</v>
      </c>
      <c r="K1777" s="7" t="s">
        <v>32</v>
      </c>
      <c r="L1777" s="6"/>
      <c r="M1777" s="10">
        <v>6.5799999999999997E-2</v>
      </c>
      <c r="N1777" s="6" t="s">
        <v>7997</v>
      </c>
      <c r="O1777" s="6" t="s">
        <v>19</v>
      </c>
      <c r="P1777" s="6"/>
      <c r="Q1777" s="19" t="s">
        <v>19</v>
      </c>
      <c r="R1777" s="19"/>
    </row>
    <row r="1778" spans="1:18" hidden="1" x14ac:dyDescent="0.3">
      <c r="A1778" s="6" t="s">
        <v>7998</v>
      </c>
      <c r="B1778" s="7" t="s">
        <v>640</v>
      </c>
      <c r="C1778" s="17" t="s">
        <v>7999</v>
      </c>
      <c r="D1778" s="17"/>
      <c r="E1778" s="7" t="s">
        <v>8000</v>
      </c>
      <c r="F1778" s="9">
        <v>76</v>
      </c>
      <c r="G1778" s="6" t="s">
        <v>8001</v>
      </c>
      <c r="H1778" s="7" t="s">
        <v>25</v>
      </c>
      <c r="I1778" s="6" t="s">
        <v>19</v>
      </c>
      <c r="J1778" s="7" t="s">
        <v>41</v>
      </c>
      <c r="K1778" s="7" t="s">
        <v>32</v>
      </c>
      <c r="L1778" s="9">
        <v>72</v>
      </c>
      <c r="M1778" s="10">
        <v>5.3999999999999999E-2</v>
      </c>
      <c r="N1778" s="6" t="s">
        <v>8002</v>
      </c>
      <c r="O1778" s="6" t="s">
        <v>19</v>
      </c>
      <c r="P1778" s="6"/>
      <c r="Q1778" s="19" t="s">
        <v>19</v>
      </c>
      <c r="R1778" s="19"/>
    </row>
    <row r="1779" spans="1:18" ht="43.2" hidden="1" x14ac:dyDescent="0.3">
      <c r="A1779" s="6" t="s">
        <v>8003</v>
      </c>
      <c r="B1779" s="7" t="s">
        <v>135</v>
      </c>
      <c r="C1779" s="17" t="s">
        <v>5010</v>
      </c>
      <c r="D1779" s="17"/>
      <c r="E1779" s="8">
        <v>17587</v>
      </c>
      <c r="F1779" s="9">
        <v>74</v>
      </c>
      <c r="G1779" s="6" t="s">
        <v>8004</v>
      </c>
      <c r="H1779" s="7" t="s">
        <v>39</v>
      </c>
      <c r="I1779" s="6" t="s">
        <v>243</v>
      </c>
      <c r="J1779" s="7" t="s">
        <v>20</v>
      </c>
      <c r="K1779" s="7" t="s">
        <v>26</v>
      </c>
      <c r="L1779" s="6"/>
      <c r="M1779" s="10">
        <v>5.67E-2</v>
      </c>
      <c r="N1779" s="6" t="s">
        <v>8005</v>
      </c>
      <c r="O1779" s="11">
        <v>14400</v>
      </c>
      <c r="P1779" s="11"/>
      <c r="Q1779" s="18">
        <v>1800</v>
      </c>
      <c r="R1779" s="19"/>
    </row>
    <row r="1780" spans="1:18" ht="43.2" x14ac:dyDescent="0.3">
      <c r="A1780" s="6" t="s">
        <v>8006</v>
      </c>
      <c r="B1780" s="7" t="s">
        <v>115</v>
      </c>
      <c r="C1780" s="17" t="s">
        <v>8007</v>
      </c>
      <c r="D1780" s="17"/>
      <c r="E1780" s="8">
        <v>16481</v>
      </c>
      <c r="F1780" s="9">
        <v>77</v>
      </c>
      <c r="G1780" s="6" t="s">
        <v>8008</v>
      </c>
      <c r="H1780" s="7" t="s">
        <v>39</v>
      </c>
      <c r="I1780" s="6" t="s">
        <v>40</v>
      </c>
      <c r="J1780" s="7" t="s">
        <v>41</v>
      </c>
      <c r="K1780" s="7" t="s">
        <v>26</v>
      </c>
      <c r="L1780" s="9">
        <v>72</v>
      </c>
      <c r="M1780" s="10">
        <v>5.3999999999999999E-2</v>
      </c>
      <c r="N1780" s="6" t="s">
        <v>8009</v>
      </c>
      <c r="O1780" s="11">
        <v>24000</v>
      </c>
      <c r="P1780" s="11"/>
      <c r="Q1780" s="18">
        <v>3000</v>
      </c>
      <c r="R1780" s="19"/>
    </row>
    <row r="1781" spans="1:18" hidden="1" x14ac:dyDescent="0.3">
      <c r="A1781" s="6" t="s">
        <v>8010</v>
      </c>
      <c r="B1781" s="7" t="s">
        <v>401</v>
      </c>
      <c r="C1781" s="17" t="s">
        <v>8011</v>
      </c>
      <c r="D1781" s="17"/>
      <c r="E1781" s="8">
        <v>15233</v>
      </c>
      <c r="F1781" s="9">
        <v>81</v>
      </c>
      <c r="G1781" s="6" t="s">
        <v>8012</v>
      </c>
      <c r="H1781" s="7" t="s">
        <v>25</v>
      </c>
      <c r="I1781" s="6"/>
      <c r="J1781" s="7" t="s">
        <v>20</v>
      </c>
      <c r="K1781" s="7" t="s">
        <v>26</v>
      </c>
      <c r="L1781" s="6"/>
      <c r="M1781" s="10">
        <v>7.0800000000000002E-2</v>
      </c>
      <c r="N1781" s="6" t="s">
        <v>8013</v>
      </c>
      <c r="O1781" s="11">
        <v>11572.96</v>
      </c>
      <c r="P1781" s="11"/>
      <c r="Q1781" s="18">
        <v>1446.62</v>
      </c>
      <c r="R1781" s="19"/>
    </row>
    <row r="1782" spans="1:18" ht="43.2" x14ac:dyDescent="0.3">
      <c r="A1782" s="6" t="s">
        <v>8014</v>
      </c>
      <c r="B1782" s="7" t="s">
        <v>2890</v>
      </c>
      <c r="C1782" s="17" t="s">
        <v>8015</v>
      </c>
      <c r="D1782" s="17"/>
      <c r="E1782" s="8">
        <v>17943</v>
      </c>
      <c r="F1782" s="9">
        <v>73</v>
      </c>
      <c r="G1782" s="6" t="s">
        <v>8016</v>
      </c>
      <c r="H1782" s="7" t="s">
        <v>39</v>
      </c>
      <c r="I1782" s="6" t="s">
        <v>8017</v>
      </c>
      <c r="J1782" s="7" t="s">
        <v>41</v>
      </c>
      <c r="K1782" s="7" t="s">
        <v>26</v>
      </c>
      <c r="L1782" s="9">
        <v>71</v>
      </c>
      <c r="M1782" s="10">
        <v>5.28E-2</v>
      </c>
      <c r="N1782" s="6" t="s">
        <v>8018</v>
      </c>
      <c r="O1782" s="11">
        <v>10843.28</v>
      </c>
      <c r="P1782" s="11"/>
      <c r="Q1782" s="18">
        <v>1355.41</v>
      </c>
      <c r="R1782" s="19"/>
    </row>
    <row r="1783" spans="1:18" hidden="1" x14ac:dyDescent="0.3">
      <c r="A1783" s="6" t="s">
        <v>8019</v>
      </c>
      <c r="B1783" s="7" t="s">
        <v>8020</v>
      </c>
      <c r="C1783" s="17" t="s">
        <v>8021</v>
      </c>
      <c r="D1783" s="17"/>
      <c r="E1783" s="7" t="s">
        <v>8022</v>
      </c>
      <c r="F1783" s="9">
        <v>84</v>
      </c>
      <c r="G1783" s="6" t="s">
        <v>8023</v>
      </c>
      <c r="H1783" s="7" t="s">
        <v>25</v>
      </c>
      <c r="I1783" s="6" t="s">
        <v>19</v>
      </c>
      <c r="J1783" s="7" t="s">
        <v>20</v>
      </c>
      <c r="K1783" s="7" t="s">
        <v>32</v>
      </c>
      <c r="L1783" s="6"/>
      <c r="M1783" s="10">
        <v>8.0799999999999997E-2</v>
      </c>
      <c r="N1783" s="6" t="s">
        <v>8024</v>
      </c>
      <c r="O1783" s="6" t="s">
        <v>19</v>
      </c>
      <c r="P1783" s="6"/>
      <c r="Q1783" s="19" t="s">
        <v>19</v>
      </c>
      <c r="R1783" s="19"/>
    </row>
    <row r="1784" spans="1:18" ht="43.2" x14ac:dyDescent="0.3">
      <c r="A1784" s="6" t="s">
        <v>8025</v>
      </c>
      <c r="B1784" s="7" t="s">
        <v>488</v>
      </c>
      <c r="C1784" s="17" t="s">
        <v>8026</v>
      </c>
      <c r="D1784" s="17"/>
      <c r="E1784" s="8">
        <v>17684</v>
      </c>
      <c r="F1784" s="9">
        <v>74</v>
      </c>
      <c r="G1784" s="6" t="s">
        <v>8027</v>
      </c>
      <c r="H1784" s="7" t="s">
        <v>39</v>
      </c>
      <c r="I1784" s="6" t="s">
        <v>47</v>
      </c>
      <c r="J1784" s="7" t="s">
        <v>41</v>
      </c>
      <c r="K1784" s="7" t="s">
        <v>26</v>
      </c>
      <c r="L1784" s="9">
        <v>72</v>
      </c>
      <c r="M1784" s="10">
        <v>5.3999999999999999E-2</v>
      </c>
      <c r="N1784" s="6" t="s">
        <v>8028</v>
      </c>
      <c r="O1784" s="11">
        <v>8000</v>
      </c>
      <c r="P1784" s="11"/>
      <c r="Q1784" s="18">
        <v>1000</v>
      </c>
      <c r="R1784" s="19"/>
    </row>
    <row r="1785" spans="1:18" ht="43.2" x14ac:dyDescent="0.3">
      <c r="A1785" s="6" t="s">
        <v>8029</v>
      </c>
      <c r="B1785" s="7" t="s">
        <v>830</v>
      </c>
      <c r="C1785" s="17" t="s">
        <v>8030</v>
      </c>
      <c r="D1785" s="17"/>
      <c r="E1785" s="8">
        <v>18388</v>
      </c>
      <c r="F1785" s="9">
        <v>72</v>
      </c>
      <c r="G1785" s="6" t="s">
        <v>8031</v>
      </c>
      <c r="H1785" s="7" t="s">
        <v>39</v>
      </c>
      <c r="I1785" s="6" t="s">
        <v>5785</v>
      </c>
      <c r="J1785" s="7" t="s">
        <v>41</v>
      </c>
      <c r="K1785" s="7" t="s">
        <v>26</v>
      </c>
      <c r="L1785" s="9">
        <v>65</v>
      </c>
      <c r="M1785" s="10">
        <v>0.04</v>
      </c>
      <c r="N1785" s="6" t="s">
        <v>8032</v>
      </c>
      <c r="O1785" s="11">
        <v>48000</v>
      </c>
      <c r="P1785" s="11"/>
      <c r="Q1785" s="18">
        <v>304.66000000000003</v>
      </c>
      <c r="R1785" s="19"/>
    </row>
    <row r="1786" spans="1:18" hidden="1" x14ac:dyDescent="0.3">
      <c r="A1786" s="6" t="s">
        <v>8033</v>
      </c>
      <c r="B1786" s="7" t="s">
        <v>1129</v>
      </c>
      <c r="C1786" s="17" t="s">
        <v>3776</v>
      </c>
      <c r="D1786" s="17"/>
      <c r="E1786" s="8">
        <v>16098</v>
      </c>
      <c r="F1786" s="9">
        <v>78</v>
      </c>
      <c r="G1786" s="6" t="s">
        <v>8034</v>
      </c>
      <c r="H1786" s="7" t="s">
        <v>25</v>
      </c>
      <c r="I1786" s="6"/>
      <c r="J1786" s="7" t="s">
        <v>20</v>
      </c>
      <c r="K1786" s="7" t="s">
        <v>26</v>
      </c>
      <c r="L1786" s="6"/>
      <c r="M1786" s="10">
        <v>6.3600000000000004E-2</v>
      </c>
      <c r="N1786" s="6" t="s">
        <v>8035</v>
      </c>
      <c r="O1786" s="11">
        <v>35491.040000000001</v>
      </c>
      <c r="P1786" s="11"/>
      <c r="Q1786" s="18">
        <v>4436.38</v>
      </c>
      <c r="R1786" s="19"/>
    </row>
    <row r="1787" spans="1:18" x14ac:dyDescent="0.3">
      <c r="A1787" s="6" t="s">
        <v>8036</v>
      </c>
      <c r="B1787" s="7" t="s">
        <v>1762</v>
      </c>
      <c r="C1787" s="17" t="s">
        <v>8037</v>
      </c>
      <c r="D1787" s="17"/>
      <c r="E1787" s="8">
        <v>14976</v>
      </c>
      <c r="F1787" s="9">
        <v>82</v>
      </c>
      <c r="G1787" s="6" t="s">
        <v>8038</v>
      </c>
      <c r="H1787" s="7" t="s">
        <v>25</v>
      </c>
      <c r="I1787" s="6"/>
      <c r="J1787" s="7" t="s">
        <v>41</v>
      </c>
      <c r="K1787" s="7" t="s">
        <v>26</v>
      </c>
      <c r="L1787" s="9">
        <v>80</v>
      </c>
      <c r="M1787" s="10">
        <v>6.8199999999999997E-2</v>
      </c>
      <c r="N1787" s="6" t="s">
        <v>8039</v>
      </c>
      <c r="O1787" s="11">
        <v>4108.5600000000004</v>
      </c>
      <c r="P1787" s="11"/>
      <c r="Q1787" s="18">
        <v>513.57000000000005</v>
      </c>
      <c r="R1787" s="19"/>
    </row>
    <row r="1788" spans="1:18" hidden="1" x14ac:dyDescent="0.3">
      <c r="A1788" s="6" t="s">
        <v>8040</v>
      </c>
      <c r="B1788" s="7" t="s">
        <v>488</v>
      </c>
      <c r="C1788" s="17" t="s">
        <v>8041</v>
      </c>
      <c r="D1788" s="17"/>
      <c r="E1788" s="8">
        <v>16864</v>
      </c>
      <c r="F1788" s="9">
        <v>76</v>
      </c>
      <c r="G1788" s="6" t="s">
        <v>8042</v>
      </c>
      <c r="H1788" s="7" t="s">
        <v>25</v>
      </c>
      <c r="I1788" s="6"/>
      <c r="J1788" s="7" t="s">
        <v>20</v>
      </c>
      <c r="K1788" s="7" t="s">
        <v>26</v>
      </c>
      <c r="L1788" s="6"/>
      <c r="M1788" s="10">
        <v>5.9799999999999999E-2</v>
      </c>
      <c r="N1788" s="6" t="s">
        <v>8043</v>
      </c>
      <c r="O1788" s="11">
        <v>29995.52</v>
      </c>
      <c r="P1788" s="11"/>
      <c r="Q1788" s="18">
        <v>3749.44</v>
      </c>
      <c r="R1788" s="19"/>
    </row>
    <row r="1789" spans="1:18" ht="28.8" hidden="1" x14ac:dyDescent="0.3">
      <c r="A1789" s="6" t="s">
        <v>8044</v>
      </c>
      <c r="B1789" s="7" t="s">
        <v>1252</v>
      </c>
      <c r="C1789" s="17" t="s">
        <v>8045</v>
      </c>
      <c r="D1789" s="17"/>
      <c r="E1789" s="8">
        <v>17661</v>
      </c>
      <c r="F1789" s="9">
        <v>74</v>
      </c>
      <c r="G1789" s="6" t="s">
        <v>8046</v>
      </c>
      <c r="H1789" s="7" t="s">
        <v>39</v>
      </c>
      <c r="I1789" s="6" t="s">
        <v>681</v>
      </c>
      <c r="J1789" s="7" t="s">
        <v>20</v>
      </c>
      <c r="K1789" s="7" t="s">
        <v>26</v>
      </c>
      <c r="L1789" s="6"/>
      <c r="M1789" s="10">
        <v>5.67E-2</v>
      </c>
      <c r="N1789" s="6" t="s">
        <v>8047</v>
      </c>
      <c r="O1789" s="11">
        <v>5600</v>
      </c>
      <c r="P1789" s="11"/>
      <c r="Q1789" s="18">
        <v>700</v>
      </c>
      <c r="R1789" s="19"/>
    </row>
    <row r="1790" spans="1:18" ht="43.2" hidden="1" x14ac:dyDescent="0.3">
      <c r="A1790" s="6" t="s">
        <v>8048</v>
      </c>
      <c r="B1790" s="7" t="s">
        <v>276</v>
      </c>
      <c r="C1790" s="17" t="s">
        <v>8049</v>
      </c>
      <c r="D1790" s="17"/>
      <c r="E1790" s="8">
        <v>17866</v>
      </c>
      <c r="F1790" s="9">
        <v>74</v>
      </c>
      <c r="G1790" s="6" t="s">
        <v>8050</v>
      </c>
      <c r="H1790" s="7" t="s">
        <v>39</v>
      </c>
      <c r="I1790" s="6" t="s">
        <v>4510</v>
      </c>
      <c r="J1790" s="7" t="s">
        <v>20</v>
      </c>
      <c r="K1790" s="7" t="s">
        <v>26</v>
      </c>
      <c r="L1790" s="6"/>
      <c r="M1790" s="10">
        <v>5.67E-2</v>
      </c>
      <c r="N1790" s="6" t="s">
        <v>8051</v>
      </c>
      <c r="O1790" s="11">
        <v>33600</v>
      </c>
      <c r="P1790" s="11"/>
      <c r="Q1790" s="18">
        <v>4200</v>
      </c>
      <c r="R1790" s="19"/>
    </row>
    <row r="1791" spans="1:18" ht="43.2" hidden="1" x14ac:dyDescent="0.3">
      <c r="A1791" s="6" t="s">
        <v>8052</v>
      </c>
      <c r="B1791" s="7" t="s">
        <v>1477</v>
      </c>
      <c r="C1791" s="17" t="s">
        <v>8053</v>
      </c>
      <c r="D1791" s="17"/>
      <c r="E1791" s="8">
        <v>14827</v>
      </c>
      <c r="F1791" s="9">
        <v>82</v>
      </c>
      <c r="G1791" s="6" t="s">
        <v>8054</v>
      </c>
      <c r="H1791" s="7" t="s">
        <v>39</v>
      </c>
      <c r="I1791" s="6" t="s">
        <v>151</v>
      </c>
      <c r="J1791" s="7" t="s">
        <v>20</v>
      </c>
      <c r="K1791" s="7" t="s">
        <v>26</v>
      </c>
      <c r="L1791" s="6"/>
      <c r="M1791" s="10">
        <v>7.3800000000000004E-2</v>
      </c>
      <c r="N1791" s="6" t="s">
        <v>8055</v>
      </c>
      <c r="O1791" s="11">
        <v>20000</v>
      </c>
      <c r="P1791" s="11"/>
      <c r="Q1791" s="18">
        <v>1637.36</v>
      </c>
      <c r="R1791" s="19"/>
    </row>
    <row r="1792" spans="1:18" ht="28.8" hidden="1" x14ac:dyDescent="0.3">
      <c r="A1792" s="6" t="s">
        <v>8056</v>
      </c>
      <c r="B1792" s="7" t="s">
        <v>120</v>
      </c>
      <c r="C1792" s="17" t="s">
        <v>8057</v>
      </c>
      <c r="D1792" s="17"/>
      <c r="E1792" s="8">
        <v>18107</v>
      </c>
      <c r="F1792" s="9">
        <v>73</v>
      </c>
      <c r="G1792" s="6" t="s">
        <v>8058</v>
      </c>
      <c r="H1792" s="7" t="s">
        <v>39</v>
      </c>
      <c r="I1792" s="6" t="s">
        <v>1562</v>
      </c>
      <c r="J1792" s="7" t="s">
        <v>20</v>
      </c>
      <c r="K1792" s="7" t="s">
        <v>26</v>
      </c>
      <c r="L1792" s="6"/>
      <c r="M1792" s="10">
        <v>5.5300000000000002E-2</v>
      </c>
      <c r="N1792" s="6" t="s">
        <v>8059</v>
      </c>
      <c r="O1792" s="11">
        <v>5200</v>
      </c>
      <c r="P1792" s="11"/>
      <c r="Q1792" s="18">
        <v>650</v>
      </c>
      <c r="R1792" s="19"/>
    </row>
    <row r="1793" spans="1:18" ht="43.2" hidden="1" x14ac:dyDescent="0.3">
      <c r="A1793" s="6" t="s">
        <v>8060</v>
      </c>
      <c r="B1793" s="7" t="s">
        <v>1129</v>
      </c>
      <c r="C1793" s="17" t="s">
        <v>8061</v>
      </c>
      <c r="D1793" s="17"/>
      <c r="E1793" s="8">
        <v>16003</v>
      </c>
      <c r="F1793" s="9">
        <v>79</v>
      </c>
      <c r="G1793" s="6" t="s">
        <v>8062</v>
      </c>
      <c r="H1793" s="7" t="s">
        <v>39</v>
      </c>
      <c r="I1793" s="6" t="s">
        <v>5940</v>
      </c>
      <c r="J1793" s="7" t="s">
        <v>20</v>
      </c>
      <c r="K1793" s="7" t="s">
        <v>26</v>
      </c>
      <c r="L1793" s="6"/>
      <c r="M1793" s="10">
        <v>6.5799999999999997E-2</v>
      </c>
      <c r="N1793" s="6" t="s">
        <v>8063</v>
      </c>
      <c r="O1793" s="11">
        <v>9200</v>
      </c>
      <c r="P1793" s="11"/>
      <c r="Q1793" s="18">
        <v>1150</v>
      </c>
      <c r="R1793" s="19"/>
    </row>
    <row r="1794" spans="1:18" hidden="1" x14ac:dyDescent="0.3">
      <c r="A1794" s="6" t="s">
        <v>8064</v>
      </c>
      <c r="B1794" s="7" t="s">
        <v>830</v>
      </c>
      <c r="C1794" s="17" t="s">
        <v>8065</v>
      </c>
      <c r="D1794" s="17"/>
      <c r="E1794" s="7" t="s">
        <v>8066</v>
      </c>
      <c r="F1794" s="9">
        <v>79</v>
      </c>
      <c r="G1794" s="6" t="s">
        <v>7839</v>
      </c>
      <c r="H1794" s="7" t="s">
        <v>25</v>
      </c>
      <c r="I1794" s="6" t="s">
        <v>19</v>
      </c>
      <c r="J1794" s="7" t="s">
        <v>41</v>
      </c>
      <c r="K1794" s="7" t="s">
        <v>32</v>
      </c>
      <c r="L1794" s="9">
        <v>76</v>
      </c>
      <c r="M1794" s="10">
        <v>5.9799999999999999E-2</v>
      </c>
      <c r="N1794" s="6" t="s">
        <v>8067</v>
      </c>
      <c r="O1794" s="6" t="s">
        <v>19</v>
      </c>
      <c r="P1794" s="6"/>
      <c r="Q1794" s="19" t="s">
        <v>19</v>
      </c>
      <c r="R1794" s="19"/>
    </row>
    <row r="1795" spans="1:18" hidden="1" x14ac:dyDescent="0.3">
      <c r="A1795" s="6" t="s">
        <v>8068</v>
      </c>
      <c r="B1795" s="7" t="s">
        <v>655</v>
      </c>
      <c r="C1795" s="17" t="s">
        <v>8069</v>
      </c>
      <c r="D1795" s="17"/>
      <c r="E1795" s="8">
        <v>18399</v>
      </c>
      <c r="F1795" s="9">
        <v>72</v>
      </c>
      <c r="G1795" s="6" t="s">
        <v>8070</v>
      </c>
      <c r="H1795" s="7" t="s">
        <v>25</v>
      </c>
      <c r="I1795" s="6"/>
      <c r="J1795" s="7" t="s">
        <v>20</v>
      </c>
      <c r="K1795" s="7" t="s">
        <v>26</v>
      </c>
      <c r="L1795" s="6"/>
      <c r="M1795" s="10">
        <v>5.3999999999999999E-2</v>
      </c>
      <c r="N1795" s="6" t="s">
        <v>8071</v>
      </c>
      <c r="O1795" s="11">
        <v>3847.92</v>
      </c>
      <c r="P1795" s="11"/>
      <c r="Q1795" s="18">
        <v>480.99</v>
      </c>
      <c r="R1795" s="19"/>
    </row>
    <row r="1796" spans="1:18" ht="43.2" hidden="1" x14ac:dyDescent="0.3">
      <c r="A1796" s="6" t="s">
        <v>8072</v>
      </c>
      <c r="B1796" s="7" t="s">
        <v>219</v>
      </c>
      <c r="C1796" s="17" t="s">
        <v>8073</v>
      </c>
      <c r="D1796" s="17"/>
      <c r="E1796" s="8">
        <v>18350</v>
      </c>
      <c r="F1796" s="9">
        <v>72</v>
      </c>
      <c r="G1796" s="6" t="s">
        <v>8074</v>
      </c>
      <c r="H1796" s="7" t="s">
        <v>39</v>
      </c>
      <c r="I1796" s="6" t="s">
        <v>122</v>
      </c>
      <c r="J1796" s="7" t="s">
        <v>20</v>
      </c>
      <c r="K1796" s="7" t="s">
        <v>26</v>
      </c>
      <c r="L1796" s="6"/>
      <c r="M1796" s="10">
        <v>5.3999999999999999E-2</v>
      </c>
      <c r="N1796" s="6" t="s">
        <v>8075</v>
      </c>
      <c r="O1796" s="11">
        <v>16000</v>
      </c>
      <c r="P1796" s="11"/>
      <c r="Q1796" s="18">
        <v>2000</v>
      </c>
      <c r="R1796" s="19"/>
    </row>
    <row r="1797" spans="1:18" hidden="1" x14ac:dyDescent="0.3">
      <c r="A1797" s="6" t="s">
        <v>8076</v>
      </c>
      <c r="B1797" s="7" t="s">
        <v>8077</v>
      </c>
      <c r="C1797" s="17" t="s">
        <v>8078</v>
      </c>
      <c r="D1797" s="17"/>
      <c r="E1797" s="8">
        <v>18500</v>
      </c>
      <c r="F1797" s="9">
        <v>72</v>
      </c>
      <c r="G1797" s="6" t="s">
        <v>8079</v>
      </c>
      <c r="H1797" s="7" t="s">
        <v>25</v>
      </c>
      <c r="I1797" s="6"/>
      <c r="J1797" s="7" t="s">
        <v>20</v>
      </c>
      <c r="K1797" s="7" t="s">
        <v>26</v>
      </c>
      <c r="L1797" s="6"/>
      <c r="M1797" s="10">
        <v>5.3999999999999999E-2</v>
      </c>
      <c r="N1797" s="6" t="s">
        <v>8080</v>
      </c>
      <c r="O1797" s="11">
        <v>10000</v>
      </c>
      <c r="P1797" s="11"/>
      <c r="Q1797" s="18">
        <v>1000</v>
      </c>
      <c r="R1797" s="19"/>
    </row>
    <row r="1798" spans="1:18" x14ac:dyDescent="0.3">
      <c r="A1798" s="6" t="s">
        <v>8081</v>
      </c>
      <c r="B1798" s="7" t="s">
        <v>5391</v>
      </c>
      <c r="C1798" s="17" t="s">
        <v>8082</v>
      </c>
      <c r="D1798" s="17"/>
      <c r="E1798" s="8">
        <v>14575</v>
      </c>
      <c r="F1798" s="9">
        <v>83</v>
      </c>
      <c r="G1798" s="6" t="s">
        <v>8083</v>
      </c>
      <c r="H1798" s="7" t="s">
        <v>25</v>
      </c>
      <c r="I1798" s="6"/>
      <c r="J1798" s="7" t="s">
        <v>41</v>
      </c>
      <c r="K1798" s="7" t="s">
        <v>26</v>
      </c>
      <c r="L1798" s="9">
        <v>76</v>
      </c>
      <c r="M1798" s="10">
        <v>5.9799999999999999E-2</v>
      </c>
      <c r="N1798" s="6" t="s">
        <v>8084</v>
      </c>
      <c r="O1798" s="11">
        <v>15200.96</v>
      </c>
      <c r="P1798" s="11"/>
      <c r="Q1798" s="18">
        <v>0.82</v>
      </c>
      <c r="R1798" s="19"/>
    </row>
    <row r="1799" spans="1:18" hidden="1" x14ac:dyDescent="0.3">
      <c r="A1799" s="6" t="s">
        <v>8085</v>
      </c>
      <c r="B1799" s="7" t="s">
        <v>924</v>
      </c>
      <c r="C1799" s="17" t="s">
        <v>8082</v>
      </c>
      <c r="D1799" s="17"/>
      <c r="E1799" s="7" t="s">
        <v>4657</v>
      </c>
      <c r="F1799" s="9">
        <v>76</v>
      </c>
      <c r="G1799" s="6" t="s">
        <v>8086</v>
      </c>
      <c r="H1799" s="7" t="s">
        <v>25</v>
      </c>
      <c r="I1799" s="6" t="s">
        <v>19</v>
      </c>
      <c r="J1799" s="7" t="s">
        <v>20</v>
      </c>
      <c r="K1799" s="7" t="s">
        <v>32</v>
      </c>
      <c r="L1799" s="6"/>
      <c r="M1799" s="10">
        <v>5.9799999999999999E-2</v>
      </c>
      <c r="N1799" s="6" t="s">
        <v>8087</v>
      </c>
      <c r="O1799" s="6" t="s">
        <v>19</v>
      </c>
      <c r="P1799" s="6"/>
      <c r="Q1799" s="19" t="s">
        <v>19</v>
      </c>
      <c r="R1799" s="19"/>
    </row>
    <row r="1800" spans="1:18" ht="43.2" hidden="1" x14ac:dyDescent="0.3">
      <c r="A1800" s="6" t="s">
        <v>8088</v>
      </c>
      <c r="B1800" s="7" t="s">
        <v>4622</v>
      </c>
      <c r="C1800" s="17" t="s">
        <v>5052</v>
      </c>
      <c r="D1800" s="17"/>
      <c r="E1800" s="8">
        <v>16160</v>
      </c>
      <c r="F1800" s="9">
        <v>78</v>
      </c>
      <c r="G1800" s="6" t="s">
        <v>8089</v>
      </c>
      <c r="H1800" s="7" t="s">
        <v>39</v>
      </c>
      <c r="I1800" s="6" t="s">
        <v>122</v>
      </c>
      <c r="J1800" s="7" t="s">
        <v>20</v>
      </c>
      <c r="K1800" s="7" t="s">
        <v>26</v>
      </c>
      <c r="L1800" s="6"/>
      <c r="M1800" s="10">
        <v>6.3600000000000004E-2</v>
      </c>
      <c r="N1800" s="6" t="s">
        <v>8090</v>
      </c>
      <c r="O1800" s="11">
        <v>16000</v>
      </c>
      <c r="P1800" s="11"/>
      <c r="Q1800" s="18">
        <v>2000</v>
      </c>
      <c r="R1800" s="19"/>
    </row>
    <row r="1801" spans="1:18" ht="43.2" hidden="1" x14ac:dyDescent="0.3">
      <c r="A1801" s="6" t="s">
        <v>8091</v>
      </c>
      <c r="B1801" s="7" t="s">
        <v>8092</v>
      </c>
      <c r="C1801" s="17" t="s">
        <v>8093</v>
      </c>
      <c r="D1801" s="17"/>
      <c r="E1801" s="8">
        <v>17193</v>
      </c>
      <c r="F1801" s="9">
        <v>75</v>
      </c>
      <c r="G1801" s="6" t="s">
        <v>8094</v>
      </c>
      <c r="H1801" s="7" t="s">
        <v>39</v>
      </c>
      <c r="I1801" s="6" t="s">
        <v>8095</v>
      </c>
      <c r="J1801" s="7" t="s">
        <v>20</v>
      </c>
      <c r="K1801" s="7" t="s">
        <v>26</v>
      </c>
      <c r="L1801" s="6"/>
      <c r="M1801" s="10">
        <v>5.8200000000000002E-2</v>
      </c>
      <c r="N1801" s="6" t="s">
        <v>8096</v>
      </c>
      <c r="O1801" s="11">
        <v>16502.25</v>
      </c>
      <c r="P1801" s="11"/>
      <c r="Q1801" s="18">
        <v>1300.45</v>
      </c>
      <c r="R1801" s="19"/>
    </row>
    <row r="1802" spans="1:18" ht="28.8" hidden="1" x14ac:dyDescent="0.3">
      <c r="A1802" s="6" t="s">
        <v>8097</v>
      </c>
      <c r="B1802" s="7" t="s">
        <v>2857</v>
      </c>
      <c r="C1802" s="17" t="s">
        <v>8098</v>
      </c>
      <c r="D1802" s="17"/>
      <c r="E1802" s="7" t="s">
        <v>7640</v>
      </c>
      <c r="F1802" s="9">
        <v>72</v>
      </c>
      <c r="G1802" s="6" t="s">
        <v>8099</v>
      </c>
      <c r="H1802" s="7" t="s">
        <v>39</v>
      </c>
      <c r="I1802" s="6" t="s">
        <v>2315</v>
      </c>
      <c r="J1802" s="7" t="s">
        <v>41</v>
      </c>
      <c r="K1802" s="7" t="s">
        <v>26</v>
      </c>
      <c r="L1802" s="9">
        <v>69</v>
      </c>
      <c r="M1802" s="10">
        <v>4.7600000000000003E-2</v>
      </c>
      <c r="N1802" s="6" t="s">
        <v>8100</v>
      </c>
      <c r="O1802" s="6" t="s">
        <v>19</v>
      </c>
      <c r="P1802" s="6"/>
      <c r="Q1802" s="19" t="s">
        <v>19</v>
      </c>
      <c r="R1802" s="19"/>
    </row>
    <row r="1803" spans="1:18" x14ac:dyDescent="0.3">
      <c r="A1803" s="6" t="s">
        <v>8101</v>
      </c>
      <c r="B1803" s="7" t="s">
        <v>5817</v>
      </c>
      <c r="C1803" s="17" t="s">
        <v>4739</v>
      </c>
      <c r="D1803" s="17"/>
      <c r="E1803" s="8">
        <v>17054</v>
      </c>
      <c r="F1803" s="9">
        <v>76</v>
      </c>
      <c r="G1803" s="6" t="s">
        <v>8102</v>
      </c>
      <c r="H1803" s="7" t="s">
        <v>25</v>
      </c>
      <c r="I1803" s="6"/>
      <c r="J1803" s="7" t="s">
        <v>41</v>
      </c>
      <c r="K1803" s="7" t="s">
        <v>26</v>
      </c>
      <c r="L1803" s="9">
        <v>75</v>
      </c>
      <c r="M1803" s="10">
        <v>5.8200000000000002E-2</v>
      </c>
      <c r="N1803" s="6" t="s">
        <v>8103</v>
      </c>
      <c r="O1803" s="11">
        <v>10444.799999999999</v>
      </c>
      <c r="P1803" s="11"/>
      <c r="Q1803" s="18">
        <v>1305.5999999999999</v>
      </c>
      <c r="R1803" s="19"/>
    </row>
    <row r="1804" spans="1:18" ht="43.2" hidden="1" x14ac:dyDescent="0.3">
      <c r="A1804" s="6" t="s">
        <v>8104</v>
      </c>
      <c r="B1804" s="7" t="s">
        <v>4008</v>
      </c>
      <c r="C1804" s="17" t="s">
        <v>8105</v>
      </c>
      <c r="D1804" s="17"/>
      <c r="E1804" s="8">
        <v>16690</v>
      </c>
      <c r="F1804" s="9">
        <v>77</v>
      </c>
      <c r="G1804" s="6" t="s">
        <v>8106</v>
      </c>
      <c r="H1804" s="7" t="s">
        <v>39</v>
      </c>
      <c r="I1804" s="6" t="s">
        <v>8107</v>
      </c>
      <c r="J1804" s="7" t="s">
        <v>20</v>
      </c>
      <c r="K1804" s="7" t="s">
        <v>26</v>
      </c>
      <c r="L1804" s="6"/>
      <c r="M1804" s="10">
        <v>6.1699999999999998E-2</v>
      </c>
      <c r="N1804" s="6" t="s">
        <v>8107</v>
      </c>
      <c r="O1804" s="11">
        <v>44635.68</v>
      </c>
      <c r="P1804" s="11"/>
      <c r="Q1804" s="18">
        <v>5579.46</v>
      </c>
      <c r="R1804" s="19"/>
    </row>
    <row r="1805" spans="1:18" hidden="1" x14ac:dyDescent="0.3">
      <c r="A1805" s="6" t="s">
        <v>8108</v>
      </c>
      <c r="B1805" s="7" t="s">
        <v>2192</v>
      </c>
      <c r="C1805" s="17" t="s">
        <v>8109</v>
      </c>
      <c r="D1805" s="17"/>
      <c r="E1805" s="7" t="s">
        <v>8110</v>
      </c>
      <c r="F1805" s="9">
        <v>80</v>
      </c>
      <c r="G1805" s="6" t="s">
        <v>8111</v>
      </c>
      <c r="H1805" s="7" t="s">
        <v>25</v>
      </c>
      <c r="I1805" s="6" t="s">
        <v>19</v>
      </c>
      <c r="J1805" s="7" t="s">
        <v>20</v>
      </c>
      <c r="K1805" s="7" t="s">
        <v>32</v>
      </c>
      <c r="L1805" s="6"/>
      <c r="M1805" s="10">
        <v>6.8199999999999997E-2</v>
      </c>
      <c r="N1805" s="6" t="s">
        <v>8112</v>
      </c>
      <c r="O1805" s="6" t="s">
        <v>19</v>
      </c>
      <c r="P1805" s="6"/>
      <c r="Q1805" s="19" t="s">
        <v>19</v>
      </c>
      <c r="R1805" s="19"/>
    </row>
    <row r="1806" spans="1:18" ht="43.2" x14ac:dyDescent="0.3">
      <c r="A1806" s="6" t="s">
        <v>8113</v>
      </c>
      <c r="B1806" s="7" t="s">
        <v>645</v>
      </c>
      <c r="C1806" s="17" t="s">
        <v>8114</v>
      </c>
      <c r="D1806" s="17"/>
      <c r="E1806" s="8">
        <v>17298</v>
      </c>
      <c r="F1806" s="9">
        <v>75</v>
      </c>
      <c r="G1806" s="6" t="s">
        <v>8115</v>
      </c>
      <c r="H1806" s="7" t="s">
        <v>39</v>
      </c>
      <c r="I1806" s="6" t="s">
        <v>8116</v>
      </c>
      <c r="J1806" s="7" t="s">
        <v>41</v>
      </c>
      <c r="K1806" s="7" t="s">
        <v>26</v>
      </c>
      <c r="L1806" s="9">
        <v>61</v>
      </c>
      <c r="M1806" s="10">
        <v>3.4500000000000003E-2</v>
      </c>
      <c r="N1806" s="6" t="s">
        <v>8117</v>
      </c>
      <c r="O1806" s="11">
        <v>52080</v>
      </c>
      <c r="P1806" s="11"/>
      <c r="Q1806" s="18">
        <v>6510</v>
      </c>
      <c r="R1806" s="19"/>
    </row>
    <row r="1807" spans="1:18" ht="43.2" hidden="1" x14ac:dyDescent="0.3">
      <c r="A1807" s="6" t="s">
        <v>8118</v>
      </c>
      <c r="B1807" s="7" t="s">
        <v>1125</v>
      </c>
      <c r="C1807" s="17" t="s">
        <v>8119</v>
      </c>
      <c r="D1807" s="17"/>
      <c r="E1807" s="8">
        <v>18224</v>
      </c>
      <c r="F1807" s="9">
        <v>73</v>
      </c>
      <c r="G1807" s="6" t="s">
        <v>8120</v>
      </c>
      <c r="H1807" s="7" t="s">
        <v>39</v>
      </c>
      <c r="I1807" s="6" t="s">
        <v>132</v>
      </c>
      <c r="J1807" s="7" t="s">
        <v>20</v>
      </c>
      <c r="K1807" s="7" t="s">
        <v>26</v>
      </c>
      <c r="L1807" s="6"/>
      <c r="M1807" s="10">
        <v>5.5300000000000002E-2</v>
      </c>
      <c r="N1807" s="6" t="s">
        <v>8121</v>
      </c>
      <c r="O1807" s="11">
        <v>12000</v>
      </c>
      <c r="P1807" s="11"/>
      <c r="Q1807" s="18">
        <v>1500</v>
      </c>
      <c r="R1807" s="19"/>
    </row>
    <row r="1808" spans="1:18" ht="43.2" hidden="1" x14ac:dyDescent="0.3">
      <c r="A1808" s="6" t="s">
        <v>8122</v>
      </c>
      <c r="B1808" s="7" t="s">
        <v>5391</v>
      </c>
      <c r="C1808" s="17" t="s">
        <v>8123</v>
      </c>
      <c r="D1808" s="17"/>
      <c r="E1808" s="8">
        <v>15607</v>
      </c>
      <c r="F1808" s="9">
        <v>80</v>
      </c>
      <c r="G1808" s="6" t="s">
        <v>8124</v>
      </c>
      <c r="H1808" s="7" t="s">
        <v>39</v>
      </c>
      <c r="I1808" s="6" t="s">
        <v>1026</v>
      </c>
      <c r="J1808" s="7" t="s">
        <v>20</v>
      </c>
      <c r="K1808" s="7" t="s">
        <v>26</v>
      </c>
      <c r="L1808" s="6"/>
      <c r="M1808" s="10">
        <v>6.8199999999999997E-2</v>
      </c>
      <c r="N1808" s="6" t="s">
        <v>8125</v>
      </c>
      <c r="O1808" s="11">
        <v>8800</v>
      </c>
      <c r="P1808" s="11"/>
      <c r="Q1808" s="18">
        <v>1100</v>
      </c>
      <c r="R1808" s="19"/>
    </row>
    <row r="1809" spans="1:18" ht="43.2" hidden="1" x14ac:dyDescent="0.3">
      <c r="A1809" s="6" t="s">
        <v>8126</v>
      </c>
      <c r="B1809" s="7" t="s">
        <v>8127</v>
      </c>
      <c r="C1809" s="17" t="s">
        <v>8128</v>
      </c>
      <c r="D1809" s="17"/>
      <c r="E1809" s="8">
        <v>16538</v>
      </c>
      <c r="F1809" s="9">
        <v>77</v>
      </c>
      <c r="G1809" s="6" t="s">
        <v>8129</v>
      </c>
      <c r="H1809" s="7" t="s">
        <v>39</v>
      </c>
      <c r="I1809" s="6" t="s">
        <v>8130</v>
      </c>
      <c r="J1809" s="7" t="s">
        <v>20</v>
      </c>
      <c r="K1809" s="7" t="s">
        <v>26</v>
      </c>
      <c r="L1809" s="6"/>
      <c r="M1809" s="10">
        <v>6.1699999999999998E-2</v>
      </c>
      <c r="N1809" s="6" t="s">
        <v>8131</v>
      </c>
      <c r="O1809" s="11">
        <v>30600</v>
      </c>
      <c r="P1809" s="11"/>
      <c r="Q1809" s="18">
        <v>6300</v>
      </c>
      <c r="R1809" s="19"/>
    </row>
    <row r="1810" spans="1:18" hidden="1" x14ac:dyDescent="0.3">
      <c r="A1810" s="6" t="s">
        <v>8132</v>
      </c>
      <c r="B1810" s="7" t="s">
        <v>621</v>
      </c>
      <c r="C1810" s="17" t="s">
        <v>8133</v>
      </c>
      <c r="D1810" s="17"/>
      <c r="E1810" s="7" t="s">
        <v>8134</v>
      </c>
      <c r="F1810" s="9">
        <v>80</v>
      </c>
      <c r="G1810" s="6" t="s">
        <v>8135</v>
      </c>
      <c r="H1810" s="7" t="s">
        <v>25</v>
      </c>
      <c r="I1810" s="6" t="s">
        <v>19</v>
      </c>
      <c r="J1810" s="7" t="s">
        <v>20</v>
      </c>
      <c r="K1810" s="7" t="s">
        <v>32</v>
      </c>
      <c r="L1810" s="6"/>
      <c r="M1810" s="10">
        <v>6.8199999999999997E-2</v>
      </c>
      <c r="N1810" s="6" t="s">
        <v>8136</v>
      </c>
      <c r="O1810" s="6" t="s">
        <v>19</v>
      </c>
      <c r="P1810" s="6"/>
      <c r="Q1810" s="19" t="s">
        <v>19</v>
      </c>
      <c r="R1810" s="19"/>
    </row>
    <row r="1811" spans="1:18" ht="43.2" hidden="1" x14ac:dyDescent="0.3">
      <c r="A1811" s="6" t="s">
        <v>8137</v>
      </c>
      <c r="B1811" s="7" t="s">
        <v>509</v>
      </c>
      <c r="C1811" s="17" t="s">
        <v>8138</v>
      </c>
      <c r="D1811" s="17"/>
      <c r="E1811" s="8">
        <v>18200</v>
      </c>
      <c r="F1811" s="9">
        <v>73</v>
      </c>
      <c r="G1811" s="6" t="s">
        <v>8139</v>
      </c>
      <c r="H1811" s="7" t="s">
        <v>39</v>
      </c>
      <c r="I1811" s="6" t="s">
        <v>40</v>
      </c>
      <c r="J1811" s="7" t="s">
        <v>20</v>
      </c>
      <c r="K1811" s="7" t="s">
        <v>26</v>
      </c>
      <c r="L1811" s="6"/>
      <c r="M1811" s="10">
        <v>5.5300000000000002E-2</v>
      </c>
      <c r="N1811" s="6" t="s">
        <v>8140</v>
      </c>
      <c r="O1811" s="11">
        <v>25500</v>
      </c>
      <c r="P1811" s="11"/>
      <c r="Q1811" s="18">
        <v>3000</v>
      </c>
      <c r="R1811" s="19"/>
    </row>
    <row r="1812" spans="1:18" ht="43.2" hidden="1" x14ac:dyDescent="0.3">
      <c r="A1812" s="6" t="s">
        <v>8141</v>
      </c>
      <c r="B1812" s="7" t="s">
        <v>3706</v>
      </c>
      <c r="C1812" s="17" t="s">
        <v>8142</v>
      </c>
      <c r="D1812" s="17"/>
      <c r="E1812" s="8">
        <v>18579</v>
      </c>
      <c r="F1812" s="9">
        <v>72</v>
      </c>
      <c r="G1812" s="6" t="s">
        <v>8143</v>
      </c>
      <c r="H1812" s="7" t="s">
        <v>39</v>
      </c>
      <c r="I1812" s="6" t="s">
        <v>5785</v>
      </c>
      <c r="J1812" s="7" t="s">
        <v>20</v>
      </c>
      <c r="K1812" s="7" t="s">
        <v>26</v>
      </c>
      <c r="L1812" s="6"/>
      <c r="M1812" s="10">
        <v>5.3999999999999999E-2</v>
      </c>
      <c r="N1812" s="6" t="s">
        <v>8144</v>
      </c>
      <c r="O1812" s="11">
        <v>38000</v>
      </c>
      <c r="P1812" s="11"/>
      <c r="Q1812" s="18">
        <v>4750</v>
      </c>
      <c r="R1812" s="19"/>
    </row>
    <row r="1813" spans="1:18" ht="28.8" hidden="1" x14ac:dyDescent="0.3">
      <c r="A1813" s="6" t="s">
        <v>8145</v>
      </c>
      <c r="B1813" s="7" t="s">
        <v>129</v>
      </c>
      <c r="C1813" s="17" t="s">
        <v>8146</v>
      </c>
      <c r="D1813" s="17"/>
      <c r="E1813" s="8">
        <v>16664</v>
      </c>
      <c r="F1813" s="9">
        <v>77</v>
      </c>
      <c r="G1813" s="6" t="s">
        <v>8147</v>
      </c>
      <c r="H1813" s="7" t="s">
        <v>39</v>
      </c>
      <c r="I1813" s="6" t="s">
        <v>2738</v>
      </c>
      <c r="J1813" s="7" t="s">
        <v>20</v>
      </c>
      <c r="K1813" s="7" t="s">
        <v>26</v>
      </c>
      <c r="L1813" s="6"/>
      <c r="M1813" s="10">
        <v>6.1699999999999998E-2</v>
      </c>
      <c r="N1813" s="6" t="s">
        <v>8148</v>
      </c>
      <c r="O1813" s="11">
        <v>800</v>
      </c>
      <c r="P1813" s="11"/>
      <c r="Q1813" s="18">
        <v>100</v>
      </c>
      <c r="R1813" s="19"/>
    </row>
    <row r="1814" spans="1:18" hidden="1" x14ac:dyDescent="0.3">
      <c r="A1814" s="6" t="s">
        <v>8149</v>
      </c>
      <c r="B1814" s="7" t="s">
        <v>1694</v>
      </c>
      <c r="C1814" s="17" t="s">
        <v>8150</v>
      </c>
      <c r="D1814" s="17"/>
      <c r="E1814" s="8">
        <v>18182</v>
      </c>
      <c r="F1814" s="9">
        <v>73</v>
      </c>
      <c r="G1814" s="6" t="s">
        <v>8151</v>
      </c>
      <c r="H1814" s="7" t="s">
        <v>25</v>
      </c>
      <c r="I1814" s="6"/>
      <c r="J1814" s="7" t="s">
        <v>20</v>
      </c>
      <c r="K1814" s="7" t="s">
        <v>26</v>
      </c>
      <c r="L1814" s="6"/>
      <c r="M1814" s="10">
        <v>5.5300000000000002E-2</v>
      </c>
      <c r="N1814" s="6" t="s">
        <v>8152</v>
      </c>
      <c r="O1814" s="11">
        <v>37693.919999999998</v>
      </c>
      <c r="P1814" s="11"/>
      <c r="Q1814" s="18">
        <v>598.32000000000005</v>
      </c>
      <c r="R1814" s="19"/>
    </row>
    <row r="1815" spans="1:18" ht="28.8" hidden="1" x14ac:dyDescent="0.3">
      <c r="A1815" s="6" t="s">
        <v>8153</v>
      </c>
      <c r="B1815" s="7" t="s">
        <v>29</v>
      </c>
      <c r="C1815" s="17" t="s">
        <v>8154</v>
      </c>
      <c r="D1815" s="17"/>
      <c r="E1815" s="8">
        <v>17873</v>
      </c>
      <c r="F1815" s="9">
        <v>74</v>
      </c>
      <c r="G1815" s="6" t="s">
        <v>8155</v>
      </c>
      <c r="H1815" s="7" t="s">
        <v>39</v>
      </c>
      <c r="I1815" s="6" t="s">
        <v>321</v>
      </c>
      <c r="J1815" s="7" t="s">
        <v>20</v>
      </c>
      <c r="K1815" s="7" t="s">
        <v>26</v>
      </c>
      <c r="L1815" s="6"/>
      <c r="M1815" s="10">
        <v>5.67E-2</v>
      </c>
      <c r="N1815" s="6" t="s">
        <v>8156</v>
      </c>
      <c r="O1815" s="11">
        <v>4000</v>
      </c>
      <c r="P1815" s="11"/>
      <c r="Q1815" s="18">
        <v>500</v>
      </c>
      <c r="R1815" s="19"/>
    </row>
    <row r="1816" spans="1:18" hidden="1" x14ac:dyDescent="0.3">
      <c r="A1816" s="6" t="s">
        <v>8157</v>
      </c>
      <c r="B1816" s="7" t="s">
        <v>2192</v>
      </c>
      <c r="C1816" s="17" t="s">
        <v>8158</v>
      </c>
      <c r="D1816" s="17"/>
      <c r="E1816" s="8">
        <v>16404</v>
      </c>
      <c r="F1816" s="9">
        <v>78</v>
      </c>
      <c r="G1816" s="6" t="s">
        <v>8159</v>
      </c>
      <c r="H1816" s="7" t="s">
        <v>25</v>
      </c>
      <c r="I1816" s="6"/>
      <c r="J1816" s="7" t="s">
        <v>20</v>
      </c>
      <c r="K1816" s="7" t="s">
        <v>26</v>
      </c>
      <c r="L1816" s="6"/>
      <c r="M1816" s="10">
        <v>6.3600000000000004E-2</v>
      </c>
      <c r="N1816" s="6" t="s">
        <v>8160</v>
      </c>
      <c r="O1816" s="11">
        <v>27500</v>
      </c>
      <c r="P1816" s="11"/>
      <c r="Q1816" s="18">
        <v>27500</v>
      </c>
      <c r="R1816" s="19"/>
    </row>
    <row r="1817" spans="1:18" ht="28.8" x14ac:dyDescent="0.3">
      <c r="A1817" s="6" t="s">
        <v>8161</v>
      </c>
      <c r="B1817" s="7" t="s">
        <v>783</v>
      </c>
      <c r="C1817" s="17" t="s">
        <v>8162</v>
      </c>
      <c r="D1817" s="17"/>
      <c r="E1817" s="8">
        <v>18275</v>
      </c>
      <c r="F1817" s="9">
        <v>72</v>
      </c>
      <c r="G1817" s="6" t="s">
        <v>8163</v>
      </c>
      <c r="H1817" s="7" t="s">
        <v>39</v>
      </c>
      <c r="I1817" s="6" t="s">
        <v>321</v>
      </c>
      <c r="J1817" s="7" t="s">
        <v>41</v>
      </c>
      <c r="K1817" s="7" t="s">
        <v>26</v>
      </c>
      <c r="L1817" s="9">
        <v>66</v>
      </c>
      <c r="M1817" s="10">
        <v>4.1700000000000001E-2</v>
      </c>
      <c r="N1817" s="6" t="s">
        <v>8164</v>
      </c>
      <c r="O1817" s="11">
        <v>4000</v>
      </c>
      <c r="P1817" s="11"/>
      <c r="Q1817" s="18">
        <v>500</v>
      </c>
      <c r="R1817" s="19"/>
    </row>
    <row r="1818" spans="1:18" ht="43.2" x14ac:dyDescent="0.3">
      <c r="A1818" s="6" t="s">
        <v>8165</v>
      </c>
      <c r="B1818" s="7" t="s">
        <v>129</v>
      </c>
      <c r="C1818" s="17" t="s">
        <v>8166</v>
      </c>
      <c r="D1818" s="17"/>
      <c r="E1818" s="8">
        <v>17986</v>
      </c>
      <c r="F1818" s="9">
        <v>73</v>
      </c>
      <c r="G1818" s="6" t="s">
        <v>8167</v>
      </c>
      <c r="H1818" s="7" t="s">
        <v>39</v>
      </c>
      <c r="I1818" s="6" t="s">
        <v>144</v>
      </c>
      <c r="J1818" s="7" t="s">
        <v>41</v>
      </c>
      <c r="K1818" s="7" t="s">
        <v>26</v>
      </c>
      <c r="L1818" s="9">
        <v>72</v>
      </c>
      <c r="M1818" s="10">
        <v>5.3999999999999999E-2</v>
      </c>
      <c r="N1818" s="6" t="s">
        <v>8168</v>
      </c>
      <c r="O1818" s="11">
        <v>40000</v>
      </c>
      <c r="P1818" s="11"/>
      <c r="Q1818" s="18">
        <v>5000</v>
      </c>
      <c r="R1818" s="19"/>
    </row>
    <row r="1819" spans="1:18" ht="43.2" hidden="1" x14ac:dyDescent="0.3">
      <c r="A1819" s="6" t="s">
        <v>8169</v>
      </c>
      <c r="B1819" s="7" t="s">
        <v>3105</v>
      </c>
      <c r="C1819" s="17" t="s">
        <v>8170</v>
      </c>
      <c r="D1819" s="17"/>
      <c r="E1819" s="8">
        <v>17717</v>
      </c>
      <c r="F1819" s="9">
        <v>74</v>
      </c>
      <c r="G1819" s="6" t="s">
        <v>8171</v>
      </c>
      <c r="H1819" s="7" t="s">
        <v>39</v>
      </c>
      <c r="I1819" s="6" t="s">
        <v>40</v>
      </c>
      <c r="J1819" s="7" t="s">
        <v>20</v>
      </c>
      <c r="K1819" s="7" t="s">
        <v>26</v>
      </c>
      <c r="L1819" s="6"/>
      <c r="M1819" s="10">
        <v>5.67E-2</v>
      </c>
      <c r="N1819" s="6" t="s">
        <v>8172</v>
      </c>
      <c r="O1819" s="11">
        <v>24000</v>
      </c>
      <c r="P1819" s="11"/>
      <c r="Q1819" s="18">
        <v>3000</v>
      </c>
      <c r="R1819" s="19"/>
    </row>
    <row r="1820" spans="1:18" ht="43.2" hidden="1" x14ac:dyDescent="0.3">
      <c r="A1820" s="6" t="s">
        <v>8173</v>
      </c>
      <c r="B1820" s="7" t="s">
        <v>219</v>
      </c>
      <c r="C1820" s="17" t="s">
        <v>8174</v>
      </c>
      <c r="D1820" s="17"/>
      <c r="E1820" s="8">
        <v>17785</v>
      </c>
      <c r="F1820" s="9">
        <v>74</v>
      </c>
      <c r="G1820" s="6" t="s">
        <v>8175</v>
      </c>
      <c r="H1820" s="7" t="s">
        <v>39</v>
      </c>
      <c r="I1820" s="6" t="s">
        <v>227</v>
      </c>
      <c r="J1820" s="7" t="s">
        <v>20</v>
      </c>
      <c r="K1820" s="7" t="s">
        <v>26</v>
      </c>
      <c r="L1820" s="6"/>
      <c r="M1820" s="10">
        <v>5.67E-2</v>
      </c>
      <c r="N1820" s="6" t="s">
        <v>8176</v>
      </c>
      <c r="O1820" s="11">
        <v>18400</v>
      </c>
      <c r="P1820" s="11"/>
      <c r="Q1820" s="18">
        <v>2300</v>
      </c>
      <c r="R1820" s="19"/>
    </row>
    <row r="1821" spans="1:18" hidden="1" x14ac:dyDescent="0.3">
      <c r="A1821" s="6" t="s">
        <v>8177</v>
      </c>
      <c r="B1821" s="7" t="s">
        <v>8178</v>
      </c>
      <c r="C1821" s="17" t="s">
        <v>8179</v>
      </c>
      <c r="D1821" s="17"/>
      <c r="E1821" s="8">
        <v>16590</v>
      </c>
      <c r="F1821" s="9">
        <v>77</v>
      </c>
      <c r="G1821" s="6" t="s">
        <v>8180</v>
      </c>
      <c r="H1821" s="7" t="s">
        <v>25</v>
      </c>
      <c r="I1821" s="6"/>
      <c r="J1821" s="7" t="s">
        <v>20</v>
      </c>
      <c r="K1821" s="7" t="s">
        <v>32</v>
      </c>
      <c r="L1821" s="6"/>
      <c r="M1821" s="10">
        <v>6.1699999999999998E-2</v>
      </c>
      <c r="N1821" s="6" t="s">
        <v>8181</v>
      </c>
      <c r="O1821" s="11">
        <v>10622.57</v>
      </c>
      <c r="P1821" s="11"/>
      <c r="Q1821" s="18">
        <v>10622.57</v>
      </c>
      <c r="R1821" s="19"/>
    </row>
    <row r="1822" spans="1:18" ht="43.2" hidden="1" x14ac:dyDescent="0.3">
      <c r="A1822" s="6" t="s">
        <v>8182</v>
      </c>
      <c r="B1822" s="7" t="s">
        <v>2396</v>
      </c>
      <c r="C1822" s="17" t="s">
        <v>8183</v>
      </c>
      <c r="D1822" s="17"/>
      <c r="E1822" s="8">
        <v>18550</v>
      </c>
      <c r="F1822" s="9">
        <v>72</v>
      </c>
      <c r="G1822" s="6" t="s">
        <v>8184</v>
      </c>
      <c r="H1822" s="7" t="s">
        <v>39</v>
      </c>
      <c r="I1822" s="6" t="s">
        <v>8185</v>
      </c>
      <c r="J1822" s="7" t="s">
        <v>20</v>
      </c>
      <c r="K1822" s="7" t="s">
        <v>26</v>
      </c>
      <c r="L1822" s="6"/>
      <c r="M1822" s="10">
        <v>5.3999999999999999E-2</v>
      </c>
      <c r="N1822" s="6" t="s">
        <v>8186</v>
      </c>
      <c r="O1822" s="11">
        <v>15064</v>
      </c>
      <c r="P1822" s="11"/>
      <c r="Q1822" s="18">
        <v>1883</v>
      </c>
      <c r="R1822" s="19"/>
    </row>
    <row r="1823" spans="1:18" hidden="1" x14ac:dyDescent="0.3">
      <c r="A1823" s="6" t="s">
        <v>8187</v>
      </c>
      <c r="B1823" s="7" t="s">
        <v>8188</v>
      </c>
      <c r="C1823" s="17" t="s">
        <v>8189</v>
      </c>
      <c r="D1823" s="17"/>
      <c r="E1823" s="7" t="s">
        <v>8190</v>
      </c>
      <c r="F1823" s="9">
        <v>76</v>
      </c>
      <c r="G1823" s="6" t="s">
        <v>8191</v>
      </c>
      <c r="H1823" s="7" t="s">
        <v>25</v>
      </c>
      <c r="I1823" s="6" t="s">
        <v>19</v>
      </c>
      <c r="J1823" s="7" t="s">
        <v>41</v>
      </c>
      <c r="K1823" s="7" t="s">
        <v>26</v>
      </c>
      <c r="L1823" s="9">
        <v>72</v>
      </c>
      <c r="M1823" s="10">
        <v>5.3999999999999999E-2</v>
      </c>
      <c r="N1823" s="6" t="s">
        <v>8192</v>
      </c>
      <c r="O1823" s="6" t="s">
        <v>19</v>
      </c>
      <c r="P1823" s="6"/>
      <c r="Q1823" s="19" t="s">
        <v>19</v>
      </c>
      <c r="R1823" s="19"/>
    </row>
    <row r="1824" spans="1:18" hidden="1" x14ac:dyDescent="0.3">
      <c r="A1824" s="6" t="s">
        <v>8193</v>
      </c>
      <c r="B1824" s="7" t="s">
        <v>8194</v>
      </c>
      <c r="C1824" s="17" t="s">
        <v>8195</v>
      </c>
      <c r="D1824" s="17"/>
      <c r="E1824" s="7" t="s">
        <v>4022</v>
      </c>
      <c r="F1824" s="9">
        <v>77</v>
      </c>
      <c r="G1824" s="6" t="s">
        <v>8196</v>
      </c>
      <c r="H1824" s="7" t="s">
        <v>25</v>
      </c>
      <c r="I1824" s="6" t="s">
        <v>19</v>
      </c>
      <c r="J1824" s="7" t="s">
        <v>20</v>
      </c>
      <c r="K1824" s="7" t="s">
        <v>32</v>
      </c>
      <c r="L1824" s="6"/>
      <c r="M1824" s="10">
        <v>6.1699999999999998E-2</v>
      </c>
      <c r="N1824" s="6" t="s">
        <v>8197</v>
      </c>
      <c r="O1824" s="6" t="s">
        <v>19</v>
      </c>
      <c r="P1824" s="6"/>
      <c r="Q1824" s="19" t="s">
        <v>19</v>
      </c>
      <c r="R1824" s="19"/>
    </row>
    <row r="1825" spans="1:18" ht="28.8" hidden="1" x14ac:dyDescent="0.3">
      <c r="A1825" s="6" t="s">
        <v>8198</v>
      </c>
      <c r="B1825" s="7" t="s">
        <v>2119</v>
      </c>
      <c r="C1825" s="17" t="s">
        <v>4123</v>
      </c>
      <c r="D1825" s="17"/>
      <c r="E1825" s="8">
        <v>16747</v>
      </c>
      <c r="F1825" s="9">
        <v>77</v>
      </c>
      <c r="G1825" s="6" t="s">
        <v>8199</v>
      </c>
      <c r="H1825" s="7" t="s">
        <v>39</v>
      </c>
      <c r="I1825" s="6" t="s">
        <v>321</v>
      </c>
      <c r="J1825" s="7" t="s">
        <v>20</v>
      </c>
      <c r="K1825" s="7" t="s">
        <v>26</v>
      </c>
      <c r="L1825" s="6"/>
      <c r="M1825" s="10">
        <v>6.1699999999999998E-2</v>
      </c>
      <c r="N1825" s="6" t="s">
        <v>8200</v>
      </c>
      <c r="O1825" s="11">
        <v>4000</v>
      </c>
      <c r="P1825" s="11"/>
      <c r="Q1825" s="18">
        <v>500</v>
      </c>
      <c r="R1825" s="19"/>
    </row>
    <row r="1826" spans="1:18" hidden="1" x14ac:dyDescent="0.3">
      <c r="A1826" s="6" t="s">
        <v>8201</v>
      </c>
      <c r="B1826" s="7" t="s">
        <v>645</v>
      </c>
      <c r="C1826" s="17" t="s">
        <v>8202</v>
      </c>
      <c r="D1826" s="17"/>
      <c r="E1826" s="8">
        <v>17575</v>
      </c>
      <c r="F1826" s="9">
        <v>74</v>
      </c>
      <c r="G1826" s="6" t="s">
        <v>8203</v>
      </c>
      <c r="H1826" s="7" t="s">
        <v>25</v>
      </c>
      <c r="I1826" s="6"/>
      <c r="J1826" s="7" t="s">
        <v>20</v>
      </c>
      <c r="K1826" s="7" t="s">
        <v>26</v>
      </c>
      <c r="L1826" s="6"/>
      <c r="M1826" s="10">
        <v>5.67E-2</v>
      </c>
      <c r="N1826" s="6" t="s">
        <v>8204</v>
      </c>
      <c r="O1826" s="11">
        <v>31867.52</v>
      </c>
      <c r="P1826" s="11"/>
      <c r="Q1826" s="18">
        <v>3983.44</v>
      </c>
      <c r="R1826" s="19"/>
    </row>
    <row r="1827" spans="1:18" hidden="1" x14ac:dyDescent="0.3">
      <c r="A1827" s="6" t="s">
        <v>8205</v>
      </c>
      <c r="B1827" s="7" t="s">
        <v>4050</v>
      </c>
      <c r="C1827" s="17" t="s">
        <v>8206</v>
      </c>
      <c r="D1827" s="17"/>
      <c r="E1827" s="8">
        <v>18112</v>
      </c>
      <c r="F1827" s="9">
        <v>73</v>
      </c>
      <c r="G1827" s="6" t="s">
        <v>8207</v>
      </c>
      <c r="H1827" s="7" t="s">
        <v>25</v>
      </c>
      <c r="I1827" s="6"/>
      <c r="J1827" s="7" t="s">
        <v>20</v>
      </c>
      <c r="K1827" s="7" t="s">
        <v>32</v>
      </c>
      <c r="L1827" s="6"/>
      <c r="M1827" s="10">
        <v>5.5300000000000002E-2</v>
      </c>
      <c r="N1827" s="6" t="s">
        <v>8208</v>
      </c>
      <c r="O1827" s="11">
        <v>12131.57</v>
      </c>
      <c r="P1827" s="11"/>
      <c r="Q1827" s="18">
        <v>12131.57</v>
      </c>
      <c r="R1827" s="19"/>
    </row>
    <row r="1828" spans="1:18" ht="43.2" hidden="1" x14ac:dyDescent="0.3">
      <c r="A1828" s="6" t="s">
        <v>8209</v>
      </c>
      <c r="B1828" s="7" t="s">
        <v>7633</v>
      </c>
      <c r="C1828" s="17" t="s">
        <v>8210</v>
      </c>
      <c r="D1828" s="17"/>
      <c r="E1828" s="8">
        <v>15911</v>
      </c>
      <c r="F1828" s="9">
        <v>79</v>
      </c>
      <c r="G1828" s="6" t="s">
        <v>8211</v>
      </c>
      <c r="H1828" s="7" t="s">
        <v>39</v>
      </c>
      <c r="I1828" s="6" t="s">
        <v>728</v>
      </c>
      <c r="J1828" s="7" t="s">
        <v>20</v>
      </c>
      <c r="K1828" s="7" t="s">
        <v>26</v>
      </c>
      <c r="L1828" s="6"/>
      <c r="M1828" s="10">
        <v>6.5799999999999997E-2</v>
      </c>
      <c r="N1828" s="6" t="s">
        <v>8212</v>
      </c>
      <c r="O1828" s="11">
        <v>28000</v>
      </c>
      <c r="P1828" s="11"/>
      <c r="Q1828" s="18">
        <v>3500</v>
      </c>
      <c r="R1828" s="19"/>
    </row>
    <row r="1829" spans="1:18" ht="28.8" hidden="1" x14ac:dyDescent="0.3">
      <c r="A1829" s="6" t="s">
        <v>8213</v>
      </c>
      <c r="B1829" s="7" t="s">
        <v>8214</v>
      </c>
      <c r="C1829" s="17" t="s">
        <v>6341</v>
      </c>
      <c r="D1829" s="17"/>
      <c r="E1829" s="8">
        <v>16696</v>
      </c>
      <c r="F1829" s="9">
        <v>77</v>
      </c>
      <c r="G1829" s="6" t="s">
        <v>8215</v>
      </c>
      <c r="H1829" s="7" t="s">
        <v>39</v>
      </c>
      <c r="I1829" s="6" t="s">
        <v>321</v>
      </c>
      <c r="J1829" s="7" t="s">
        <v>20</v>
      </c>
      <c r="K1829" s="7" t="s">
        <v>26</v>
      </c>
      <c r="L1829" s="6"/>
      <c r="M1829" s="10">
        <v>6.1699999999999998E-2</v>
      </c>
      <c r="N1829" s="6" t="s">
        <v>8216</v>
      </c>
      <c r="O1829" s="11">
        <v>4000</v>
      </c>
      <c r="P1829" s="11"/>
      <c r="Q1829" s="18">
        <v>500</v>
      </c>
      <c r="R1829" s="19"/>
    </row>
    <row r="1830" spans="1:18" hidden="1" x14ac:dyDescent="0.3">
      <c r="A1830" s="6" t="s">
        <v>8217</v>
      </c>
      <c r="B1830" s="7" t="s">
        <v>531</v>
      </c>
      <c r="C1830" s="17" t="s">
        <v>8218</v>
      </c>
      <c r="D1830" s="17"/>
      <c r="E1830" s="7" t="s">
        <v>8219</v>
      </c>
      <c r="F1830" s="9">
        <v>80</v>
      </c>
      <c r="G1830" s="6" t="s">
        <v>8220</v>
      </c>
      <c r="H1830" s="7" t="s">
        <v>25</v>
      </c>
      <c r="I1830" s="6" t="s">
        <v>19</v>
      </c>
      <c r="J1830" s="7" t="s">
        <v>20</v>
      </c>
      <c r="K1830" s="7" t="s">
        <v>32</v>
      </c>
      <c r="L1830" s="6"/>
      <c r="M1830" s="10">
        <v>6.8199999999999997E-2</v>
      </c>
      <c r="N1830" s="6" t="s">
        <v>8221</v>
      </c>
      <c r="O1830" s="6" t="s">
        <v>19</v>
      </c>
      <c r="P1830" s="6"/>
      <c r="Q1830" s="19" t="s">
        <v>19</v>
      </c>
      <c r="R1830" s="19"/>
    </row>
    <row r="1831" spans="1:18" hidden="1" x14ac:dyDescent="0.3">
      <c r="A1831" s="6" t="s">
        <v>8222</v>
      </c>
      <c r="B1831" s="7" t="s">
        <v>640</v>
      </c>
      <c r="C1831" s="17" t="s">
        <v>6370</v>
      </c>
      <c r="D1831" s="17"/>
      <c r="E1831" s="7" t="s">
        <v>8223</v>
      </c>
      <c r="F1831" s="9">
        <v>78</v>
      </c>
      <c r="G1831" s="6" t="s">
        <v>8224</v>
      </c>
      <c r="H1831" s="7" t="s">
        <v>25</v>
      </c>
      <c r="I1831" s="6" t="s">
        <v>19</v>
      </c>
      <c r="J1831" s="7" t="s">
        <v>41</v>
      </c>
      <c r="K1831" s="7" t="s">
        <v>32</v>
      </c>
      <c r="L1831" s="9">
        <v>70</v>
      </c>
      <c r="M1831" s="10">
        <v>0.05</v>
      </c>
      <c r="N1831" s="6" t="s">
        <v>8225</v>
      </c>
      <c r="O1831" s="6" t="s">
        <v>19</v>
      </c>
      <c r="P1831" s="6"/>
      <c r="Q1831" s="19" t="s">
        <v>19</v>
      </c>
      <c r="R1831" s="19"/>
    </row>
    <row r="1832" spans="1:18" ht="43.2" hidden="1" x14ac:dyDescent="0.3">
      <c r="A1832" s="6" t="s">
        <v>8226</v>
      </c>
      <c r="B1832" s="7" t="s">
        <v>6715</v>
      </c>
      <c r="C1832" s="17" t="s">
        <v>8227</v>
      </c>
      <c r="D1832" s="17"/>
      <c r="E1832" s="8">
        <v>15415</v>
      </c>
      <c r="F1832" s="9">
        <v>80</v>
      </c>
      <c r="G1832" s="6" t="s">
        <v>8228</v>
      </c>
      <c r="H1832" s="7" t="s">
        <v>39</v>
      </c>
      <c r="I1832" s="6" t="s">
        <v>132</v>
      </c>
      <c r="J1832" s="7" t="s">
        <v>20</v>
      </c>
      <c r="K1832" s="7" t="s">
        <v>26</v>
      </c>
      <c r="L1832" s="6"/>
      <c r="M1832" s="10">
        <v>6.8199999999999997E-2</v>
      </c>
      <c r="N1832" s="6" t="s">
        <v>8229</v>
      </c>
      <c r="O1832" s="11">
        <v>12000</v>
      </c>
      <c r="P1832" s="11"/>
      <c r="Q1832" s="18">
        <v>1500</v>
      </c>
      <c r="R1832" s="19"/>
    </row>
    <row r="1833" spans="1:18" ht="43.2" x14ac:dyDescent="0.3">
      <c r="A1833" s="6" t="s">
        <v>8230</v>
      </c>
      <c r="B1833" s="7" t="s">
        <v>798</v>
      </c>
      <c r="C1833" s="17" t="s">
        <v>8231</v>
      </c>
      <c r="D1833" s="17"/>
      <c r="E1833" s="8">
        <v>16631</v>
      </c>
      <c r="F1833" s="9">
        <v>77</v>
      </c>
      <c r="G1833" s="6" t="s">
        <v>8232</v>
      </c>
      <c r="H1833" s="7" t="s">
        <v>39</v>
      </c>
      <c r="I1833" s="6" t="s">
        <v>243</v>
      </c>
      <c r="J1833" s="7" t="s">
        <v>41</v>
      </c>
      <c r="K1833" s="7" t="s">
        <v>26</v>
      </c>
      <c r="L1833" s="9">
        <v>72</v>
      </c>
      <c r="M1833" s="10">
        <v>5.3999999999999999E-2</v>
      </c>
      <c r="N1833" s="6" t="s">
        <v>8233</v>
      </c>
      <c r="O1833" s="11">
        <v>14400</v>
      </c>
      <c r="P1833" s="11"/>
      <c r="Q1833" s="18">
        <v>1800</v>
      </c>
      <c r="R1833" s="19"/>
    </row>
    <row r="1834" spans="1:18" ht="43.2" hidden="1" x14ac:dyDescent="0.3">
      <c r="A1834" s="6" t="s">
        <v>8234</v>
      </c>
      <c r="B1834" s="7" t="s">
        <v>8235</v>
      </c>
      <c r="C1834" s="17" t="s">
        <v>4050</v>
      </c>
      <c r="D1834" s="17"/>
      <c r="E1834" s="8">
        <v>17126</v>
      </c>
      <c r="F1834" s="9">
        <v>76</v>
      </c>
      <c r="G1834" s="6" t="s">
        <v>8236</v>
      </c>
      <c r="H1834" s="7" t="s">
        <v>39</v>
      </c>
      <c r="I1834" s="6" t="s">
        <v>1031</v>
      </c>
      <c r="J1834" s="7" t="s">
        <v>20</v>
      </c>
      <c r="K1834" s="7" t="s">
        <v>26</v>
      </c>
      <c r="L1834" s="6"/>
      <c r="M1834" s="10">
        <v>5.9799999999999999E-2</v>
      </c>
      <c r="N1834" s="6" t="s">
        <v>8237</v>
      </c>
      <c r="O1834" s="11">
        <v>18000</v>
      </c>
      <c r="P1834" s="11"/>
      <c r="Q1834" s="18">
        <v>2250</v>
      </c>
      <c r="R1834" s="19"/>
    </row>
    <row r="1835" spans="1:18" ht="43.2" x14ac:dyDescent="0.3">
      <c r="A1835" s="6" t="s">
        <v>8238</v>
      </c>
      <c r="B1835" s="7" t="s">
        <v>8239</v>
      </c>
      <c r="C1835" s="17" t="s">
        <v>8240</v>
      </c>
      <c r="D1835" s="17"/>
      <c r="E1835" s="8">
        <v>14818</v>
      </c>
      <c r="F1835" s="9">
        <v>82</v>
      </c>
      <c r="G1835" s="6" t="s">
        <v>8241</v>
      </c>
      <c r="H1835" s="7" t="s">
        <v>39</v>
      </c>
      <c r="I1835" s="6" t="s">
        <v>8242</v>
      </c>
      <c r="J1835" s="7" t="s">
        <v>41</v>
      </c>
      <c r="K1835" s="7" t="s">
        <v>26</v>
      </c>
      <c r="L1835" s="9">
        <v>77</v>
      </c>
      <c r="M1835" s="10">
        <v>6.1699999999999998E-2</v>
      </c>
      <c r="N1835" s="6" t="s">
        <v>8243</v>
      </c>
      <c r="O1835" s="11">
        <v>22196.16</v>
      </c>
      <c r="P1835" s="11"/>
      <c r="Q1835" s="18">
        <v>2774.52</v>
      </c>
      <c r="R1835" s="19"/>
    </row>
    <row r="1836" spans="1:18" ht="43.2" x14ac:dyDescent="0.3">
      <c r="A1836" s="6" t="s">
        <v>8244</v>
      </c>
      <c r="B1836" s="7" t="s">
        <v>330</v>
      </c>
      <c r="C1836" s="17" t="s">
        <v>8245</v>
      </c>
      <c r="D1836" s="17"/>
      <c r="E1836" s="8">
        <v>18495</v>
      </c>
      <c r="F1836" s="9">
        <v>72</v>
      </c>
      <c r="G1836" s="6" t="s">
        <v>8246</v>
      </c>
      <c r="H1836" s="7" t="s">
        <v>39</v>
      </c>
      <c r="I1836" s="6" t="s">
        <v>2877</v>
      </c>
      <c r="J1836" s="7" t="s">
        <v>41</v>
      </c>
      <c r="K1836" s="7" t="s">
        <v>26</v>
      </c>
      <c r="L1836" s="9">
        <v>70</v>
      </c>
      <c r="M1836" s="10">
        <v>0.05</v>
      </c>
      <c r="N1836" s="6" t="s">
        <v>8247</v>
      </c>
      <c r="O1836" s="11">
        <v>56000</v>
      </c>
      <c r="P1836" s="11"/>
      <c r="Q1836" s="18">
        <v>7000</v>
      </c>
      <c r="R1836" s="19"/>
    </row>
    <row r="1837" spans="1:18" hidden="1" x14ac:dyDescent="0.3">
      <c r="A1837" s="6" t="s">
        <v>8248</v>
      </c>
      <c r="B1837" s="7" t="s">
        <v>488</v>
      </c>
      <c r="C1837" s="17" t="s">
        <v>6001</v>
      </c>
      <c r="D1837" s="17"/>
      <c r="E1837" s="7" t="s">
        <v>442</v>
      </c>
      <c r="F1837" s="9">
        <v>73</v>
      </c>
      <c r="G1837" s="6" t="s">
        <v>8249</v>
      </c>
      <c r="H1837" s="7" t="s">
        <v>25</v>
      </c>
      <c r="I1837" s="6" t="s">
        <v>19</v>
      </c>
      <c r="J1837" s="7" t="s">
        <v>20</v>
      </c>
      <c r="K1837" s="7" t="s">
        <v>32</v>
      </c>
      <c r="L1837" s="6"/>
      <c r="M1837" s="10">
        <v>5.5300000000000002E-2</v>
      </c>
      <c r="N1837" s="6" t="s">
        <v>8250</v>
      </c>
      <c r="O1837" s="6" t="s">
        <v>19</v>
      </c>
      <c r="P1837" s="6"/>
      <c r="Q1837" s="19" t="s">
        <v>19</v>
      </c>
      <c r="R1837" s="19"/>
    </row>
    <row r="1838" spans="1:18" x14ac:dyDescent="0.3">
      <c r="A1838" s="6" t="s">
        <v>8251</v>
      </c>
      <c r="B1838" s="7" t="s">
        <v>830</v>
      </c>
      <c r="C1838" s="17" t="s">
        <v>8252</v>
      </c>
      <c r="D1838" s="17"/>
      <c r="E1838" s="8">
        <v>18440</v>
      </c>
      <c r="F1838" s="9">
        <v>72</v>
      </c>
      <c r="G1838" s="6" t="s">
        <v>8253</v>
      </c>
      <c r="H1838" s="7" t="s">
        <v>25</v>
      </c>
      <c r="I1838" s="6"/>
      <c r="J1838" s="7" t="s">
        <v>41</v>
      </c>
      <c r="K1838" s="7" t="s">
        <v>26</v>
      </c>
      <c r="L1838" s="9">
        <v>62</v>
      </c>
      <c r="M1838" s="10">
        <v>3.5700000000000003E-2</v>
      </c>
      <c r="N1838" s="6" t="s">
        <v>8254</v>
      </c>
      <c r="O1838" s="11">
        <v>7689.2</v>
      </c>
      <c r="P1838" s="11"/>
      <c r="Q1838" s="18">
        <v>961.15</v>
      </c>
      <c r="R1838" s="19"/>
    </row>
    <row r="1839" spans="1:18" x14ac:dyDescent="0.3">
      <c r="A1839" s="6" t="s">
        <v>8255</v>
      </c>
      <c r="B1839" s="7" t="s">
        <v>247</v>
      </c>
      <c r="C1839" s="17" t="s">
        <v>8256</v>
      </c>
      <c r="D1839" s="17"/>
      <c r="E1839" s="8">
        <v>18093</v>
      </c>
      <c r="F1839" s="9">
        <v>73</v>
      </c>
      <c r="G1839" s="6" t="s">
        <v>8257</v>
      </c>
      <c r="H1839" s="7" t="s">
        <v>25</v>
      </c>
      <c r="I1839" s="6"/>
      <c r="J1839" s="7" t="s">
        <v>41</v>
      </c>
      <c r="K1839" s="7" t="s">
        <v>26</v>
      </c>
      <c r="L1839" s="9">
        <v>68</v>
      </c>
      <c r="M1839" s="10">
        <v>4.5499999999999999E-2</v>
      </c>
      <c r="N1839" s="6" t="s">
        <v>8258</v>
      </c>
      <c r="O1839" s="11">
        <v>21604.799999999999</v>
      </c>
      <c r="P1839" s="11"/>
      <c r="Q1839" s="18">
        <v>2700.6</v>
      </c>
      <c r="R1839" s="19"/>
    </row>
    <row r="1840" spans="1:18" ht="43.2" hidden="1" x14ac:dyDescent="0.3">
      <c r="A1840" s="6" t="s">
        <v>8259</v>
      </c>
      <c r="B1840" s="7" t="s">
        <v>29</v>
      </c>
      <c r="C1840" s="17" t="s">
        <v>8260</v>
      </c>
      <c r="D1840" s="17"/>
      <c r="E1840" s="8">
        <v>17650</v>
      </c>
      <c r="F1840" s="9">
        <v>74</v>
      </c>
      <c r="G1840" s="6" t="s">
        <v>8261</v>
      </c>
      <c r="H1840" s="7" t="s">
        <v>39</v>
      </c>
      <c r="I1840" s="6" t="s">
        <v>144</v>
      </c>
      <c r="J1840" s="7" t="s">
        <v>20</v>
      </c>
      <c r="K1840" s="7" t="s">
        <v>26</v>
      </c>
      <c r="L1840" s="6"/>
      <c r="M1840" s="10">
        <v>5.67E-2</v>
      </c>
      <c r="N1840" s="6" t="s">
        <v>8262</v>
      </c>
      <c r="O1840" s="11">
        <v>40000</v>
      </c>
      <c r="P1840" s="11"/>
      <c r="Q1840" s="18">
        <v>5000</v>
      </c>
      <c r="R1840" s="19"/>
    </row>
    <row r="1841" spans="1:18" ht="43.2" x14ac:dyDescent="0.3">
      <c r="A1841" s="6" t="s">
        <v>8263</v>
      </c>
      <c r="B1841" s="7" t="s">
        <v>3038</v>
      </c>
      <c r="C1841" s="17" t="s">
        <v>5225</v>
      </c>
      <c r="D1841" s="17"/>
      <c r="E1841" s="8">
        <v>17145</v>
      </c>
      <c r="F1841" s="9">
        <v>76</v>
      </c>
      <c r="G1841" s="6" t="s">
        <v>8264</v>
      </c>
      <c r="H1841" s="7" t="s">
        <v>39</v>
      </c>
      <c r="I1841" s="6" t="s">
        <v>8265</v>
      </c>
      <c r="J1841" s="7" t="s">
        <v>41</v>
      </c>
      <c r="K1841" s="7" t="s">
        <v>26</v>
      </c>
      <c r="L1841" s="9">
        <v>75</v>
      </c>
      <c r="M1841" s="10">
        <v>5.8200000000000002E-2</v>
      </c>
      <c r="N1841" s="6" t="s">
        <v>8266</v>
      </c>
      <c r="O1841" s="11">
        <v>23680</v>
      </c>
      <c r="P1841" s="11"/>
      <c r="Q1841" s="18">
        <v>2960</v>
      </c>
      <c r="R1841" s="19"/>
    </row>
    <row r="1842" spans="1:18" ht="28.8" hidden="1" x14ac:dyDescent="0.3">
      <c r="A1842" s="6" t="s">
        <v>8267</v>
      </c>
      <c r="B1842" s="7" t="s">
        <v>8268</v>
      </c>
      <c r="C1842" s="17" t="s">
        <v>8269</v>
      </c>
      <c r="D1842" s="17"/>
      <c r="E1842" s="8">
        <v>14916</v>
      </c>
      <c r="F1842" s="9">
        <v>82</v>
      </c>
      <c r="G1842" s="6" t="s">
        <v>8270</v>
      </c>
      <c r="H1842" s="7" t="s">
        <v>39</v>
      </c>
      <c r="I1842" s="6" t="s">
        <v>1160</v>
      </c>
      <c r="J1842" s="7" t="s">
        <v>20</v>
      </c>
      <c r="K1842" s="7" t="s">
        <v>26</v>
      </c>
      <c r="L1842" s="6"/>
      <c r="M1842" s="10">
        <v>7.3800000000000004E-2</v>
      </c>
      <c r="N1842" s="6" t="s">
        <v>8271</v>
      </c>
      <c r="O1842" s="11">
        <v>3200</v>
      </c>
      <c r="P1842" s="11"/>
      <c r="Q1842" s="18">
        <v>400</v>
      </c>
      <c r="R1842" s="19"/>
    </row>
    <row r="1843" spans="1:18" ht="43.2" hidden="1" x14ac:dyDescent="0.3">
      <c r="A1843" s="6" t="s">
        <v>8272</v>
      </c>
      <c r="B1843" s="7" t="s">
        <v>3277</v>
      </c>
      <c r="C1843" s="17" t="s">
        <v>6410</v>
      </c>
      <c r="D1843" s="17"/>
      <c r="E1843" s="8">
        <v>17456</v>
      </c>
      <c r="F1843" s="9">
        <v>75</v>
      </c>
      <c r="G1843" s="6" t="s">
        <v>8273</v>
      </c>
      <c r="H1843" s="7" t="s">
        <v>39</v>
      </c>
      <c r="I1843" s="6" t="s">
        <v>728</v>
      </c>
      <c r="J1843" s="7" t="s">
        <v>20</v>
      </c>
      <c r="K1843" s="7" t="s">
        <v>26</v>
      </c>
      <c r="L1843" s="6"/>
      <c r="M1843" s="10">
        <v>5.8200000000000002E-2</v>
      </c>
      <c r="N1843" s="6" t="s">
        <v>8274</v>
      </c>
      <c r="O1843" s="11">
        <v>28000</v>
      </c>
      <c r="P1843" s="11"/>
      <c r="Q1843" s="18">
        <v>3500</v>
      </c>
      <c r="R1843" s="19"/>
    </row>
    <row r="1844" spans="1:18" ht="43.2" x14ac:dyDescent="0.3">
      <c r="A1844" s="6" t="s">
        <v>8275</v>
      </c>
      <c r="B1844" s="7" t="s">
        <v>2657</v>
      </c>
      <c r="C1844" s="17" t="s">
        <v>8276</v>
      </c>
      <c r="D1844" s="17"/>
      <c r="E1844" s="8">
        <v>18567</v>
      </c>
      <c r="F1844" s="9">
        <v>72</v>
      </c>
      <c r="G1844" s="6" t="s">
        <v>8277</v>
      </c>
      <c r="H1844" s="7" t="s">
        <v>39</v>
      </c>
      <c r="I1844" s="6" t="s">
        <v>106</v>
      </c>
      <c r="J1844" s="7" t="s">
        <v>41</v>
      </c>
      <c r="K1844" s="7" t="s">
        <v>26</v>
      </c>
      <c r="L1844" s="9">
        <v>68</v>
      </c>
      <c r="M1844" s="10">
        <v>4.5499999999999999E-2</v>
      </c>
      <c r="N1844" s="6" t="s">
        <v>8278</v>
      </c>
      <c r="O1844" s="11">
        <v>32000</v>
      </c>
      <c r="P1844" s="11"/>
      <c r="Q1844" s="18">
        <v>4000</v>
      </c>
      <c r="R1844" s="19"/>
    </row>
    <row r="1845" spans="1:18" ht="28.8" x14ac:dyDescent="0.3">
      <c r="A1845" s="6" t="s">
        <v>8279</v>
      </c>
      <c r="B1845" s="7" t="s">
        <v>451</v>
      </c>
      <c r="C1845" s="17" t="s">
        <v>8280</v>
      </c>
      <c r="D1845" s="17"/>
      <c r="E1845" s="8">
        <v>18472</v>
      </c>
      <c r="F1845" s="9">
        <v>72</v>
      </c>
      <c r="G1845" s="6" t="s">
        <v>8281</v>
      </c>
      <c r="H1845" s="7" t="s">
        <v>39</v>
      </c>
      <c r="I1845" s="6" t="s">
        <v>321</v>
      </c>
      <c r="J1845" s="7" t="s">
        <v>41</v>
      </c>
      <c r="K1845" s="7" t="s">
        <v>26</v>
      </c>
      <c r="L1845" s="9">
        <v>61</v>
      </c>
      <c r="M1845" s="10">
        <v>3.4500000000000003E-2</v>
      </c>
      <c r="N1845" s="6" t="s">
        <v>8282</v>
      </c>
      <c r="O1845" s="11">
        <v>4000</v>
      </c>
      <c r="P1845" s="11"/>
      <c r="Q1845" s="18">
        <v>500</v>
      </c>
      <c r="R1845" s="19"/>
    </row>
    <row r="1846" spans="1:18" hidden="1" x14ac:dyDescent="0.3">
      <c r="A1846" s="6" t="s">
        <v>8283</v>
      </c>
      <c r="B1846" s="7" t="s">
        <v>8284</v>
      </c>
      <c r="C1846" s="17" t="s">
        <v>8285</v>
      </c>
      <c r="D1846" s="17"/>
      <c r="E1846" s="8">
        <v>17899</v>
      </c>
      <c r="F1846" s="9">
        <v>73</v>
      </c>
      <c r="G1846" s="6" t="s">
        <v>8286</v>
      </c>
      <c r="H1846" s="7" t="s">
        <v>25</v>
      </c>
      <c r="I1846" s="6"/>
      <c r="J1846" s="7" t="s">
        <v>20</v>
      </c>
      <c r="K1846" s="7" t="s">
        <v>26</v>
      </c>
      <c r="L1846" s="6"/>
      <c r="M1846" s="10">
        <v>5.5300000000000002E-2</v>
      </c>
      <c r="N1846" s="6" t="s">
        <v>8287</v>
      </c>
      <c r="O1846" s="11">
        <v>2037.92</v>
      </c>
      <c r="P1846" s="11"/>
      <c r="Q1846" s="18">
        <v>254.74</v>
      </c>
      <c r="R1846" s="19"/>
    </row>
    <row r="1847" spans="1:18" ht="43.2" hidden="1" x14ac:dyDescent="0.3">
      <c r="A1847" s="6" t="s">
        <v>8288</v>
      </c>
      <c r="B1847" s="7" t="s">
        <v>60</v>
      </c>
      <c r="C1847" s="17" t="s">
        <v>6415</v>
      </c>
      <c r="D1847" s="17"/>
      <c r="E1847" s="7" t="s">
        <v>8289</v>
      </c>
      <c r="F1847" s="9">
        <v>80</v>
      </c>
      <c r="G1847" s="6" t="s">
        <v>8290</v>
      </c>
      <c r="H1847" s="7" t="s">
        <v>39</v>
      </c>
      <c r="I1847" s="6" t="s">
        <v>40</v>
      </c>
      <c r="J1847" s="7" t="s">
        <v>20</v>
      </c>
      <c r="K1847" s="7" t="s">
        <v>32</v>
      </c>
      <c r="L1847" s="6"/>
      <c r="M1847" s="10">
        <v>6.8199999999999997E-2</v>
      </c>
      <c r="N1847" s="6" t="s">
        <v>8291</v>
      </c>
      <c r="O1847" s="6" t="s">
        <v>19</v>
      </c>
      <c r="P1847" s="6"/>
      <c r="Q1847" s="19" t="s">
        <v>19</v>
      </c>
      <c r="R1847" s="19"/>
    </row>
    <row r="1848" spans="1:18" hidden="1" x14ac:dyDescent="0.3">
      <c r="A1848" s="6" t="s">
        <v>8292</v>
      </c>
      <c r="B1848" s="7" t="s">
        <v>8293</v>
      </c>
      <c r="C1848" s="17" t="s">
        <v>4321</v>
      </c>
      <c r="D1848" s="17"/>
      <c r="E1848" s="7" t="s">
        <v>8294</v>
      </c>
      <c r="F1848" s="9">
        <v>79</v>
      </c>
      <c r="G1848" s="6" t="s">
        <v>8295</v>
      </c>
      <c r="H1848" s="7" t="s">
        <v>25</v>
      </c>
      <c r="I1848" s="6" t="s">
        <v>19</v>
      </c>
      <c r="J1848" s="7" t="s">
        <v>20</v>
      </c>
      <c r="K1848" s="7" t="s">
        <v>32</v>
      </c>
      <c r="L1848" s="6"/>
      <c r="M1848" s="10">
        <v>6.5799999999999997E-2</v>
      </c>
      <c r="N1848" s="6" t="s">
        <v>8296</v>
      </c>
      <c r="O1848" s="6" t="s">
        <v>19</v>
      </c>
      <c r="P1848" s="6"/>
      <c r="Q1848" s="19" t="s">
        <v>19</v>
      </c>
      <c r="R1848" s="19"/>
    </row>
    <row r="1849" spans="1:18" ht="43.2" hidden="1" x14ac:dyDescent="0.3">
      <c r="A1849" s="6" t="s">
        <v>8297</v>
      </c>
      <c r="B1849" s="7" t="s">
        <v>276</v>
      </c>
      <c r="C1849" s="17" t="s">
        <v>3386</v>
      </c>
      <c r="D1849" s="17"/>
      <c r="E1849" s="8">
        <v>17417</v>
      </c>
      <c r="F1849" s="9">
        <v>75</v>
      </c>
      <c r="G1849" s="6" t="s">
        <v>8298</v>
      </c>
      <c r="H1849" s="7" t="s">
        <v>39</v>
      </c>
      <c r="I1849" s="6" t="s">
        <v>5092</v>
      </c>
      <c r="J1849" s="7" t="s">
        <v>20</v>
      </c>
      <c r="K1849" s="7" t="s">
        <v>26</v>
      </c>
      <c r="L1849" s="6"/>
      <c r="M1849" s="10">
        <v>5.8200000000000002E-2</v>
      </c>
      <c r="N1849" s="6" t="s">
        <v>8299</v>
      </c>
      <c r="O1849" s="11">
        <v>22800</v>
      </c>
      <c r="P1849" s="11"/>
      <c r="Q1849" s="18">
        <v>2850</v>
      </c>
      <c r="R1849" s="19"/>
    </row>
    <row r="1850" spans="1:18" hidden="1" x14ac:dyDescent="0.3">
      <c r="A1850" s="6" t="s">
        <v>8300</v>
      </c>
      <c r="B1850" s="7" t="s">
        <v>2306</v>
      </c>
      <c r="C1850" s="17" t="s">
        <v>8301</v>
      </c>
      <c r="D1850" s="17"/>
      <c r="E1850" s="8">
        <v>17136</v>
      </c>
      <c r="F1850" s="9">
        <v>76</v>
      </c>
      <c r="G1850" s="6" t="s">
        <v>8302</v>
      </c>
      <c r="H1850" s="7" t="s">
        <v>25</v>
      </c>
      <c r="I1850" s="6"/>
      <c r="J1850" s="7" t="s">
        <v>20</v>
      </c>
      <c r="K1850" s="7" t="s">
        <v>26</v>
      </c>
      <c r="L1850" s="6"/>
      <c r="M1850" s="10">
        <v>5.9799999999999999E-2</v>
      </c>
      <c r="N1850" s="6" t="s">
        <v>8303</v>
      </c>
      <c r="O1850" s="11">
        <v>17223.919999999998</v>
      </c>
      <c r="P1850" s="11"/>
      <c r="Q1850" s="18">
        <v>2152.9899999999998</v>
      </c>
      <c r="R1850" s="19"/>
    </row>
    <row r="1851" spans="1:18" ht="43.2" hidden="1" x14ac:dyDescent="0.3">
      <c r="A1851" s="6" t="s">
        <v>8304</v>
      </c>
      <c r="B1851" s="7" t="s">
        <v>412</v>
      </c>
      <c r="C1851" s="17" t="s">
        <v>8305</v>
      </c>
      <c r="D1851" s="17"/>
      <c r="E1851" s="8">
        <v>16025</v>
      </c>
      <c r="F1851" s="9">
        <v>79</v>
      </c>
      <c r="G1851" s="6" t="s">
        <v>8306</v>
      </c>
      <c r="H1851" s="7" t="s">
        <v>39</v>
      </c>
      <c r="I1851" s="6" t="s">
        <v>1026</v>
      </c>
      <c r="J1851" s="7" t="s">
        <v>20</v>
      </c>
      <c r="K1851" s="7" t="s">
        <v>26</v>
      </c>
      <c r="L1851" s="6"/>
      <c r="M1851" s="10">
        <v>6.5799999999999997E-2</v>
      </c>
      <c r="N1851" s="6" t="s">
        <v>8307</v>
      </c>
      <c r="O1851" s="11">
        <v>8800</v>
      </c>
      <c r="P1851" s="11"/>
      <c r="Q1851" s="18">
        <v>1100</v>
      </c>
      <c r="R1851" s="19"/>
    </row>
    <row r="1852" spans="1:18" hidden="1" x14ac:dyDescent="0.3">
      <c r="A1852" s="6" t="s">
        <v>8308</v>
      </c>
      <c r="B1852" s="7" t="s">
        <v>8309</v>
      </c>
      <c r="C1852" s="17" t="s">
        <v>8310</v>
      </c>
      <c r="D1852" s="17"/>
      <c r="E1852" s="7" t="s">
        <v>8311</v>
      </c>
      <c r="F1852" s="9">
        <v>72</v>
      </c>
      <c r="G1852" s="6" t="s">
        <v>8312</v>
      </c>
      <c r="H1852" s="7" t="s">
        <v>19</v>
      </c>
      <c r="I1852" s="6" t="s">
        <v>19</v>
      </c>
      <c r="J1852" s="7" t="s">
        <v>20</v>
      </c>
      <c r="K1852" s="7"/>
      <c r="L1852" s="6"/>
      <c r="M1852" s="10">
        <v>5.3999999999999999E-2</v>
      </c>
      <c r="N1852" s="6" t="s">
        <v>8313</v>
      </c>
      <c r="O1852" s="6" t="s">
        <v>19</v>
      </c>
      <c r="P1852" s="6"/>
      <c r="Q1852" s="19" t="s">
        <v>19</v>
      </c>
      <c r="R1852" s="19"/>
    </row>
    <row r="1853" spans="1:18" hidden="1" x14ac:dyDescent="0.3">
      <c r="A1853" s="6" t="s">
        <v>8314</v>
      </c>
      <c r="B1853" s="7" t="s">
        <v>8315</v>
      </c>
      <c r="C1853" s="17" t="s">
        <v>8316</v>
      </c>
      <c r="D1853" s="17"/>
      <c r="E1853" s="8">
        <v>16712</v>
      </c>
      <c r="F1853" s="9">
        <v>77</v>
      </c>
      <c r="G1853" s="6" t="s">
        <v>8317</v>
      </c>
      <c r="H1853" s="7" t="s">
        <v>25</v>
      </c>
      <c r="I1853" s="6"/>
      <c r="J1853" s="7" t="s">
        <v>20</v>
      </c>
      <c r="K1853" s="7" t="s">
        <v>32</v>
      </c>
      <c r="L1853" s="6"/>
      <c r="M1853" s="10">
        <v>6.1699999999999998E-2</v>
      </c>
      <c r="N1853" s="6" t="s">
        <v>8318</v>
      </c>
      <c r="O1853" s="11">
        <v>1219.68</v>
      </c>
      <c r="P1853" s="11"/>
      <c r="Q1853" s="18">
        <v>1219.68</v>
      </c>
      <c r="R1853" s="19"/>
    </row>
    <row r="1854" spans="1:18" ht="28.8" hidden="1" x14ac:dyDescent="0.3">
      <c r="A1854" s="6" t="s">
        <v>8319</v>
      </c>
      <c r="B1854" s="7" t="s">
        <v>8320</v>
      </c>
      <c r="C1854" s="17" t="s">
        <v>8321</v>
      </c>
      <c r="D1854" s="17"/>
      <c r="E1854" s="8">
        <v>18288</v>
      </c>
      <c r="F1854" s="9">
        <v>72</v>
      </c>
      <c r="G1854" s="6" t="s">
        <v>8322</v>
      </c>
      <c r="H1854" s="7" t="s">
        <v>39</v>
      </c>
      <c r="I1854" s="6" t="s">
        <v>8323</v>
      </c>
      <c r="J1854" s="7" t="s">
        <v>20</v>
      </c>
      <c r="K1854" s="7" t="s">
        <v>26</v>
      </c>
      <c r="L1854" s="6"/>
      <c r="M1854" s="10">
        <v>5.3999999999999999E-2</v>
      </c>
      <c r="N1854" s="6" t="s">
        <v>8324</v>
      </c>
      <c r="O1854" s="11">
        <v>7760</v>
      </c>
      <c r="P1854" s="11"/>
      <c r="Q1854" s="18">
        <v>970</v>
      </c>
      <c r="R1854" s="19"/>
    </row>
    <row r="1855" spans="1:18" ht="43.2" hidden="1" x14ac:dyDescent="0.3">
      <c r="A1855" s="6" t="s">
        <v>8325</v>
      </c>
      <c r="B1855" s="7" t="s">
        <v>2945</v>
      </c>
      <c r="C1855" s="17" t="s">
        <v>8326</v>
      </c>
      <c r="D1855" s="17"/>
      <c r="E1855" s="8">
        <v>18067</v>
      </c>
      <c r="F1855" s="9">
        <v>73</v>
      </c>
      <c r="G1855" s="6" t="s">
        <v>8327</v>
      </c>
      <c r="H1855" s="7" t="s">
        <v>39</v>
      </c>
      <c r="I1855" s="6" t="s">
        <v>8328</v>
      </c>
      <c r="J1855" s="7" t="s">
        <v>20</v>
      </c>
      <c r="K1855" s="7" t="s">
        <v>32</v>
      </c>
      <c r="L1855" s="6"/>
      <c r="M1855" s="10">
        <v>5.5300000000000002E-2</v>
      </c>
      <c r="N1855" s="6" t="s">
        <v>8329</v>
      </c>
      <c r="O1855" s="11">
        <v>2253.58</v>
      </c>
      <c r="P1855" s="11"/>
      <c r="Q1855" s="18">
        <v>2253.58</v>
      </c>
      <c r="R1855" s="19"/>
    </row>
    <row r="1856" spans="1:18" hidden="1" x14ac:dyDescent="0.3">
      <c r="A1856" s="6" t="s">
        <v>8330</v>
      </c>
      <c r="B1856" s="7" t="s">
        <v>2565</v>
      </c>
      <c r="C1856" s="17" t="s">
        <v>8331</v>
      </c>
      <c r="D1856" s="17"/>
      <c r="E1856" s="7" t="s">
        <v>1545</v>
      </c>
      <c r="F1856" s="9">
        <v>74</v>
      </c>
      <c r="G1856" s="6" t="s">
        <v>8332</v>
      </c>
      <c r="H1856" s="7" t="s">
        <v>25</v>
      </c>
      <c r="I1856" s="6" t="s">
        <v>19</v>
      </c>
      <c r="J1856" s="7" t="s">
        <v>20</v>
      </c>
      <c r="K1856" s="7" t="s">
        <v>26</v>
      </c>
      <c r="L1856" s="6"/>
      <c r="M1856" s="10">
        <v>5.67E-2</v>
      </c>
      <c r="N1856" s="6" t="s">
        <v>8333</v>
      </c>
      <c r="O1856" s="6" t="s">
        <v>19</v>
      </c>
      <c r="P1856" s="6"/>
      <c r="Q1856" s="19" t="s">
        <v>19</v>
      </c>
      <c r="R1856" s="19"/>
    </row>
    <row r="1857" spans="1:18" hidden="1" x14ac:dyDescent="0.3">
      <c r="A1857" s="6" t="s">
        <v>8334</v>
      </c>
      <c r="B1857" s="7" t="s">
        <v>195</v>
      </c>
      <c r="C1857" s="17" t="s">
        <v>8335</v>
      </c>
      <c r="D1857" s="17"/>
      <c r="E1857" s="8">
        <v>16212</v>
      </c>
      <c r="F1857" s="9">
        <v>78</v>
      </c>
      <c r="G1857" s="6" t="s">
        <v>8336</v>
      </c>
      <c r="H1857" s="7" t="s">
        <v>25</v>
      </c>
      <c r="I1857" s="6"/>
      <c r="J1857" s="7" t="s">
        <v>20</v>
      </c>
      <c r="K1857" s="7" t="s">
        <v>26</v>
      </c>
      <c r="L1857" s="6"/>
      <c r="M1857" s="10">
        <v>6.3600000000000004E-2</v>
      </c>
      <c r="N1857" s="6" t="s">
        <v>8337</v>
      </c>
      <c r="O1857" s="11">
        <v>1792.32</v>
      </c>
      <c r="P1857" s="11"/>
      <c r="Q1857" s="18">
        <v>224.04</v>
      </c>
      <c r="R1857" s="19"/>
    </row>
    <row r="1858" spans="1:18" ht="43.2" hidden="1" x14ac:dyDescent="0.3">
      <c r="A1858" s="6" t="s">
        <v>8338</v>
      </c>
      <c r="B1858" s="7" t="s">
        <v>349</v>
      </c>
      <c r="C1858" s="17" t="s">
        <v>8339</v>
      </c>
      <c r="D1858" s="17"/>
      <c r="E1858" s="8">
        <v>18597</v>
      </c>
      <c r="F1858" s="9">
        <v>72</v>
      </c>
      <c r="G1858" s="6" t="s">
        <v>8340</v>
      </c>
      <c r="H1858" s="7" t="s">
        <v>39</v>
      </c>
      <c r="I1858" s="6" t="s">
        <v>132</v>
      </c>
      <c r="J1858" s="7" t="s">
        <v>20</v>
      </c>
      <c r="K1858" s="7" t="s">
        <v>26</v>
      </c>
      <c r="L1858" s="6"/>
      <c r="M1858" s="10">
        <v>5.3999999999999999E-2</v>
      </c>
      <c r="N1858" s="6" t="s">
        <v>8341</v>
      </c>
      <c r="O1858" s="11">
        <v>7500</v>
      </c>
      <c r="P1858" s="11"/>
      <c r="Q1858" s="18">
        <v>1500</v>
      </c>
      <c r="R1858" s="19"/>
    </row>
    <row r="1859" spans="1:18" hidden="1" x14ac:dyDescent="0.3">
      <c r="A1859" s="6" t="s">
        <v>8342</v>
      </c>
      <c r="B1859" s="7" t="s">
        <v>3114</v>
      </c>
      <c r="C1859" s="17" t="s">
        <v>8343</v>
      </c>
      <c r="D1859" s="17"/>
      <c r="E1859" s="8">
        <v>17990</v>
      </c>
      <c r="F1859" s="9">
        <v>73</v>
      </c>
      <c r="G1859" s="6" t="s">
        <v>8344</v>
      </c>
      <c r="H1859" s="7" t="s">
        <v>25</v>
      </c>
      <c r="I1859" s="6"/>
      <c r="J1859" s="7" t="s">
        <v>20</v>
      </c>
      <c r="K1859" s="7" t="s">
        <v>26</v>
      </c>
      <c r="L1859" s="6"/>
      <c r="M1859" s="10">
        <v>5.5300000000000002E-2</v>
      </c>
      <c r="N1859" s="6" t="s">
        <v>8345</v>
      </c>
      <c r="O1859" s="11">
        <v>767.05</v>
      </c>
      <c r="P1859" s="11"/>
      <c r="Q1859" s="18">
        <v>767.05</v>
      </c>
      <c r="R1859" s="19"/>
    </row>
    <row r="1860" spans="1:18" x14ac:dyDescent="0.3">
      <c r="A1860" s="6" t="s">
        <v>8346</v>
      </c>
      <c r="B1860" s="7" t="s">
        <v>8347</v>
      </c>
      <c r="C1860" s="17" t="s">
        <v>8348</v>
      </c>
      <c r="D1860" s="17"/>
      <c r="E1860" s="8">
        <v>17579</v>
      </c>
      <c r="F1860" s="9">
        <v>74</v>
      </c>
      <c r="G1860" s="6" t="s">
        <v>8349</v>
      </c>
      <c r="H1860" s="7" t="s">
        <v>25</v>
      </c>
      <c r="I1860" s="6"/>
      <c r="J1860" s="7" t="s">
        <v>41</v>
      </c>
      <c r="K1860" s="7" t="s">
        <v>26</v>
      </c>
      <c r="L1860" s="9">
        <v>73</v>
      </c>
      <c r="M1860" s="10">
        <v>5.5300000000000002E-2</v>
      </c>
      <c r="N1860" s="6" t="s">
        <v>8350</v>
      </c>
      <c r="O1860" s="11">
        <v>11357.44</v>
      </c>
      <c r="P1860" s="11"/>
      <c r="Q1860" s="18">
        <v>449.39</v>
      </c>
      <c r="R1860" s="19"/>
    </row>
    <row r="1861" spans="1:18" ht="43.2" x14ac:dyDescent="0.3">
      <c r="A1861" s="6" t="s">
        <v>8351</v>
      </c>
      <c r="B1861" s="7" t="s">
        <v>2657</v>
      </c>
      <c r="C1861" s="17" t="s">
        <v>8352</v>
      </c>
      <c r="D1861" s="17"/>
      <c r="E1861" s="8">
        <v>18457</v>
      </c>
      <c r="F1861" s="9">
        <v>72</v>
      </c>
      <c r="G1861" s="6" t="s">
        <v>8353</v>
      </c>
      <c r="H1861" s="7" t="s">
        <v>39</v>
      </c>
      <c r="I1861" s="6" t="s">
        <v>47</v>
      </c>
      <c r="J1861" s="7" t="s">
        <v>41</v>
      </c>
      <c r="K1861" s="7" t="s">
        <v>26</v>
      </c>
      <c r="L1861" s="9">
        <v>70</v>
      </c>
      <c r="M1861" s="10">
        <v>0.05</v>
      </c>
      <c r="N1861" s="6" t="s">
        <v>8354</v>
      </c>
      <c r="O1861" s="11">
        <v>8000</v>
      </c>
      <c r="P1861" s="11"/>
      <c r="Q1861" s="18">
        <v>154.38</v>
      </c>
      <c r="R1861" s="19"/>
    </row>
    <row r="1862" spans="1:18" ht="28.8" hidden="1" x14ac:dyDescent="0.3">
      <c r="A1862" s="6" t="s">
        <v>8355</v>
      </c>
      <c r="B1862" s="7" t="s">
        <v>270</v>
      </c>
      <c r="C1862" s="17" t="s">
        <v>8356</v>
      </c>
      <c r="D1862" s="17"/>
      <c r="E1862" s="8">
        <v>18060</v>
      </c>
      <c r="F1862" s="9">
        <v>73</v>
      </c>
      <c r="G1862" s="6" t="s">
        <v>8357</v>
      </c>
      <c r="H1862" s="7" t="s">
        <v>39</v>
      </c>
      <c r="I1862" s="6" t="s">
        <v>951</v>
      </c>
      <c r="J1862" s="7" t="s">
        <v>20</v>
      </c>
      <c r="K1862" s="7" t="s">
        <v>26</v>
      </c>
      <c r="L1862" s="6"/>
      <c r="M1862" s="10">
        <v>5.5300000000000002E-2</v>
      </c>
      <c r="N1862" s="6" t="s">
        <v>8358</v>
      </c>
      <c r="O1862" s="11">
        <v>6000</v>
      </c>
      <c r="P1862" s="11"/>
      <c r="Q1862" s="18">
        <v>750</v>
      </c>
      <c r="R1862" s="19"/>
    </row>
    <row r="1863" spans="1:18" ht="28.8" hidden="1" x14ac:dyDescent="0.3">
      <c r="A1863" s="6" t="s">
        <v>8359</v>
      </c>
      <c r="B1863" s="7" t="s">
        <v>8360</v>
      </c>
      <c r="C1863" s="17" t="s">
        <v>8361</v>
      </c>
      <c r="D1863" s="17"/>
      <c r="E1863" s="8">
        <v>17410</v>
      </c>
      <c r="F1863" s="9">
        <v>75</v>
      </c>
      <c r="G1863" s="6" t="s">
        <v>8362</v>
      </c>
      <c r="H1863" s="7" t="s">
        <v>39</v>
      </c>
      <c r="I1863" s="6" t="s">
        <v>67</v>
      </c>
      <c r="J1863" s="7" t="s">
        <v>20</v>
      </c>
      <c r="K1863" s="7" t="s">
        <v>26</v>
      </c>
      <c r="L1863" s="6"/>
      <c r="M1863" s="10">
        <v>5.8200000000000002E-2</v>
      </c>
      <c r="N1863" s="6" t="s">
        <v>8363</v>
      </c>
      <c r="O1863" s="11">
        <v>6400</v>
      </c>
      <c r="P1863" s="11"/>
      <c r="Q1863" s="18">
        <v>800</v>
      </c>
      <c r="R1863" s="19"/>
    </row>
    <row r="1864" spans="1:18" ht="43.2" hidden="1" x14ac:dyDescent="0.3">
      <c r="A1864" s="6" t="s">
        <v>8364</v>
      </c>
      <c r="B1864" s="7" t="s">
        <v>129</v>
      </c>
      <c r="C1864" s="17" t="s">
        <v>4003</v>
      </c>
      <c r="D1864" s="17"/>
      <c r="E1864" s="8">
        <v>12415</v>
      </c>
      <c r="F1864" s="9">
        <v>89</v>
      </c>
      <c r="G1864" s="6" t="s">
        <v>8365</v>
      </c>
      <c r="H1864" s="7" t="s">
        <v>39</v>
      </c>
      <c r="I1864" s="6" t="s">
        <v>1350</v>
      </c>
      <c r="J1864" s="7" t="s">
        <v>20</v>
      </c>
      <c r="K1864" s="7" t="s">
        <v>26</v>
      </c>
      <c r="L1864" s="6"/>
      <c r="M1864" s="10">
        <v>0.1099</v>
      </c>
      <c r="N1864" s="6" t="s">
        <v>8366</v>
      </c>
      <c r="O1864" s="11">
        <v>44000</v>
      </c>
      <c r="P1864" s="11"/>
      <c r="Q1864" s="18">
        <v>5500</v>
      </c>
      <c r="R1864" s="19"/>
    </row>
    <row r="1865" spans="1:18" ht="28.8" hidden="1" x14ac:dyDescent="0.3">
      <c r="A1865" s="6" t="s">
        <v>8367</v>
      </c>
      <c r="B1865" s="7" t="s">
        <v>830</v>
      </c>
      <c r="C1865" s="17" t="s">
        <v>8368</v>
      </c>
      <c r="D1865" s="17"/>
      <c r="E1865" s="8">
        <v>17584</v>
      </c>
      <c r="F1865" s="9">
        <v>74</v>
      </c>
      <c r="G1865" s="6" t="s">
        <v>8369</v>
      </c>
      <c r="H1865" s="7" t="s">
        <v>39</v>
      </c>
      <c r="I1865" s="6" t="s">
        <v>8370</v>
      </c>
      <c r="J1865" s="7" t="s">
        <v>20</v>
      </c>
      <c r="K1865" s="7" t="s">
        <v>26</v>
      </c>
      <c r="L1865" s="6"/>
      <c r="M1865" s="10">
        <v>5.67E-2</v>
      </c>
      <c r="N1865" s="6" t="s">
        <v>8371</v>
      </c>
      <c r="O1865" s="11">
        <v>1016</v>
      </c>
      <c r="P1865" s="11"/>
      <c r="Q1865" s="18">
        <v>48.33</v>
      </c>
      <c r="R1865" s="19"/>
    </row>
    <row r="1866" spans="1:18" ht="43.2" hidden="1" x14ac:dyDescent="0.3">
      <c r="A1866" s="6" t="s">
        <v>8372</v>
      </c>
      <c r="B1866" s="7" t="s">
        <v>8373</v>
      </c>
      <c r="C1866" s="17" t="s">
        <v>8374</v>
      </c>
      <c r="D1866" s="17"/>
      <c r="E1866" s="8">
        <v>16796</v>
      </c>
      <c r="F1866" s="9">
        <v>77</v>
      </c>
      <c r="G1866" s="6" t="s">
        <v>8375</v>
      </c>
      <c r="H1866" s="7" t="s">
        <v>39</v>
      </c>
      <c r="I1866" s="6" t="s">
        <v>122</v>
      </c>
      <c r="J1866" s="7" t="s">
        <v>20</v>
      </c>
      <c r="K1866" s="7" t="s">
        <v>26</v>
      </c>
      <c r="L1866" s="6"/>
      <c r="M1866" s="10">
        <v>6.1699999999999998E-2</v>
      </c>
      <c r="N1866" s="6" t="s">
        <v>8376</v>
      </c>
      <c r="O1866" s="11">
        <v>16000</v>
      </c>
      <c r="P1866" s="11"/>
      <c r="Q1866" s="18">
        <v>2000</v>
      </c>
      <c r="R1866" s="19"/>
    </row>
    <row r="1867" spans="1:18" ht="43.2" hidden="1" x14ac:dyDescent="0.3">
      <c r="A1867" s="6" t="s">
        <v>8377</v>
      </c>
      <c r="B1867" s="7" t="s">
        <v>7633</v>
      </c>
      <c r="C1867" s="17" t="s">
        <v>8378</v>
      </c>
      <c r="D1867" s="17"/>
      <c r="E1867" s="8">
        <v>16170</v>
      </c>
      <c r="F1867" s="9">
        <v>78</v>
      </c>
      <c r="G1867" s="6" t="s">
        <v>8379</v>
      </c>
      <c r="H1867" s="7" t="s">
        <v>39</v>
      </c>
      <c r="I1867" s="6" t="s">
        <v>89</v>
      </c>
      <c r="J1867" s="7" t="s">
        <v>20</v>
      </c>
      <c r="K1867" s="7" t="s">
        <v>26</v>
      </c>
      <c r="L1867" s="6"/>
      <c r="M1867" s="10">
        <v>6.3600000000000004E-2</v>
      </c>
      <c r="N1867" s="6" t="s">
        <v>8380</v>
      </c>
      <c r="O1867" s="11">
        <v>9600</v>
      </c>
      <c r="P1867" s="11"/>
      <c r="Q1867" s="18">
        <v>1200</v>
      </c>
      <c r="R1867" s="19"/>
    </row>
    <row r="1868" spans="1:18" hidden="1" x14ac:dyDescent="0.3">
      <c r="A1868" s="6" t="s">
        <v>8381</v>
      </c>
      <c r="B1868" s="7" t="s">
        <v>140</v>
      </c>
      <c r="C1868" s="17" t="s">
        <v>8382</v>
      </c>
      <c r="D1868" s="17"/>
      <c r="E1868" s="7" t="s">
        <v>8383</v>
      </c>
      <c r="F1868" s="9">
        <v>72</v>
      </c>
      <c r="G1868" s="6" t="s">
        <v>8384</v>
      </c>
      <c r="H1868" s="7" t="s">
        <v>19</v>
      </c>
      <c r="I1868" s="6" t="s">
        <v>19</v>
      </c>
      <c r="J1868" s="7" t="s">
        <v>20</v>
      </c>
      <c r="K1868" s="7"/>
      <c r="L1868" s="6"/>
      <c r="M1868" s="10">
        <v>5.3999999999999999E-2</v>
      </c>
      <c r="N1868" s="6" t="s">
        <v>8385</v>
      </c>
      <c r="O1868" s="6" t="s">
        <v>19</v>
      </c>
      <c r="P1868" s="6"/>
      <c r="Q1868" s="19" t="s">
        <v>19</v>
      </c>
      <c r="R1868" s="19"/>
    </row>
    <row r="1869" spans="1:18" ht="43.2" hidden="1" x14ac:dyDescent="0.3">
      <c r="A1869" s="6" t="s">
        <v>8386</v>
      </c>
      <c r="B1869" s="7" t="s">
        <v>2930</v>
      </c>
      <c r="C1869" s="17" t="s">
        <v>8387</v>
      </c>
      <c r="D1869" s="17"/>
      <c r="E1869" s="8">
        <v>16663</v>
      </c>
      <c r="F1869" s="9">
        <v>77</v>
      </c>
      <c r="G1869" s="6" t="s">
        <v>8388</v>
      </c>
      <c r="H1869" s="7" t="s">
        <v>39</v>
      </c>
      <c r="I1869" s="6" t="s">
        <v>106</v>
      </c>
      <c r="J1869" s="7" t="s">
        <v>20</v>
      </c>
      <c r="K1869" s="7" t="s">
        <v>26</v>
      </c>
      <c r="L1869" s="6"/>
      <c r="M1869" s="10">
        <v>6.1699999999999998E-2</v>
      </c>
      <c r="N1869" s="6" t="s">
        <v>8389</v>
      </c>
      <c r="O1869" s="11">
        <v>32000</v>
      </c>
      <c r="P1869" s="11"/>
      <c r="Q1869" s="18">
        <v>1.33</v>
      </c>
      <c r="R1869" s="19"/>
    </row>
    <row r="1870" spans="1:18" ht="43.2" hidden="1" x14ac:dyDescent="0.3">
      <c r="A1870" s="6" t="s">
        <v>8390</v>
      </c>
      <c r="B1870" s="7" t="s">
        <v>8391</v>
      </c>
      <c r="C1870" s="17" t="s">
        <v>8392</v>
      </c>
      <c r="D1870" s="17"/>
      <c r="E1870" s="8">
        <v>18096</v>
      </c>
      <c r="F1870" s="9">
        <v>73</v>
      </c>
      <c r="G1870" s="6" t="s">
        <v>8393</v>
      </c>
      <c r="H1870" s="7" t="s">
        <v>39</v>
      </c>
      <c r="I1870" s="6" t="s">
        <v>8394</v>
      </c>
      <c r="J1870" s="7" t="s">
        <v>20</v>
      </c>
      <c r="K1870" s="7" t="s">
        <v>26</v>
      </c>
      <c r="L1870" s="6"/>
      <c r="M1870" s="10">
        <v>5.5300000000000002E-2</v>
      </c>
      <c r="N1870" s="6" t="s">
        <v>8395</v>
      </c>
      <c r="O1870" s="11">
        <v>13605.92</v>
      </c>
      <c r="P1870" s="11"/>
      <c r="Q1870" s="18">
        <v>1700.74</v>
      </c>
      <c r="R1870" s="19"/>
    </row>
    <row r="1871" spans="1:18" hidden="1" x14ac:dyDescent="0.3">
      <c r="A1871" s="6" t="s">
        <v>8396</v>
      </c>
      <c r="B1871" s="7" t="s">
        <v>401</v>
      </c>
      <c r="C1871" s="17" t="s">
        <v>8397</v>
      </c>
      <c r="D1871" s="17"/>
      <c r="E1871" s="8">
        <v>18158</v>
      </c>
      <c r="F1871" s="9">
        <v>73</v>
      </c>
      <c r="G1871" s="6" t="s">
        <v>8398</v>
      </c>
      <c r="H1871" s="7" t="s">
        <v>25</v>
      </c>
      <c r="I1871" s="6"/>
      <c r="J1871" s="7" t="s">
        <v>20</v>
      </c>
      <c r="K1871" s="7" t="s">
        <v>26</v>
      </c>
      <c r="L1871" s="6"/>
      <c r="M1871" s="10">
        <v>5.5300000000000002E-2</v>
      </c>
      <c r="N1871" s="6" t="s">
        <v>8399</v>
      </c>
      <c r="O1871" s="11">
        <v>22124.400000000001</v>
      </c>
      <c r="P1871" s="11"/>
      <c r="Q1871" s="18">
        <v>2765.55</v>
      </c>
      <c r="R1871" s="19"/>
    </row>
    <row r="1872" spans="1:18" hidden="1" x14ac:dyDescent="0.3">
      <c r="A1872" s="6" t="s">
        <v>8400</v>
      </c>
      <c r="B1872" s="7" t="s">
        <v>2930</v>
      </c>
      <c r="C1872" s="17" t="s">
        <v>6001</v>
      </c>
      <c r="D1872" s="17"/>
      <c r="E1872" s="7" t="s">
        <v>6318</v>
      </c>
      <c r="F1872" s="9">
        <v>73</v>
      </c>
      <c r="G1872" s="6" t="s">
        <v>8401</v>
      </c>
      <c r="H1872" s="7" t="s">
        <v>25</v>
      </c>
      <c r="I1872" s="6" t="s">
        <v>19</v>
      </c>
      <c r="J1872" s="7" t="s">
        <v>20</v>
      </c>
      <c r="K1872" s="7" t="s">
        <v>32</v>
      </c>
      <c r="L1872" s="6"/>
      <c r="M1872" s="10">
        <v>5.5300000000000002E-2</v>
      </c>
      <c r="N1872" s="6" t="s">
        <v>8402</v>
      </c>
      <c r="O1872" s="6" t="s">
        <v>19</v>
      </c>
      <c r="P1872" s="6"/>
      <c r="Q1872" s="19" t="s">
        <v>19</v>
      </c>
      <c r="R1872" s="19"/>
    </row>
    <row r="1873" spans="1:18" hidden="1" x14ac:dyDescent="0.3">
      <c r="A1873" s="6" t="s">
        <v>8403</v>
      </c>
      <c r="B1873" s="7" t="s">
        <v>2236</v>
      </c>
      <c r="C1873" s="17" t="s">
        <v>8404</v>
      </c>
      <c r="D1873" s="17"/>
      <c r="E1873" s="7" t="s">
        <v>8405</v>
      </c>
      <c r="F1873" s="9">
        <v>77</v>
      </c>
      <c r="G1873" s="6" t="s">
        <v>8406</v>
      </c>
      <c r="H1873" s="7" t="s">
        <v>25</v>
      </c>
      <c r="I1873" s="6" t="s">
        <v>19</v>
      </c>
      <c r="J1873" s="7" t="s">
        <v>20</v>
      </c>
      <c r="K1873" s="7" t="s">
        <v>32</v>
      </c>
      <c r="L1873" s="6"/>
      <c r="M1873" s="10">
        <v>6.1699999999999998E-2</v>
      </c>
      <c r="N1873" s="6" t="s">
        <v>8407</v>
      </c>
      <c r="O1873" s="6" t="s">
        <v>19</v>
      </c>
      <c r="P1873" s="6"/>
      <c r="Q1873" s="19" t="s">
        <v>19</v>
      </c>
      <c r="R1873" s="19"/>
    </row>
    <row r="1874" spans="1:18" hidden="1" x14ac:dyDescent="0.3">
      <c r="A1874" s="6" t="s">
        <v>8408</v>
      </c>
      <c r="B1874" s="7" t="s">
        <v>224</v>
      </c>
      <c r="C1874" s="17" t="s">
        <v>5966</v>
      </c>
      <c r="D1874" s="17"/>
      <c r="E1874" s="8">
        <v>12981</v>
      </c>
      <c r="F1874" s="9">
        <v>87</v>
      </c>
      <c r="G1874" s="6" t="s">
        <v>8409</v>
      </c>
      <c r="H1874" s="7" t="s">
        <v>25</v>
      </c>
      <c r="I1874" s="6"/>
      <c r="J1874" s="7" t="s">
        <v>20</v>
      </c>
      <c r="K1874" s="7" t="s">
        <v>26</v>
      </c>
      <c r="L1874" s="6"/>
      <c r="M1874" s="10">
        <v>9.5500000000000002E-2</v>
      </c>
      <c r="N1874" s="6" t="s">
        <v>8410</v>
      </c>
      <c r="O1874" s="11">
        <v>12944.96</v>
      </c>
      <c r="P1874" s="11"/>
      <c r="Q1874" s="18">
        <v>1618.12</v>
      </c>
      <c r="R1874" s="19"/>
    </row>
    <row r="1875" spans="1:18" ht="43.2" hidden="1" x14ac:dyDescent="0.3">
      <c r="A1875" s="6" t="s">
        <v>8411</v>
      </c>
      <c r="B1875" s="7" t="s">
        <v>2847</v>
      </c>
      <c r="C1875" s="17" t="s">
        <v>8412</v>
      </c>
      <c r="D1875" s="17"/>
      <c r="E1875" s="8">
        <v>17511</v>
      </c>
      <c r="F1875" s="9">
        <v>75</v>
      </c>
      <c r="G1875" s="6" t="s">
        <v>8413</v>
      </c>
      <c r="H1875" s="7" t="s">
        <v>39</v>
      </c>
      <c r="I1875" s="6" t="s">
        <v>2472</v>
      </c>
      <c r="J1875" s="7" t="s">
        <v>20</v>
      </c>
      <c r="K1875" s="7" t="s">
        <v>26</v>
      </c>
      <c r="L1875" s="6"/>
      <c r="M1875" s="10">
        <v>5.8200000000000002E-2</v>
      </c>
      <c r="N1875" s="6" t="s">
        <v>8414</v>
      </c>
      <c r="O1875" s="11">
        <v>37600</v>
      </c>
      <c r="P1875" s="11"/>
      <c r="Q1875" s="18">
        <v>4700</v>
      </c>
      <c r="R1875" s="19"/>
    </row>
    <row r="1876" spans="1:18" ht="43.2" hidden="1" x14ac:dyDescent="0.3">
      <c r="A1876" s="6" t="s">
        <v>8415</v>
      </c>
      <c r="B1876" s="7" t="s">
        <v>2983</v>
      </c>
      <c r="C1876" s="17" t="s">
        <v>8416</v>
      </c>
      <c r="D1876" s="17"/>
      <c r="E1876" s="8">
        <v>17861</v>
      </c>
      <c r="F1876" s="9">
        <v>74</v>
      </c>
      <c r="G1876" s="6" t="s">
        <v>8417</v>
      </c>
      <c r="H1876" s="7" t="s">
        <v>39</v>
      </c>
      <c r="I1876" s="6" t="s">
        <v>8418</v>
      </c>
      <c r="J1876" s="7" t="s">
        <v>20</v>
      </c>
      <c r="K1876" s="7" t="s">
        <v>26</v>
      </c>
      <c r="L1876" s="6"/>
      <c r="M1876" s="10">
        <v>5.67E-2</v>
      </c>
      <c r="N1876" s="6" t="s">
        <v>8419</v>
      </c>
      <c r="O1876" s="11">
        <v>13400</v>
      </c>
      <c r="P1876" s="11"/>
      <c r="Q1876" s="18">
        <v>1675</v>
      </c>
      <c r="R1876" s="19"/>
    </row>
    <row r="1877" spans="1:18" ht="43.2" hidden="1" x14ac:dyDescent="0.3">
      <c r="A1877" s="6" t="s">
        <v>8420</v>
      </c>
      <c r="B1877" s="7" t="s">
        <v>276</v>
      </c>
      <c r="C1877" s="17" t="s">
        <v>8421</v>
      </c>
      <c r="D1877" s="17"/>
      <c r="E1877" s="8">
        <v>15228</v>
      </c>
      <c r="F1877" s="9">
        <v>81</v>
      </c>
      <c r="G1877" s="6" t="s">
        <v>8422</v>
      </c>
      <c r="H1877" s="7" t="s">
        <v>39</v>
      </c>
      <c r="I1877" s="6" t="s">
        <v>122</v>
      </c>
      <c r="J1877" s="7" t="s">
        <v>20</v>
      </c>
      <c r="K1877" s="7" t="s">
        <v>26</v>
      </c>
      <c r="L1877" s="6"/>
      <c r="M1877" s="10">
        <v>7.0800000000000002E-2</v>
      </c>
      <c r="N1877" s="6" t="s">
        <v>8423</v>
      </c>
      <c r="O1877" s="11">
        <v>16000</v>
      </c>
      <c r="P1877" s="11"/>
      <c r="Q1877" s="18">
        <v>775.66</v>
      </c>
      <c r="R1877" s="19"/>
    </row>
    <row r="1878" spans="1:18" ht="28.8" hidden="1" x14ac:dyDescent="0.3">
      <c r="A1878" s="6" t="s">
        <v>8424</v>
      </c>
      <c r="B1878" s="7" t="s">
        <v>140</v>
      </c>
      <c r="C1878" s="17" t="s">
        <v>8425</v>
      </c>
      <c r="D1878" s="17"/>
      <c r="E1878" s="8">
        <v>18566</v>
      </c>
      <c r="F1878" s="9">
        <v>72</v>
      </c>
      <c r="G1878" s="6" t="s">
        <v>8426</v>
      </c>
      <c r="H1878" s="7" t="s">
        <v>39</v>
      </c>
      <c r="I1878" s="6" t="s">
        <v>67</v>
      </c>
      <c r="J1878" s="7" t="s">
        <v>20</v>
      </c>
      <c r="K1878" s="7" t="s">
        <v>26</v>
      </c>
      <c r="L1878" s="6"/>
      <c r="M1878" s="10">
        <v>5.3999999999999999E-2</v>
      </c>
      <c r="N1878" s="6" t="s">
        <v>8427</v>
      </c>
      <c r="O1878" s="11">
        <v>5800</v>
      </c>
      <c r="P1878" s="11"/>
      <c r="Q1878" s="18">
        <v>29.64</v>
      </c>
      <c r="R1878" s="19"/>
    </row>
    <row r="1879" spans="1:18" ht="43.2" hidden="1" x14ac:dyDescent="0.3">
      <c r="A1879" s="6" t="s">
        <v>8428</v>
      </c>
      <c r="B1879" s="7" t="s">
        <v>287</v>
      </c>
      <c r="C1879" s="17" t="s">
        <v>8429</v>
      </c>
      <c r="D1879" s="17"/>
      <c r="E1879" s="8">
        <v>18224</v>
      </c>
      <c r="F1879" s="9">
        <v>73</v>
      </c>
      <c r="G1879" s="6" t="s">
        <v>8430</v>
      </c>
      <c r="H1879" s="7" t="s">
        <v>39</v>
      </c>
      <c r="I1879" s="6" t="s">
        <v>728</v>
      </c>
      <c r="J1879" s="7" t="s">
        <v>20</v>
      </c>
      <c r="K1879" s="7" t="s">
        <v>26</v>
      </c>
      <c r="L1879" s="6"/>
      <c r="M1879" s="10">
        <v>5.5300000000000002E-2</v>
      </c>
      <c r="N1879" s="6" t="s">
        <v>8431</v>
      </c>
      <c r="O1879" s="11">
        <v>28000</v>
      </c>
      <c r="P1879" s="11"/>
      <c r="Q1879" s="18">
        <v>3500</v>
      </c>
      <c r="R1879" s="19"/>
    </row>
    <row r="1880" spans="1:18" hidden="1" x14ac:dyDescent="0.3">
      <c r="A1880" s="6" t="s">
        <v>8432</v>
      </c>
      <c r="B1880" s="7" t="s">
        <v>7085</v>
      </c>
      <c r="C1880" s="17" t="s">
        <v>8433</v>
      </c>
      <c r="D1880" s="17"/>
      <c r="E1880" s="7" t="s">
        <v>8434</v>
      </c>
      <c r="F1880" s="9">
        <v>72</v>
      </c>
      <c r="G1880" s="6" t="s">
        <v>8435</v>
      </c>
      <c r="H1880" s="7" t="s">
        <v>25</v>
      </c>
      <c r="I1880" s="6" t="s">
        <v>19</v>
      </c>
      <c r="J1880" s="7" t="s">
        <v>20</v>
      </c>
      <c r="K1880" s="7" t="s">
        <v>26</v>
      </c>
      <c r="L1880" s="6"/>
      <c r="M1880" s="10">
        <v>5.3999999999999999E-2</v>
      </c>
      <c r="N1880" s="6" t="s">
        <v>8436</v>
      </c>
      <c r="O1880" s="6" t="s">
        <v>19</v>
      </c>
      <c r="P1880" s="6"/>
      <c r="Q1880" s="19" t="s">
        <v>19</v>
      </c>
      <c r="R1880" s="19"/>
    </row>
    <row r="1881" spans="1:18" ht="43.2" hidden="1" x14ac:dyDescent="0.3">
      <c r="A1881" s="6" t="s">
        <v>8437</v>
      </c>
      <c r="B1881" s="7" t="s">
        <v>246</v>
      </c>
      <c r="C1881" s="17" t="s">
        <v>5573</v>
      </c>
      <c r="D1881" s="17"/>
      <c r="E1881" s="8">
        <v>17108</v>
      </c>
      <c r="F1881" s="9">
        <v>76</v>
      </c>
      <c r="G1881" s="6" t="s">
        <v>8438</v>
      </c>
      <c r="H1881" s="7" t="s">
        <v>39</v>
      </c>
      <c r="I1881" s="6" t="s">
        <v>47</v>
      </c>
      <c r="J1881" s="7" t="s">
        <v>20</v>
      </c>
      <c r="K1881" s="7" t="s">
        <v>26</v>
      </c>
      <c r="L1881" s="6"/>
      <c r="M1881" s="10">
        <v>5.9799999999999999E-2</v>
      </c>
      <c r="N1881" s="6" t="s">
        <v>8439</v>
      </c>
      <c r="O1881" s="11">
        <v>18000</v>
      </c>
      <c r="P1881" s="11"/>
      <c r="Q1881" s="18">
        <v>1000</v>
      </c>
      <c r="R1881" s="19"/>
    </row>
    <row r="1882" spans="1:18" ht="28.8" hidden="1" x14ac:dyDescent="0.3">
      <c r="A1882" s="6" t="s">
        <v>8440</v>
      </c>
      <c r="B1882" s="7" t="s">
        <v>918</v>
      </c>
      <c r="C1882" s="17" t="s">
        <v>8441</v>
      </c>
      <c r="D1882" s="17"/>
      <c r="E1882" s="8">
        <v>16719</v>
      </c>
      <c r="F1882" s="9">
        <v>77</v>
      </c>
      <c r="G1882" s="6" t="s">
        <v>8442</v>
      </c>
      <c r="H1882" s="7" t="s">
        <v>39</v>
      </c>
      <c r="I1882" s="6" t="s">
        <v>249</v>
      </c>
      <c r="J1882" s="7" t="s">
        <v>20</v>
      </c>
      <c r="K1882" s="7" t="s">
        <v>26</v>
      </c>
      <c r="L1882" s="6"/>
      <c r="M1882" s="10">
        <v>6.1699999999999998E-2</v>
      </c>
      <c r="N1882" s="6" t="s">
        <v>8443</v>
      </c>
      <c r="O1882" s="11">
        <v>1600</v>
      </c>
      <c r="P1882" s="11"/>
      <c r="Q1882" s="18">
        <v>200</v>
      </c>
      <c r="R1882" s="19"/>
    </row>
    <row r="1883" spans="1:18" ht="43.2" hidden="1" x14ac:dyDescent="0.3">
      <c r="A1883" s="6" t="s">
        <v>8444</v>
      </c>
      <c r="B1883" s="7" t="s">
        <v>246</v>
      </c>
      <c r="C1883" s="17" t="s">
        <v>8445</v>
      </c>
      <c r="D1883" s="17"/>
      <c r="E1883" s="8">
        <v>18614</v>
      </c>
      <c r="F1883" s="9">
        <v>72</v>
      </c>
      <c r="G1883" s="6" t="s">
        <v>8446</v>
      </c>
      <c r="H1883" s="7" t="s">
        <v>39</v>
      </c>
      <c r="I1883" s="6" t="s">
        <v>8447</v>
      </c>
      <c r="J1883" s="7" t="s">
        <v>20</v>
      </c>
      <c r="K1883" s="7" t="s">
        <v>26</v>
      </c>
      <c r="L1883" s="6"/>
      <c r="M1883" s="10">
        <v>5.3999999999999999E-2</v>
      </c>
      <c r="N1883" s="6" t="s">
        <v>8448</v>
      </c>
      <c r="O1883" s="11">
        <v>12810</v>
      </c>
      <c r="P1883" s="11"/>
      <c r="Q1883" s="18">
        <v>700.68</v>
      </c>
      <c r="R1883" s="19"/>
    </row>
    <row r="1884" spans="1:18" hidden="1" x14ac:dyDescent="0.3">
      <c r="A1884" s="6" t="s">
        <v>8449</v>
      </c>
      <c r="B1884" s="7" t="s">
        <v>125</v>
      </c>
      <c r="C1884" s="17" t="s">
        <v>8450</v>
      </c>
      <c r="D1884" s="17"/>
      <c r="E1884" s="8">
        <v>16924</v>
      </c>
      <c r="F1884" s="9">
        <v>76</v>
      </c>
      <c r="G1884" s="6" t="s">
        <v>8451</v>
      </c>
      <c r="H1884" s="7" t="s">
        <v>25</v>
      </c>
      <c r="I1884" s="6"/>
      <c r="J1884" s="7" t="s">
        <v>20</v>
      </c>
      <c r="K1884" s="7" t="s">
        <v>26</v>
      </c>
      <c r="L1884" s="6"/>
      <c r="M1884" s="10">
        <v>5.9799999999999999E-2</v>
      </c>
      <c r="N1884" s="6" t="s">
        <v>8452</v>
      </c>
      <c r="O1884" s="11">
        <v>14249.92</v>
      </c>
      <c r="P1884" s="11"/>
      <c r="Q1884" s="18">
        <v>1781.24</v>
      </c>
      <c r="R1884" s="19"/>
    </row>
    <row r="1885" spans="1:18" ht="28.8" hidden="1" x14ac:dyDescent="0.3">
      <c r="A1885" s="6" t="s">
        <v>8453</v>
      </c>
      <c r="B1885" s="7" t="s">
        <v>1434</v>
      </c>
      <c r="C1885" s="17" t="s">
        <v>5810</v>
      </c>
      <c r="D1885" s="17"/>
      <c r="E1885" s="8">
        <v>12016</v>
      </c>
      <c r="F1885" s="9">
        <v>90</v>
      </c>
      <c r="G1885" s="6" t="s">
        <v>8454</v>
      </c>
      <c r="H1885" s="7" t="s">
        <v>39</v>
      </c>
      <c r="I1885" s="6" t="s">
        <v>284</v>
      </c>
      <c r="J1885" s="7" t="s">
        <v>20</v>
      </c>
      <c r="K1885" s="7" t="s">
        <v>26</v>
      </c>
      <c r="L1885" s="6"/>
      <c r="M1885" s="10">
        <v>0.1192</v>
      </c>
      <c r="N1885" s="6" t="s">
        <v>8455</v>
      </c>
      <c r="O1885" s="11">
        <v>22000</v>
      </c>
      <c r="P1885" s="11"/>
      <c r="Q1885" s="18">
        <v>250</v>
      </c>
      <c r="R1885" s="19"/>
    </row>
    <row r="1886" spans="1:18" ht="43.2" hidden="1" x14ac:dyDescent="0.3">
      <c r="A1886" s="6" t="s">
        <v>8456</v>
      </c>
      <c r="B1886" s="7" t="s">
        <v>2625</v>
      </c>
      <c r="C1886" s="17" t="s">
        <v>4091</v>
      </c>
      <c r="D1886" s="17"/>
      <c r="E1886" s="8">
        <v>16925</v>
      </c>
      <c r="F1886" s="9">
        <v>76</v>
      </c>
      <c r="G1886" s="6" t="s">
        <v>8457</v>
      </c>
      <c r="H1886" s="7" t="s">
        <v>39</v>
      </c>
      <c r="I1886" s="6" t="s">
        <v>4962</v>
      </c>
      <c r="J1886" s="7" t="s">
        <v>20</v>
      </c>
      <c r="K1886" s="7" t="s">
        <v>32</v>
      </c>
      <c r="L1886" s="6"/>
      <c r="M1886" s="10">
        <v>5.9799999999999999E-2</v>
      </c>
      <c r="N1886" s="6" t="s">
        <v>8458</v>
      </c>
      <c r="O1886" s="11">
        <v>6500</v>
      </c>
      <c r="P1886" s="11"/>
      <c r="Q1886" s="18">
        <v>6500</v>
      </c>
      <c r="R1886" s="19"/>
    </row>
    <row r="1887" spans="1:18" ht="43.2" hidden="1" x14ac:dyDescent="0.3">
      <c r="A1887" s="6" t="s">
        <v>8459</v>
      </c>
      <c r="B1887" s="7" t="s">
        <v>412</v>
      </c>
      <c r="C1887" s="17" t="s">
        <v>8460</v>
      </c>
      <c r="D1887" s="17"/>
      <c r="E1887" s="8">
        <v>13945</v>
      </c>
      <c r="F1887" s="9">
        <v>84</v>
      </c>
      <c r="G1887" s="6" t="s">
        <v>8461</v>
      </c>
      <c r="H1887" s="7" t="s">
        <v>39</v>
      </c>
      <c r="I1887" s="6" t="s">
        <v>1313</v>
      </c>
      <c r="J1887" s="7" t="s">
        <v>20</v>
      </c>
      <c r="K1887" s="7" t="s">
        <v>32</v>
      </c>
      <c r="L1887" s="6"/>
      <c r="M1887" s="10">
        <v>8.0799999999999997E-2</v>
      </c>
      <c r="N1887" s="6" t="s">
        <v>8462</v>
      </c>
      <c r="O1887" s="11">
        <v>20000</v>
      </c>
      <c r="P1887" s="11"/>
      <c r="Q1887" s="18">
        <v>20000</v>
      </c>
      <c r="R1887" s="19"/>
    </row>
    <row r="1888" spans="1:18" hidden="1" x14ac:dyDescent="0.3">
      <c r="A1888" s="6" t="s">
        <v>8463</v>
      </c>
      <c r="B1888" s="7" t="s">
        <v>318</v>
      </c>
      <c r="C1888" s="17" t="s">
        <v>7001</v>
      </c>
      <c r="D1888" s="17"/>
      <c r="E1888" s="7" t="s">
        <v>37</v>
      </c>
      <c r="F1888" s="9">
        <v>73</v>
      </c>
      <c r="G1888" s="6" t="s">
        <v>8464</v>
      </c>
      <c r="H1888" s="7" t="s">
        <v>25</v>
      </c>
      <c r="I1888" s="6" t="s">
        <v>19</v>
      </c>
      <c r="J1888" s="7" t="s">
        <v>41</v>
      </c>
      <c r="K1888" s="7" t="s">
        <v>32</v>
      </c>
      <c r="L1888" s="9">
        <v>70</v>
      </c>
      <c r="M1888" s="10">
        <v>0.05</v>
      </c>
      <c r="N1888" s="6" t="s">
        <v>8465</v>
      </c>
      <c r="O1888" s="6" t="s">
        <v>19</v>
      </c>
      <c r="P1888" s="6"/>
      <c r="Q1888" s="19" t="s">
        <v>19</v>
      </c>
      <c r="R1888" s="19"/>
    </row>
    <row r="1889" spans="1:18" ht="43.2" hidden="1" x14ac:dyDescent="0.3">
      <c r="A1889" s="6" t="s">
        <v>8466</v>
      </c>
      <c r="B1889" s="7" t="s">
        <v>1584</v>
      </c>
      <c r="C1889" s="17" t="s">
        <v>8467</v>
      </c>
      <c r="D1889" s="17"/>
      <c r="E1889" s="8">
        <v>18544</v>
      </c>
      <c r="F1889" s="9">
        <v>72</v>
      </c>
      <c r="G1889" s="6" t="s">
        <v>8468</v>
      </c>
      <c r="H1889" s="7" t="s">
        <v>39</v>
      </c>
      <c r="I1889" s="6" t="s">
        <v>144</v>
      </c>
      <c r="J1889" s="7" t="s">
        <v>20</v>
      </c>
      <c r="K1889" s="7" t="s">
        <v>26</v>
      </c>
      <c r="L1889" s="6"/>
      <c r="M1889" s="10">
        <v>5.3999999999999999E-2</v>
      </c>
      <c r="N1889" s="6" t="s">
        <v>8469</v>
      </c>
      <c r="O1889" s="11">
        <v>40000</v>
      </c>
      <c r="P1889" s="11"/>
      <c r="Q1889" s="18">
        <v>5000</v>
      </c>
      <c r="R1889" s="19"/>
    </row>
    <row r="1890" spans="1:18" hidden="1" x14ac:dyDescent="0.3">
      <c r="A1890" s="6" t="s">
        <v>8470</v>
      </c>
      <c r="B1890" s="7" t="s">
        <v>5045</v>
      </c>
      <c r="C1890" s="17" t="s">
        <v>8471</v>
      </c>
      <c r="D1890" s="17"/>
      <c r="E1890" s="8">
        <v>15951</v>
      </c>
      <c r="F1890" s="9">
        <v>79</v>
      </c>
      <c r="G1890" s="6" t="s">
        <v>8472</v>
      </c>
      <c r="H1890" s="7" t="s">
        <v>25</v>
      </c>
      <c r="I1890" s="6"/>
      <c r="J1890" s="7" t="s">
        <v>20</v>
      </c>
      <c r="K1890" s="7" t="s">
        <v>26</v>
      </c>
      <c r="L1890" s="6"/>
      <c r="M1890" s="10">
        <v>6.5799999999999997E-2</v>
      </c>
      <c r="N1890" s="6" t="s">
        <v>8473</v>
      </c>
      <c r="O1890" s="11">
        <v>26201.200000000001</v>
      </c>
      <c r="P1890" s="11"/>
      <c r="Q1890" s="18">
        <v>3275.15</v>
      </c>
      <c r="R1890" s="19"/>
    </row>
    <row r="1891" spans="1:18" hidden="1" x14ac:dyDescent="0.3">
      <c r="A1891" s="6" t="s">
        <v>8474</v>
      </c>
      <c r="B1891" s="7" t="s">
        <v>7648</v>
      </c>
      <c r="C1891" s="17" t="s">
        <v>8475</v>
      </c>
      <c r="D1891" s="17"/>
      <c r="E1891" s="8">
        <v>17646</v>
      </c>
      <c r="F1891" s="9">
        <v>74</v>
      </c>
      <c r="G1891" s="6" t="s">
        <v>8476</v>
      </c>
      <c r="H1891" s="7" t="s">
        <v>25</v>
      </c>
      <c r="I1891" s="6"/>
      <c r="J1891" s="7" t="s">
        <v>20</v>
      </c>
      <c r="K1891" s="7" t="s">
        <v>26</v>
      </c>
      <c r="L1891" s="6"/>
      <c r="M1891" s="10">
        <v>5.67E-2</v>
      </c>
      <c r="N1891" s="6" t="s">
        <v>8477</v>
      </c>
      <c r="O1891" s="11">
        <v>1623.36</v>
      </c>
      <c r="P1891" s="11"/>
      <c r="Q1891" s="18">
        <v>202.92</v>
      </c>
      <c r="R1891" s="19"/>
    </row>
    <row r="1892" spans="1:18" ht="28.8" hidden="1" x14ac:dyDescent="0.3">
      <c r="A1892" s="6" t="s">
        <v>8478</v>
      </c>
      <c r="B1892" s="7" t="s">
        <v>8479</v>
      </c>
      <c r="C1892" s="17" t="s">
        <v>8480</v>
      </c>
      <c r="D1892" s="17"/>
      <c r="E1892" s="8">
        <v>18112</v>
      </c>
      <c r="F1892" s="9">
        <v>73</v>
      </c>
      <c r="G1892" s="6" t="s">
        <v>8481</v>
      </c>
      <c r="H1892" s="7" t="s">
        <v>39</v>
      </c>
      <c r="I1892" s="6" t="s">
        <v>321</v>
      </c>
      <c r="J1892" s="7" t="s">
        <v>20</v>
      </c>
      <c r="K1892" s="7" t="s">
        <v>26</v>
      </c>
      <c r="L1892" s="6"/>
      <c r="M1892" s="10">
        <v>5.5300000000000002E-2</v>
      </c>
      <c r="N1892" s="6" t="s">
        <v>8482</v>
      </c>
      <c r="O1892" s="11">
        <v>4000</v>
      </c>
      <c r="P1892" s="11"/>
      <c r="Q1892" s="18">
        <v>500</v>
      </c>
      <c r="R1892" s="19"/>
    </row>
    <row r="1893" spans="1:18" ht="43.2" hidden="1" x14ac:dyDescent="0.3">
      <c r="A1893" s="6" t="s">
        <v>8483</v>
      </c>
      <c r="B1893" s="7" t="s">
        <v>168</v>
      </c>
      <c r="C1893" s="17" t="s">
        <v>8484</v>
      </c>
      <c r="D1893" s="17"/>
      <c r="E1893" s="8">
        <v>17881</v>
      </c>
      <c r="F1893" s="9">
        <v>74</v>
      </c>
      <c r="G1893" s="6" t="s">
        <v>8485</v>
      </c>
      <c r="H1893" s="7" t="s">
        <v>39</v>
      </c>
      <c r="I1893" s="6" t="s">
        <v>227</v>
      </c>
      <c r="J1893" s="7" t="s">
        <v>20</v>
      </c>
      <c r="K1893" s="7" t="s">
        <v>26</v>
      </c>
      <c r="L1893" s="6"/>
      <c r="M1893" s="10">
        <v>5.67E-2</v>
      </c>
      <c r="N1893" s="6" t="s">
        <v>8486</v>
      </c>
      <c r="O1893" s="11">
        <v>18400</v>
      </c>
      <c r="P1893" s="11"/>
      <c r="Q1893" s="18">
        <v>2300</v>
      </c>
      <c r="R1893" s="19"/>
    </row>
    <row r="1894" spans="1:18" hidden="1" x14ac:dyDescent="0.3">
      <c r="A1894" s="6" t="s">
        <v>8487</v>
      </c>
      <c r="B1894" s="7" t="s">
        <v>830</v>
      </c>
      <c r="C1894" s="17" t="s">
        <v>8488</v>
      </c>
      <c r="D1894" s="17"/>
      <c r="E1894" s="7" t="s">
        <v>6986</v>
      </c>
      <c r="F1894" s="9">
        <v>77</v>
      </c>
      <c r="G1894" s="6" t="s">
        <v>8489</v>
      </c>
      <c r="H1894" s="7" t="s">
        <v>25</v>
      </c>
      <c r="I1894" s="6" t="s">
        <v>19</v>
      </c>
      <c r="J1894" s="7" t="s">
        <v>20</v>
      </c>
      <c r="K1894" s="7" t="s">
        <v>32</v>
      </c>
      <c r="L1894" s="6"/>
      <c r="M1894" s="10">
        <v>6.1699999999999998E-2</v>
      </c>
      <c r="N1894" s="6" t="s">
        <v>8490</v>
      </c>
      <c r="O1894" s="6" t="s">
        <v>19</v>
      </c>
      <c r="P1894" s="6"/>
      <c r="Q1894" s="19" t="s">
        <v>19</v>
      </c>
      <c r="R1894" s="19"/>
    </row>
    <row r="1895" spans="1:18" ht="43.2" hidden="1" x14ac:dyDescent="0.3">
      <c r="A1895" s="6" t="s">
        <v>8491</v>
      </c>
      <c r="B1895" s="7" t="s">
        <v>4729</v>
      </c>
      <c r="C1895" s="17" t="s">
        <v>8492</v>
      </c>
      <c r="D1895" s="17"/>
      <c r="E1895" s="8">
        <v>18191</v>
      </c>
      <c r="F1895" s="9">
        <v>73</v>
      </c>
      <c r="G1895" s="6" t="s">
        <v>8493</v>
      </c>
      <c r="H1895" s="7" t="s">
        <v>39</v>
      </c>
      <c r="I1895" s="6" t="s">
        <v>8494</v>
      </c>
      <c r="J1895" s="7" t="s">
        <v>20</v>
      </c>
      <c r="K1895" s="7" t="s">
        <v>26</v>
      </c>
      <c r="L1895" s="6"/>
      <c r="M1895" s="10">
        <v>5.5300000000000002E-2</v>
      </c>
      <c r="N1895" s="6" t="s">
        <v>8495</v>
      </c>
      <c r="O1895" s="11">
        <v>33000</v>
      </c>
      <c r="P1895" s="11"/>
      <c r="Q1895" s="18">
        <v>4125</v>
      </c>
      <c r="R1895" s="19"/>
    </row>
    <row r="1896" spans="1:18" ht="28.8" hidden="1" x14ac:dyDescent="0.3">
      <c r="A1896" s="6" t="s">
        <v>8496</v>
      </c>
      <c r="B1896" s="7" t="s">
        <v>163</v>
      </c>
      <c r="C1896" s="17" t="s">
        <v>8497</v>
      </c>
      <c r="D1896" s="17"/>
      <c r="E1896" s="8">
        <v>17082</v>
      </c>
      <c r="F1896" s="9">
        <v>76</v>
      </c>
      <c r="G1896" s="6" t="s">
        <v>8498</v>
      </c>
      <c r="H1896" s="7" t="s">
        <v>39</v>
      </c>
      <c r="I1896" s="6" t="s">
        <v>321</v>
      </c>
      <c r="J1896" s="7" t="s">
        <v>20</v>
      </c>
      <c r="K1896" s="7" t="s">
        <v>26</v>
      </c>
      <c r="L1896" s="6"/>
      <c r="M1896" s="10">
        <v>5.9799999999999999E-2</v>
      </c>
      <c r="N1896" s="6" t="s">
        <v>8499</v>
      </c>
      <c r="O1896" s="11">
        <v>4000</v>
      </c>
      <c r="P1896" s="11"/>
      <c r="Q1896" s="18">
        <v>500</v>
      </c>
      <c r="R1896" s="19"/>
    </row>
    <row r="1897" spans="1:18" ht="43.2" hidden="1" x14ac:dyDescent="0.3">
      <c r="A1897" s="6" t="s">
        <v>8500</v>
      </c>
      <c r="B1897" s="7" t="s">
        <v>8501</v>
      </c>
      <c r="C1897" s="17" t="s">
        <v>8502</v>
      </c>
      <c r="D1897" s="17"/>
      <c r="E1897" s="8">
        <v>14721</v>
      </c>
      <c r="F1897" s="9">
        <v>82</v>
      </c>
      <c r="G1897" s="6" t="s">
        <v>8503</v>
      </c>
      <c r="H1897" s="7" t="s">
        <v>39</v>
      </c>
      <c r="I1897" s="6" t="s">
        <v>8504</v>
      </c>
      <c r="J1897" s="7" t="s">
        <v>20</v>
      </c>
      <c r="K1897" s="7" t="s">
        <v>32</v>
      </c>
      <c r="L1897" s="6"/>
      <c r="M1897" s="10">
        <v>7.3800000000000004E-2</v>
      </c>
      <c r="N1897" s="6" t="s">
        <v>8505</v>
      </c>
      <c r="O1897" s="11">
        <v>147987.92000000001</v>
      </c>
      <c r="P1897" s="11"/>
      <c r="Q1897" s="18">
        <v>147987.92000000001</v>
      </c>
      <c r="R1897" s="19"/>
    </row>
    <row r="1898" spans="1:18" ht="28.8" hidden="1" x14ac:dyDescent="0.3">
      <c r="A1898" s="6" t="s">
        <v>8506</v>
      </c>
      <c r="B1898" s="7" t="s">
        <v>2154</v>
      </c>
      <c r="C1898" s="17" t="s">
        <v>8507</v>
      </c>
      <c r="D1898" s="17"/>
      <c r="E1898" s="8">
        <v>16753</v>
      </c>
      <c r="F1898" s="9">
        <v>77</v>
      </c>
      <c r="G1898" s="6" t="s">
        <v>8508</v>
      </c>
      <c r="H1898" s="7" t="s">
        <v>39</v>
      </c>
      <c r="I1898" s="6" t="s">
        <v>6271</v>
      </c>
      <c r="J1898" s="7" t="s">
        <v>20</v>
      </c>
      <c r="K1898" s="7" t="s">
        <v>26</v>
      </c>
      <c r="L1898" s="6"/>
      <c r="M1898" s="10">
        <v>6.1699999999999998E-2</v>
      </c>
      <c r="N1898" s="6" t="s">
        <v>8509</v>
      </c>
      <c r="O1898" s="11">
        <v>3600</v>
      </c>
      <c r="P1898" s="11"/>
      <c r="Q1898" s="18">
        <v>450</v>
      </c>
      <c r="R1898" s="19"/>
    </row>
    <row r="1899" spans="1:18" ht="43.2" hidden="1" x14ac:dyDescent="0.3">
      <c r="A1899" s="6" t="s">
        <v>8510</v>
      </c>
      <c r="B1899" s="7" t="s">
        <v>190</v>
      </c>
      <c r="C1899" s="17" t="s">
        <v>6440</v>
      </c>
      <c r="D1899" s="17"/>
      <c r="E1899" s="8">
        <v>16920</v>
      </c>
      <c r="F1899" s="9">
        <v>76</v>
      </c>
      <c r="G1899" s="6" t="s">
        <v>8511</v>
      </c>
      <c r="H1899" s="7" t="s">
        <v>39</v>
      </c>
      <c r="I1899" s="6" t="s">
        <v>4949</v>
      </c>
      <c r="J1899" s="7" t="s">
        <v>20</v>
      </c>
      <c r="K1899" s="7" t="s">
        <v>26</v>
      </c>
      <c r="L1899" s="6"/>
      <c r="M1899" s="10">
        <v>5.9799999999999999E-2</v>
      </c>
      <c r="N1899" s="6" t="s">
        <v>8512</v>
      </c>
      <c r="O1899" s="11">
        <v>10800</v>
      </c>
      <c r="P1899" s="11"/>
      <c r="Q1899" s="18">
        <v>1350</v>
      </c>
      <c r="R1899" s="19"/>
    </row>
    <row r="1900" spans="1:18" hidden="1" x14ac:dyDescent="0.3">
      <c r="A1900" s="6" t="s">
        <v>8513</v>
      </c>
      <c r="B1900" s="7" t="s">
        <v>2516</v>
      </c>
      <c r="C1900" s="17" t="s">
        <v>8514</v>
      </c>
      <c r="D1900" s="17"/>
      <c r="E1900" s="8">
        <v>17947</v>
      </c>
      <c r="F1900" s="9">
        <v>73</v>
      </c>
      <c r="G1900" s="6" t="s">
        <v>8515</v>
      </c>
      <c r="H1900" s="7" t="s">
        <v>25</v>
      </c>
      <c r="I1900" s="6"/>
      <c r="J1900" s="7" t="s">
        <v>20</v>
      </c>
      <c r="K1900" s="7" t="s">
        <v>26</v>
      </c>
      <c r="L1900" s="6"/>
      <c r="M1900" s="10">
        <v>5.5300000000000002E-2</v>
      </c>
      <c r="N1900" s="6" t="s">
        <v>5696</v>
      </c>
      <c r="O1900" s="11">
        <v>2347.2800000000002</v>
      </c>
      <c r="P1900" s="11"/>
      <c r="Q1900" s="18">
        <v>293.41000000000003</v>
      </c>
      <c r="R1900" s="19"/>
    </row>
    <row r="1901" spans="1:18" ht="43.2" hidden="1" x14ac:dyDescent="0.3">
      <c r="A1901" s="6" t="s">
        <v>8516</v>
      </c>
      <c r="B1901" s="7" t="s">
        <v>2119</v>
      </c>
      <c r="C1901" s="17" t="s">
        <v>8517</v>
      </c>
      <c r="D1901" s="17"/>
      <c r="E1901" s="8">
        <v>18293</v>
      </c>
      <c r="F1901" s="9">
        <v>72</v>
      </c>
      <c r="G1901" s="6" t="s">
        <v>8518</v>
      </c>
      <c r="H1901" s="7" t="s">
        <v>39</v>
      </c>
      <c r="I1901" s="6" t="s">
        <v>538</v>
      </c>
      <c r="J1901" s="7" t="s">
        <v>20</v>
      </c>
      <c r="K1901" s="7" t="s">
        <v>26</v>
      </c>
      <c r="L1901" s="6"/>
      <c r="M1901" s="10">
        <v>5.3999999999999999E-2</v>
      </c>
      <c r="N1901" s="6" t="s">
        <v>8519</v>
      </c>
      <c r="O1901" s="11">
        <v>12800</v>
      </c>
      <c r="P1901" s="11"/>
      <c r="Q1901" s="18">
        <v>1600</v>
      </c>
      <c r="R1901" s="19"/>
    </row>
    <row r="1902" spans="1:18" ht="28.8" hidden="1" x14ac:dyDescent="0.3">
      <c r="A1902" s="6" t="s">
        <v>8520</v>
      </c>
      <c r="B1902" s="7" t="s">
        <v>195</v>
      </c>
      <c r="C1902" s="17" t="s">
        <v>1575</v>
      </c>
      <c r="D1902" s="17"/>
      <c r="E1902" s="8">
        <v>18459</v>
      </c>
      <c r="F1902" s="9">
        <v>72</v>
      </c>
      <c r="G1902" s="6" t="s">
        <v>8521</v>
      </c>
      <c r="H1902" s="7" t="s">
        <v>39</v>
      </c>
      <c r="I1902" s="6" t="s">
        <v>67</v>
      </c>
      <c r="J1902" s="7" t="s">
        <v>20</v>
      </c>
      <c r="K1902" s="7" t="s">
        <v>26</v>
      </c>
      <c r="L1902" s="6"/>
      <c r="M1902" s="10">
        <v>5.3999999999999999E-2</v>
      </c>
      <c r="N1902" s="6" t="s">
        <v>8522</v>
      </c>
      <c r="O1902" s="11">
        <v>6400</v>
      </c>
      <c r="P1902" s="11"/>
      <c r="Q1902" s="18">
        <v>800</v>
      </c>
      <c r="R1902" s="19"/>
    </row>
    <row r="1903" spans="1:18" ht="43.2" hidden="1" x14ac:dyDescent="0.3">
      <c r="A1903" s="6" t="s">
        <v>8523</v>
      </c>
      <c r="B1903" s="7" t="s">
        <v>8524</v>
      </c>
      <c r="C1903" s="17" t="s">
        <v>8525</v>
      </c>
      <c r="D1903" s="17"/>
      <c r="E1903" s="8">
        <v>17948</v>
      </c>
      <c r="F1903" s="9">
        <v>73</v>
      </c>
      <c r="G1903" s="6" t="s">
        <v>8526</v>
      </c>
      <c r="H1903" s="7" t="s">
        <v>39</v>
      </c>
      <c r="I1903" s="6" t="s">
        <v>533</v>
      </c>
      <c r="J1903" s="7" t="s">
        <v>20</v>
      </c>
      <c r="K1903" s="7" t="s">
        <v>26</v>
      </c>
      <c r="L1903" s="6"/>
      <c r="M1903" s="10">
        <v>5.5300000000000002E-2</v>
      </c>
      <c r="N1903" s="6" t="s">
        <v>8527</v>
      </c>
      <c r="O1903" s="11">
        <v>80000</v>
      </c>
      <c r="P1903" s="11"/>
      <c r="Q1903" s="18">
        <v>10000</v>
      </c>
      <c r="R1903" s="19"/>
    </row>
    <row r="1904" spans="1:18" hidden="1" x14ac:dyDescent="0.3">
      <c r="A1904" s="6" t="s">
        <v>8528</v>
      </c>
      <c r="B1904" s="7" t="s">
        <v>412</v>
      </c>
      <c r="C1904" s="17" t="s">
        <v>8529</v>
      </c>
      <c r="D1904" s="17"/>
      <c r="E1904" s="8">
        <v>17278</v>
      </c>
      <c r="F1904" s="9">
        <v>75</v>
      </c>
      <c r="G1904" s="6" t="s">
        <v>8530</v>
      </c>
      <c r="H1904" s="7" t="s">
        <v>25</v>
      </c>
      <c r="I1904" s="6"/>
      <c r="J1904" s="7" t="s">
        <v>20</v>
      </c>
      <c r="K1904" s="7" t="s">
        <v>26</v>
      </c>
      <c r="L1904" s="6"/>
      <c r="M1904" s="10">
        <v>5.8200000000000002E-2</v>
      </c>
      <c r="N1904" s="6" t="s">
        <v>8531</v>
      </c>
      <c r="O1904" s="11">
        <v>9192.8799999999992</v>
      </c>
      <c r="P1904" s="11"/>
      <c r="Q1904" s="18">
        <v>1149.1099999999999</v>
      </c>
      <c r="R1904" s="19"/>
    </row>
    <row r="1905" spans="1:18" ht="43.2" hidden="1" x14ac:dyDescent="0.3">
      <c r="A1905" s="6" t="s">
        <v>8532</v>
      </c>
      <c r="B1905" s="7" t="s">
        <v>81</v>
      </c>
      <c r="C1905" s="17" t="s">
        <v>4933</v>
      </c>
      <c r="D1905" s="17"/>
      <c r="E1905" s="8">
        <v>16911</v>
      </c>
      <c r="F1905" s="9">
        <v>76</v>
      </c>
      <c r="G1905" s="6" t="s">
        <v>8533</v>
      </c>
      <c r="H1905" s="7" t="s">
        <v>39</v>
      </c>
      <c r="I1905" s="6" t="s">
        <v>151</v>
      </c>
      <c r="J1905" s="7" t="s">
        <v>20</v>
      </c>
      <c r="K1905" s="7" t="s">
        <v>26</v>
      </c>
      <c r="L1905" s="6"/>
      <c r="M1905" s="10">
        <v>5.9799999999999999E-2</v>
      </c>
      <c r="N1905" s="6" t="s">
        <v>8534</v>
      </c>
      <c r="O1905" s="11">
        <v>20000</v>
      </c>
      <c r="P1905" s="11"/>
      <c r="Q1905" s="18">
        <v>2500</v>
      </c>
      <c r="R1905" s="19"/>
    </row>
    <row r="1906" spans="1:18" hidden="1" x14ac:dyDescent="0.3">
      <c r="A1906" s="6" t="s">
        <v>8535</v>
      </c>
      <c r="B1906" s="7" t="s">
        <v>1187</v>
      </c>
      <c r="C1906" s="17" t="s">
        <v>8536</v>
      </c>
      <c r="D1906" s="17"/>
      <c r="E1906" s="8">
        <v>18015</v>
      </c>
      <c r="F1906" s="9">
        <v>73</v>
      </c>
      <c r="G1906" s="6" t="s">
        <v>8537</v>
      </c>
      <c r="H1906" s="7" t="s">
        <v>25</v>
      </c>
      <c r="I1906" s="6"/>
      <c r="J1906" s="7" t="s">
        <v>20</v>
      </c>
      <c r="K1906" s="7" t="s">
        <v>26</v>
      </c>
      <c r="L1906" s="6"/>
      <c r="M1906" s="10">
        <v>5.5300000000000002E-2</v>
      </c>
      <c r="N1906" s="6" t="s">
        <v>8538</v>
      </c>
      <c r="O1906" s="11">
        <v>3124.48</v>
      </c>
      <c r="P1906" s="11"/>
      <c r="Q1906" s="18">
        <v>390.56</v>
      </c>
      <c r="R1906" s="19"/>
    </row>
    <row r="1907" spans="1:18" hidden="1" x14ac:dyDescent="0.3">
      <c r="A1907" s="6" t="s">
        <v>8539</v>
      </c>
      <c r="B1907" s="7" t="s">
        <v>129</v>
      </c>
      <c r="C1907" s="17" t="s">
        <v>8540</v>
      </c>
      <c r="D1907" s="17"/>
      <c r="E1907" s="7" t="s">
        <v>8541</v>
      </c>
      <c r="F1907" s="9">
        <v>76</v>
      </c>
      <c r="G1907" s="6" t="s">
        <v>8542</v>
      </c>
      <c r="H1907" s="7" t="s">
        <v>25</v>
      </c>
      <c r="I1907" s="6" t="s">
        <v>19</v>
      </c>
      <c r="J1907" s="7" t="s">
        <v>20</v>
      </c>
      <c r="K1907" s="7" t="s">
        <v>32</v>
      </c>
      <c r="L1907" s="6"/>
      <c r="M1907" s="10">
        <v>5.9799999999999999E-2</v>
      </c>
      <c r="N1907" s="6" t="s">
        <v>8543</v>
      </c>
      <c r="O1907" s="6" t="s">
        <v>19</v>
      </c>
      <c r="P1907" s="6"/>
      <c r="Q1907" s="19" t="s">
        <v>19</v>
      </c>
      <c r="R1907" s="19"/>
    </row>
    <row r="1908" spans="1:18" ht="28.8" hidden="1" x14ac:dyDescent="0.3">
      <c r="A1908" s="6" t="s">
        <v>8544</v>
      </c>
      <c r="B1908" s="7" t="s">
        <v>8545</v>
      </c>
      <c r="C1908" s="17" t="s">
        <v>8546</v>
      </c>
      <c r="D1908" s="17"/>
      <c r="E1908" s="8">
        <v>15209</v>
      </c>
      <c r="F1908" s="9">
        <v>81</v>
      </c>
      <c r="G1908" s="6" t="s">
        <v>8547</v>
      </c>
      <c r="H1908" s="7" t="s">
        <v>39</v>
      </c>
      <c r="I1908" s="6" t="s">
        <v>321</v>
      </c>
      <c r="J1908" s="7" t="s">
        <v>20</v>
      </c>
      <c r="K1908" s="7" t="s">
        <v>26</v>
      </c>
      <c r="L1908" s="6"/>
      <c r="M1908" s="10">
        <v>7.0800000000000002E-2</v>
      </c>
      <c r="N1908" s="6" t="s">
        <v>8548</v>
      </c>
      <c r="O1908" s="11">
        <v>4000</v>
      </c>
      <c r="P1908" s="11"/>
      <c r="Q1908" s="18">
        <v>500</v>
      </c>
      <c r="R1908" s="19"/>
    </row>
    <row r="1909" spans="1:18" hidden="1" x14ac:dyDescent="0.3">
      <c r="A1909" s="6" t="s">
        <v>8549</v>
      </c>
      <c r="B1909" s="7" t="s">
        <v>8550</v>
      </c>
      <c r="C1909" s="17" t="s">
        <v>8551</v>
      </c>
      <c r="D1909" s="17"/>
      <c r="E1909" s="7" t="s">
        <v>1754</v>
      </c>
      <c r="F1909" s="9">
        <v>79</v>
      </c>
      <c r="G1909" s="6" t="s">
        <v>8552</v>
      </c>
      <c r="H1909" s="7" t="s">
        <v>25</v>
      </c>
      <c r="I1909" s="6" t="s">
        <v>19</v>
      </c>
      <c r="J1909" s="7" t="s">
        <v>20</v>
      </c>
      <c r="K1909" s="7" t="s">
        <v>32</v>
      </c>
      <c r="L1909" s="6"/>
      <c r="M1909" s="10">
        <v>6.5799999999999997E-2</v>
      </c>
      <c r="N1909" s="6" t="s">
        <v>8553</v>
      </c>
      <c r="O1909" s="6" t="s">
        <v>19</v>
      </c>
      <c r="P1909" s="6"/>
      <c r="Q1909" s="19" t="s">
        <v>19</v>
      </c>
      <c r="R1909" s="19"/>
    </row>
    <row r="1910" spans="1:18" hidden="1" x14ac:dyDescent="0.3">
      <c r="A1910" s="6" t="s">
        <v>8554</v>
      </c>
      <c r="B1910" s="7" t="s">
        <v>1143</v>
      </c>
      <c r="C1910" s="17" t="s">
        <v>8546</v>
      </c>
      <c r="D1910" s="17"/>
      <c r="E1910" s="7" t="s">
        <v>1560</v>
      </c>
      <c r="F1910" s="9">
        <v>81</v>
      </c>
      <c r="G1910" s="6" t="s">
        <v>19</v>
      </c>
      <c r="H1910" s="7" t="s">
        <v>19</v>
      </c>
      <c r="I1910" s="6" t="s">
        <v>19</v>
      </c>
      <c r="J1910" s="7" t="s">
        <v>20</v>
      </c>
      <c r="K1910" s="7"/>
      <c r="L1910" s="6"/>
      <c r="M1910" s="10">
        <v>7.0800000000000002E-2</v>
      </c>
      <c r="N1910" s="6" t="s">
        <v>19</v>
      </c>
      <c r="O1910" s="6" t="s">
        <v>19</v>
      </c>
      <c r="P1910" s="6"/>
      <c r="Q1910" s="19" t="s">
        <v>19</v>
      </c>
      <c r="R1910" s="19"/>
    </row>
    <row r="1911" spans="1:18" hidden="1" x14ac:dyDescent="0.3">
      <c r="A1911" s="6" t="s">
        <v>8555</v>
      </c>
      <c r="B1911" s="7" t="s">
        <v>924</v>
      </c>
      <c r="C1911" s="17" t="s">
        <v>8556</v>
      </c>
      <c r="D1911" s="17"/>
      <c r="E1911" s="8">
        <v>18154</v>
      </c>
      <c r="F1911" s="9">
        <v>73</v>
      </c>
      <c r="G1911" s="6" t="s">
        <v>8557</v>
      </c>
      <c r="H1911" s="7" t="s">
        <v>25</v>
      </c>
      <c r="I1911" s="6"/>
      <c r="J1911" s="7" t="s">
        <v>20</v>
      </c>
      <c r="K1911" s="7" t="s">
        <v>26</v>
      </c>
      <c r="L1911" s="6"/>
      <c r="M1911" s="10">
        <v>5.5300000000000002E-2</v>
      </c>
      <c r="N1911" s="6" t="s">
        <v>8558</v>
      </c>
      <c r="O1911" s="11">
        <v>17105.52</v>
      </c>
      <c r="P1911" s="11"/>
      <c r="Q1911" s="18">
        <v>1513.19</v>
      </c>
      <c r="R1911" s="19"/>
    </row>
    <row r="1912" spans="1:18" ht="43.2" hidden="1" x14ac:dyDescent="0.3">
      <c r="A1912" s="6" t="s">
        <v>8559</v>
      </c>
      <c r="B1912" s="7" t="s">
        <v>3015</v>
      </c>
      <c r="C1912" s="17" t="s">
        <v>8560</v>
      </c>
      <c r="D1912" s="17"/>
      <c r="E1912" s="8">
        <v>16812</v>
      </c>
      <c r="F1912" s="9">
        <v>76</v>
      </c>
      <c r="G1912" s="6" t="s">
        <v>8561</v>
      </c>
      <c r="H1912" s="7" t="s">
        <v>39</v>
      </c>
      <c r="I1912" s="6" t="s">
        <v>106</v>
      </c>
      <c r="J1912" s="7" t="s">
        <v>20</v>
      </c>
      <c r="K1912" s="7" t="s">
        <v>26</v>
      </c>
      <c r="L1912" s="6"/>
      <c r="M1912" s="10">
        <v>5.9799999999999999E-2</v>
      </c>
      <c r="N1912" s="6" t="s">
        <v>8562</v>
      </c>
      <c r="O1912" s="11">
        <v>32000</v>
      </c>
      <c r="P1912" s="11"/>
      <c r="Q1912" s="18">
        <v>4000</v>
      </c>
      <c r="R1912" s="19"/>
    </row>
    <row r="1913" spans="1:18" hidden="1" x14ac:dyDescent="0.3">
      <c r="A1913" s="6" t="s">
        <v>8563</v>
      </c>
      <c r="B1913" s="7" t="s">
        <v>8564</v>
      </c>
      <c r="C1913" s="17" t="s">
        <v>8565</v>
      </c>
      <c r="D1913" s="17"/>
      <c r="E1913" s="7" t="s">
        <v>8566</v>
      </c>
      <c r="F1913" s="9">
        <v>79</v>
      </c>
      <c r="G1913" s="6" t="s">
        <v>8567</v>
      </c>
      <c r="H1913" s="7" t="s">
        <v>25</v>
      </c>
      <c r="I1913" s="6" t="s">
        <v>19</v>
      </c>
      <c r="J1913" s="7" t="s">
        <v>20</v>
      </c>
      <c r="K1913" s="7" t="s">
        <v>32</v>
      </c>
      <c r="L1913" s="6"/>
      <c r="M1913" s="10">
        <v>6.5799999999999997E-2</v>
      </c>
      <c r="N1913" s="6" t="s">
        <v>8568</v>
      </c>
      <c r="O1913" s="6" t="s">
        <v>19</v>
      </c>
      <c r="P1913" s="6"/>
      <c r="Q1913" s="19" t="s">
        <v>19</v>
      </c>
      <c r="R1913" s="19"/>
    </row>
    <row r="1914" spans="1:18" ht="43.2" hidden="1" x14ac:dyDescent="0.3">
      <c r="A1914" s="6" t="s">
        <v>8569</v>
      </c>
      <c r="B1914" s="7" t="s">
        <v>8570</v>
      </c>
      <c r="C1914" s="17" t="s">
        <v>8571</v>
      </c>
      <c r="D1914" s="17"/>
      <c r="E1914" s="8">
        <v>17362</v>
      </c>
      <c r="F1914" s="9">
        <v>75</v>
      </c>
      <c r="G1914" s="6" t="s">
        <v>8572</v>
      </c>
      <c r="H1914" s="7" t="s">
        <v>39</v>
      </c>
      <c r="I1914" s="6" t="s">
        <v>40</v>
      </c>
      <c r="J1914" s="7" t="s">
        <v>20</v>
      </c>
      <c r="K1914" s="7" t="s">
        <v>26</v>
      </c>
      <c r="L1914" s="6"/>
      <c r="M1914" s="10">
        <v>5.8200000000000002E-2</v>
      </c>
      <c r="N1914" s="6" t="s">
        <v>8573</v>
      </c>
      <c r="O1914" s="11">
        <v>24000</v>
      </c>
      <c r="P1914" s="11"/>
      <c r="Q1914" s="18">
        <v>3000</v>
      </c>
      <c r="R1914" s="19"/>
    </row>
    <row r="1915" spans="1:18" ht="43.2" hidden="1" x14ac:dyDescent="0.3">
      <c r="A1915" s="6" t="s">
        <v>8574</v>
      </c>
      <c r="B1915" s="7" t="s">
        <v>2110</v>
      </c>
      <c r="C1915" s="17" t="s">
        <v>8575</v>
      </c>
      <c r="D1915" s="17"/>
      <c r="E1915" s="8">
        <v>17721</v>
      </c>
      <c r="F1915" s="9">
        <v>74</v>
      </c>
      <c r="G1915" s="6" t="s">
        <v>8576</v>
      </c>
      <c r="H1915" s="7" t="s">
        <v>39</v>
      </c>
      <c r="I1915" s="6" t="s">
        <v>961</v>
      </c>
      <c r="J1915" s="7" t="s">
        <v>20</v>
      </c>
      <c r="K1915" s="7" t="s">
        <v>26</v>
      </c>
      <c r="L1915" s="6"/>
      <c r="M1915" s="10">
        <v>5.67E-2</v>
      </c>
      <c r="N1915" s="6" t="s">
        <v>8577</v>
      </c>
      <c r="O1915" s="11">
        <v>17200</v>
      </c>
      <c r="P1915" s="11"/>
      <c r="Q1915" s="18">
        <v>2150</v>
      </c>
      <c r="R1915" s="19"/>
    </row>
    <row r="1916" spans="1:18" ht="43.2" hidden="1" x14ac:dyDescent="0.3">
      <c r="A1916" s="6" t="s">
        <v>8578</v>
      </c>
      <c r="B1916" s="7" t="s">
        <v>125</v>
      </c>
      <c r="C1916" s="17" t="s">
        <v>8579</v>
      </c>
      <c r="D1916" s="17"/>
      <c r="E1916" s="8">
        <v>17291</v>
      </c>
      <c r="F1916" s="9">
        <v>75</v>
      </c>
      <c r="G1916" s="6" t="s">
        <v>8580</v>
      </c>
      <c r="H1916" s="7" t="s">
        <v>39</v>
      </c>
      <c r="I1916" s="6" t="s">
        <v>704</v>
      </c>
      <c r="J1916" s="7" t="s">
        <v>20</v>
      </c>
      <c r="K1916" s="7" t="s">
        <v>26</v>
      </c>
      <c r="L1916" s="6"/>
      <c r="M1916" s="10">
        <v>5.8200000000000002E-2</v>
      </c>
      <c r="N1916" s="6" t="s">
        <v>8581</v>
      </c>
      <c r="O1916" s="11">
        <v>10000</v>
      </c>
      <c r="P1916" s="11"/>
      <c r="Q1916" s="18">
        <v>1250</v>
      </c>
      <c r="R1916" s="19"/>
    </row>
    <row r="1917" spans="1:18" ht="43.2" hidden="1" x14ac:dyDescent="0.3">
      <c r="A1917" s="6" t="s">
        <v>8582</v>
      </c>
      <c r="B1917" s="7" t="s">
        <v>4551</v>
      </c>
      <c r="C1917" s="17" t="s">
        <v>8583</v>
      </c>
      <c r="D1917" s="17"/>
      <c r="E1917" s="8">
        <v>17619</v>
      </c>
      <c r="F1917" s="9">
        <v>74</v>
      </c>
      <c r="G1917" s="6"/>
      <c r="H1917" s="7" t="s">
        <v>39</v>
      </c>
      <c r="I1917" s="6" t="s">
        <v>47</v>
      </c>
      <c r="J1917" s="7" t="s">
        <v>20</v>
      </c>
      <c r="K1917" s="7" t="s">
        <v>26</v>
      </c>
      <c r="L1917" s="6"/>
      <c r="M1917" s="10">
        <v>5.67E-2</v>
      </c>
      <c r="N1917" s="6"/>
      <c r="O1917" s="11">
        <v>7000</v>
      </c>
      <c r="P1917" s="11"/>
      <c r="Q1917" s="18">
        <v>1000</v>
      </c>
      <c r="R1917" s="19"/>
    </row>
    <row r="1918" spans="1:18" ht="43.2" hidden="1" x14ac:dyDescent="0.3">
      <c r="A1918" s="6" t="s">
        <v>8584</v>
      </c>
      <c r="B1918" s="7" t="s">
        <v>8585</v>
      </c>
      <c r="C1918" s="17" t="s">
        <v>2216</v>
      </c>
      <c r="D1918" s="17"/>
      <c r="E1918" s="8">
        <v>18198</v>
      </c>
      <c r="F1918" s="9">
        <v>73</v>
      </c>
      <c r="G1918" s="6"/>
      <c r="H1918" s="7" t="s">
        <v>39</v>
      </c>
      <c r="I1918" s="6" t="s">
        <v>122</v>
      </c>
      <c r="J1918" s="7" t="s">
        <v>20</v>
      </c>
      <c r="K1918" s="7" t="s">
        <v>26</v>
      </c>
      <c r="L1918" s="6"/>
      <c r="M1918" s="10">
        <v>5.5300000000000002E-2</v>
      </c>
      <c r="N1918" s="6"/>
      <c r="O1918" s="11">
        <v>6000</v>
      </c>
      <c r="P1918" s="11"/>
      <c r="Q1918" s="18">
        <v>2000</v>
      </c>
      <c r="R1918" s="19"/>
    </row>
    <row r="1919" spans="1:18" ht="28.8" hidden="1" x14ac:dyDescent="0.3">
      <c r="A1919" s="6" t="s">
        <v>8586</v>
      </c>
      <c r="B1919" s="7" t="s">
        <v>86</v>
      </c>
      <c r="C1919" s="17" t="s">
        <v>8587</v>
      </c>
      <c r="D1919" s="17"/>
      <c r="E1919" s="8">
        <v>17063</v>
      </c>
      <c r="F1919" s="9">
        <v>76</v>
      </c>
      <c r="G1919" s="6"/>
      <c r="H1919" s="7" t="s">
        <v>39</v>
      </c>
      <c r="I1919" s="6" t="s">
        <v>321</v>
      </c>
      <c r="J1919" s="7" t="s">
        <v>20</v>
      </c>
      <c r="K1919" s="7" t="s">
        <v>26</v>
      </c>
      <c r="L1919" s="6"/>
      <c r="M1919" s="10">
        <v>5.9799999999999999E-2</v>
      </c>
      <c r="N1919" s="6"/>
      <c r="O1919" s="11">
        <v>1000</v>
      </c>
      <c r="P1919" s="11"/>
      <c r="Q1919" s="18">
        <v>500</v>
      </c>
      <c r="R1919" s="19"/>
    </row>
    <row r="1920" spans="1:18" ht="43.2" hidden="1" x14ac:dyDescent="0.3">
      <c r="A1920" s="6" t="s">
        <v>8588</v>
      </c>
      <c r="B1920" s="7" t="s">
        <v>8589</v>
      </c>
      <c r="C1920" s="17" t="s">
        <v>8590</v>
      </c>
      <c r="D1920" s="17"/>
      <c r="E1920" s="8">
        <v>15879</v>
      </c>
      <c r="F1920" s="9">
        <v>79</v>
      </c>
      <c r="G1920" s="6"/>
      <c r="H1920" s="7" t="s">
        <v>39</v>
      </c>
      <c r="I1920" s="6" t="s">
        <v>1052</v>
      </c>
      <c r="J1920" s="7" t="s">
        <v>20</v>
      </c>
      <c r="K1920" s="7" t="s">
        <v>26</v>
      </c>
      <c r="L1920" s="6"/>
      <c r="M1920" s="10">
        <v>6.5799999999999997E-2</v>
      </c>
      <c r="N1920" s="6"/>
      <c r="O1920" s="11">
        <v>18000</v>
      </c>
      <c r="P1920" s="11"/>
      <c r="Q1920" s="18">
        <v>9000</v>
      </c>
      <c r="R1920" s="19"/>
    </row>
    <row r="1921" spans="1:19" hidden="1" x14ac:dyDescent="0.3">
      <c r="A1921" s="20" t="s">
        <v>0</v>
      </c>
      <c r="B1921" s="20"/>
      <c r="C1921" s="20"/>
      <c r="D1921" s="20"/>
      <c r="E1921" s="20"/>
      <c r="F1921" s="20"/>
      <c r="G1921" s="20"/>
      <c r="H1921" s="20"/>
      <c r="I1921" s="20"/>
      <c r="J1921" s="20"/>
      <c r="K1921" s="20"/>
      <c r="L1921" s="20"/>
      <c r="M1921" s="20"/>
      <c r="N1921" s="20"/>
      <c r="O1921" s="20"/>
      <c r="P1921" s="20"/>
      <c r="Q1921" s="20"/>
      <c r="R1921" s="20"/>
      <c r="S1921" s="20"/>
    </row>
    <row r="1922" spans="1:19" hidden="1" x14ac:dyDescent="0.3">
      <c r="A1922" s="20" t="s">
        <v>0</v>
      </c>
      <c r="B1922" s="20"/>
      <c r="C1922" s="20"/>
      <c r="D1922" s="20"/>
      <c r="E1922" s="20"/>
      <c r="F1922" s="20"/>
      <c r="G1922" s="20"/>
      <c r="H1922" s="20"/>
      <c r="I1922" s="20"/>
      <c r="J1922" s="20"/>
      <c r="K1922" s="20"/>
      <c r="L1922" s="20"/>
      <c r="M1922" s="20"/>
      <c r="N1922" s="20"/>
      <c r="O1922" s="20"/>
      <c r="P1922" s="20"/>
      <c r="Q1922" s="20"/>
      <c r="R1922" s="20"/>
      <c r="S1922" s="20"/>
    </row>
  </sheetData>
  <autoFilter ref="A1:S1922" xr:uid="{C53656F7-E2EA-4507-9DB0-B8378D772798}">
    <filterColumn colId="9">
      <filters>
        <filter val="Spouse"/>
      </filters>
    </filterColumn>
    <filterColumn colId="14">
      <filters>
        <filter val="$1,000.00"/>
        <filter val="$1,016.00"/>
        <filter val="$1,040.00"/>
        <filter val="$1,049.28"/>
        <filter val="$1,125.52"/>
        <filter val="$1,142.72"/>
        <filter val="$1,200.00"/>
        <filter val="$1,219.68"/>
        <filter val="$1,238.69"/>
        <filter val="$1,280.00"/>
        <filter val="$1,325.16"/>
        <filter val="$1,331.60"/>
        <filter val="$1,440.00"/>
        <filter val="$1,452.56"/>
        <filter val="$1,469.68"/>
        <filter val="$1,500.00"/>
        <filter val="$1,561.28"/>
        <filter val="$1,578.81"/>
        <filter val="$1,582.96"/>
        <filter val="$1,600.00"/>
        <filter val="$1,623.36"/>
        <filter val="$1,640.80"/>
        <filter val="$1,668.34"/>
        <filter val="$1,700.00"/>
        <filter val="$1,729.36"/>
        <filter val="$1,734.17"/>
        <filter val="$1,750.96"/>
        <filter val="$1,792.32"/>
        <filter val="$1,827.36"/>
        <filter val="$1,872.00"/>
        <filter val="$1,888.48"/>
        <filter val="$1,900.00"/>
        <filter val="$1,920.00"/>
        <filter val="$1,995.48"/>
        <filter val="$10,000.00"/>
        <filter val="$10,003.44"/>
        <filter val="$10,100.00"/>
        <filter val="$10,160.24"/>
        <filter val="$10,182.00"/>
        <filter val="$10,200.00"/>
        <filter val="$10,269.36"/>
        <filter val="$10,310.80"/>
        <filter val="$10,320.08"/>
        <filter val="$10,349.28"/>
        <filter val="$10,400.00"/>
        <filter val="$10,416.66"/>
        <filter val="$10,444.80"/>
        <filter val="$10,480.00"/>
        <filter val="$10,515.76"/>
        <filter val="$10,550.00"/>
        <filter val="$10,600.00"/>
        <filter val="$10,622.57"/>
        <filter val="$10,672.68"/>
        <filter val="$10,678.48"/>
        <filter val="$10,700.00"/>
        <filter val="$10,714.16"/>
        <filter val="$10,800.00"/>
        <filter val="$10,822.16"/>
        <filter val="$10,843.28"/>
        <filter val="$10,952.40"/>
        <filter val="$10,963.12"/>
        <filter val="$10,969.12"/>
        <filter val="$100.00"/>
        <filter val="$106,307.51"/>
        <filter val="$11,000.00"/>
        <filter val="$11,020.56"/>
        <filter val="$11,087.84"/>
        <filter val="$11,158.32"/>
        <filter val="$11,200.00"/>
        <filter val="$11,280.00"/>
        <filter val="$11,357.44"/>
        <filter val="$11,375.44"/>
        <filter val="$11,410.00"/>
        <filter val="$11,453.00"/>
        <filter val="$11,500.00"/>
        <filter val="$11,524.42"/>
        <filter val="$11,572.96"/>
        <filter val="$11,580.08"/>
        <filter val="$11,686.40"/>
        <filter val="$11,689.12"/>
        <filter val="$11,772.80"/>
        <filter val="$11,780.48"/>
        <filter val="$11,821.84"/>
        <filter val="$12,000.00"/>
        <filter val="$12,034.72"/>
        <filter val="$12,053.28"/>
        <filter val="$12,080.00"/>
        <filter val="$12,131.57"/>
        <filter val="$12,134.01"/>
        <filter val="$12,200.00"/>
        <filter val="$12,200.72"/>
        <filter val="$12,386.96"/>
        <filter val="$12,400.00"/>
        <filter val="$12,447.52"/>
        <filter val="$12,496.16"/>
        <filter val="$12,500.00"/>
        <filter val="$12,507.44"/>
        <filter val="$12,533.00"/>
        <filter val="$12,585.04"/>
        <filter val="$12,591.92"/>
        <filter val="$12,640.00"/>
        <filter val="$12,705.68"/>
        <filter val="$12,800.00"/>
        <filter val="$12,810.00"/>
        <filter val="$12,880.00"/>
        <filter val="$12,944.96"/>
        <filter val="$12,983.36"/>
        <filter val="$12,992.16"/>
        <filter val="$12,995.00"/>
        <filter val="$13,000.00"/>
        <filter val="$13,194.00"/>
        <filter val="$13,200.00"/>
        <filter val="$13,276.00"/>
        <filter val="$13,328.00"/>
        <filter val="$13,360.00"/>
        <filter val="$13,380.00"/>
        <filter val="$13,394.80"/>
        <filter val="$13,400.00"/>
        <filter val="$13,560.00"/>
        <filter val="$13,600.00"/>
        <filter val="$13,605.92"/>
        <filter val="$13,612.88"/>
        <filter val="$13,671.12"/>
        <filter val="$13,753.08"/>
        <filter val="$13,920.00"/>
        <filter val="$14,000.00"/>
        <filter val="$14,120.00"/>
        <filter val="$14,249.92"/>
        <filter val="$14,253.76"/>
        <filter val="$14,342.00"/>
        <filter val="$14,379.52"/>
        <filter val="$14,400.00"/>
        <filter val="$14,572.24"/>
        <filter val="$14,600.00"/>
        <filter val="$14,744.00"/>
        <filter val="$147,987.92"/>
        <filter val="$15,000.00"/>
        <filter val="$15,062.96"/>
        <filter val="$15,064.00"/>
        <filter val="$15,070.88"/>
        <filter val="$15,102.40"/>
        <filter val="$15,103.48"/>
        <filter val="$15,200.00"/>
        <filter val="$15,200.96"/>
        <filter val="$15,231.36"/>
        <filter val="$15,234.00"/>
        <filter val="$15,293.62"/>
        <filter val="$15,334.99"/>
        <filter val="$15,537.52"/>
        <filter val="$15,546.24"/>
        <filter val="$15,578.15"/>
        <filter val="$15,600.00"/>
        <filter val="$15,652.16"/>
        <filter val="$15,699.92"/>
        <filter val="$15,869.84"/>
        <filter val="$150,000.00"/>
        <filter val="$156,400.00"/>
        <filter val="$16,000.00"/>
        <filter val="$16,100.00"/>
        <filter val="$16,111.68"/>
        <filter val="$16,332.47"/>
        <filter val="$16,490.56"/>
        <filter val="$16,494.16"/>
        <filter val="$16,497.64"/>
        <filter val="$16,501.76"/>
        <filter val="$16,502.25"/>
        <filter val="$16,621.18"/>
        <filter val="$16,640.00"/>
        <filter val="$16,666.64"/>
        <filter val="$16,693.92"/>
        <filter val="$16,711.12"/>
        <filter val="$16,776.37"/>
        <filter val="$16,800.00"/>
        <filter val="$16,844.16"/>
        <filter val="$16,928.72"/>
        <filter val="$16,962.24"/>
        <filter val="$17,000.00"/>
        <filter val="$17,105.52"/>
        <filter val="$17,115.20"/>
        <filter val="$17,142.72"/>
        <filter val="$17,149.92"/>
        <filter val="$17,200.00"/>
        <filter val="$17,223.92"/>
        <filter val="$17,258.00"/>
        <filter val="$17,297.52"/>
        <filter val="$17,333.28"/>
        <filter val="$17,335.12"/>
        <filter val="$17,440.00"/>
        <filter val="$17,471.50"/>
        <filter val="$17,500.00"/>
        <filter val="$17,524.96"/>
        <filter val="$17,566.24"/>
        <filter val="$17,600.00"/>
        <filter val="$17,615.04"/>
        <filter val="$17,639.20"/>
        <filter val="$17,650.56"/>
        <filter val="$17,762.62"/>
        <filter val="$17,800.00"/>
        <filter val="$17,883.44"/>
        <filter val="$17,985.84"/>
        <filter val="$18,000.00"/>
        <filter val="$18,205.76"/>
        <filter val="$18,297.60"/>
        <filter val="$18,314.64"/>
        <filter val="$18,315.21"/>
        <filter val="$18,400.00"/>
        <filter val="$18,560.00"/>
        <filter val="$18,600.00"/>
        <filter val="$18,743.49"/>
        <filter val="$18,756.72"/>
        <filter val="$18,800.00"/>
        <filter val="$18,895.44"/>
        <filter val="$19,000.00"/>
        <filter val="$19,085.44"/>
        <filter val="$19,200.00"/>
        <filter val="$19,440.00"/>
        <filter val="$19,441.60"/>
        <filter val="$19,517.31"/>
        <filter val="$19,600.00"/>
        <filter val="$19,758.88"/>
        <filter val="$19,778.16"/>
        <filter val="$19,887.25"/>
        <filter val="$19,952.56"/>
        <filter val="$2,000.00"/>
        <filter val="$2,025.04"/>
        <filter val="$2,037.92"/>
        <filter val="$2,074.21"/>
        <filter val="$2,080.00"/>
        <filter val="$2,128.24"/>
        <filter val="$2,138.08"/>
        <filter val="$2,142.24"/>
        <filter val="$2,166.48"/>
        <filter val="$2,192.80"/>
        <filter val="$2,200.00"/>
        <filter val="$2,214.84"/>
        <filter val="$2,253.58"/>
        <filter val="$2,266.11"/>
        <filter val="$2,278.56"/>
        <filter val="$2,293.92"/>
        <filter val="$2,347.28"/>
        <filter val="$2,350.00"/>
        <filter val="$2,400.00"/>
        <filter val="$2,435.52"/>
        <filter val="$2,447.92"/>
        <filter val="$2,503.12"/>
        <filter val="$2,524.92"/>
        <filter val="$2,576.00"/>
        <filter val="$2,600.00"/>
        <filter val="$2,640.00"/>
        <filter val="$2,647.31"/>
        <filter val="$2,684.16"/>
        <filter val="$2,720.00"/>
        <filter val="$2,753.76"/>
        <filter val="$2,758.80"/>
        <filter val="$2,761.28"/>
        <filter val="$2,774.24"/>
        <filter val="$2,777.84"/>
        <filter val="$2,800.00"/>
        <filter val="$2,818.24"/>
        <filter val="$2,869.92"/>
        <filter val="$2,904.00"/>
        <filter val="$2,960.00"/>
        <filter val="$20,000.00"/>
        <filter val="$20,125.00"/>
        <filter val="$20,318.64"/>
        <filter val="$20,320.00"/>
        <filter val="$20,400.00"/>
        <filter val="$20,440.00"/>
        <filter val="$20,480.00"/>
        <filter val="$20,540.88"/>
        <filter val="$20,542.08"/>
        <filter val="$20,800.00"/>
        <filter val="$20,962.32"/>
        <filter val="$200.00"/>
        <filter val="$207,947.12"/>
        <filter val="$21,000.00"/>
        <filter val="$21,160.00"/>
        <filter val="$21,264.40"/>
        <filter val="$21,510.40"/>
        <filter val="$21,535.12"/>
        <filter val="$21,577.10"/>
        <filter val="$21,600.00"/>
        <filter val="$21,604.80"/>
        <filter val="$21,837.04"/>
        <filter val="$21,963.60"/>
        <filter val="$22,000.00"/>
        <filter val="$22,124.40"/>
        <filter val="$22,196.16"/>
        <filter val="$22,362.50"/>
        <filter val="$22,396.00"/>
        <filter val="$22,400.00"/>
        <filter val="$22,500.00"/>
        <filter val="$22,508.00"/>
        <filter val="$22,583.92"/>
        <filter val="$22,700.00"/>
        <filter val="$22,750.80"/>
        <filter val="$22,800.00"/>
        <filter val="$22,825.14"/>
        <filter val="$22,859.52"/>
        <filter val="$22,934.88"/>
        <filter val="$23,000.00"/>
        <filter val="$23,035.06"/>
        <filter val="$23,141.12"/>
        <filter val="$23,200.00"/>
        <filter val="$23,666.13"/>
        <filter val="$23,667.52"/>
        <filter val="$23,680.00"/>
        <filter val="$23,697.84"/>
        <filter val="$23,746.40"/>
        <filter val="$23,950.94"/>
        <filter val="$23,956.64"/>
        <filter val="$23,960.00"/>
        <filter val="$24,000.00"/>
        <filter val="$24,267.04"/>
        <filter val="$24,320.00"/>
        <filter val="$24,440.00"/>
        <filter val="$24,566.08"/>
        <filter val="$24,768.00"/>
        <filter val="$24,777.92"/>
        <filter val="$24,780.72"/>
        <filter val="$24,800.00"/>
        <filter val="$24,947.76"/>
        <filter val="$25,000.00"/>
        <filter val="$25,008.32"/>
        <filter val="$25,034.00"/>
        <filter val="$25,040.24"/>
        <filter val="$25,500.00"/>
        <filter val="$25,540.00"/>
        <filter val="$25,552.00"/>
        <filter val="$25,600.00"/>
        <filter val="$25,800.00"/>
        <filter val="$25,832.48"/>
        <filter val="$25,896.16"/>
        <filter val="$26,000.00"/>
        <filter val="$26,058.32"/>
        <filter val="$26,200.00"/>
        <filter val="$26,201.20"/>
        <filter val="$26,400.00"/>
        <filter val="$26,500.00"/>
        <filter val="$26,557.84"/>
        <filter val="$26,559.44"/>
        <filter val="$26,780.38"/>
        <filter val="$26,800.00"/>
        <filter val="$27,040.48"/>
        <filter val="$27,050.48"/>
        <filter val="$27,200.00"/>
        <filter val="$27,306.32"/>
        <filter val="$27,500.00"/>
        <filter val="$27,520.00"/>
        <filter val="$27,633.68"/>
        <filter val="$27,943.82"/>
        <filter val="$27,964.88"/>
        <filter val="$28,000.00"/>
        <filter val="$28,134.88"/>
        <filter val="$28,200.00"/>
        <filter val="$28,255.52"/>
        <filter val="$28,288.96"/>
        <filter val="$28,400.00"/>
        <filter val="$28,445.92"/>
        <filter val="$28,620.00"/>
        <filter val="$28,685.68"/>
        <filter val="$28,800.00"/>
        <filter val="$29,000.00"/>
        <filter val="$29,200.00"/>
        <filter val="$29,245.32"/>
        <filter val="$29,272.00"/>
        <filter val="$29,393.76"/>
        <filter val="$29,595.36"/>
        <filter val="$29,600.00"/>
        <filter val="$29,842.40"/>
        <filter val="$29,920.00"/>
        <filter val="$29,995.52"/>
        <filter val="$296,454.72"/>
        <filter val="$3,000.00"/>
        <filter val="$3,074.66"/>
        <filter val="$3,091.84"/>
        <filter val="$3,124.48"/>
        <filter val="$3,181.04"/>
        <filter val="$3,200.00"/>
        <filter val="$3,230.40"/>
        <filter val="$3,270.08"/>
        <filter val="$3,271.60"/>
        <filter val="$3,281.36"/>
        <filter val="$3,285.84"/>
        <filter val="$3,329.70"/>
        <filter val="$3,379.87"/>
        <filter val="$3,400.00"/>
        <filter val="$3,500.00"/>
        <filter val="$3,545.44"/>
        <filter val="$3,562.80"/>
        <filter val="$3,600.00"/>
        <filter val="$3,660.78"/>
        <filter val="$3,694.48"/>
        <filter val="$3,721.22"/>
        <filter val="$3,742.24"/>
        <filter val="$3,808.77"/>
        <filter val="$3,835.13"/>
        <filter val="$3,847.92"/>
        <filter val="$3,945.07"/>
        <filter val="$3,952.00"/>
        <filter val="$3,963.84"/>
        <filter val="$3,999.68"/>
        <filter val="$30,000.00"/>
        <filter val="$30,156.40"/>
        <filter val="$30,407.84"/>
        <filter val="$30,600.00"/>
        <filter val="$30,736.96"/>
        <filter val="$30,795.17"/>
        <filter val="$30,970.40"/>
        <filter val="$31,000.00"/>
        <filter val="$31,200.00"/>
        <filter val="$31,500.00"/>
        <filter val="$31,530.32"/>
        <filter val="$31,585.44"/>
        <filter val="$31,867.52"/>
        <filter val="$31,878.88"/>
        <filter val="$31,897.25"/>
        <filter val="$31,931.36"/>
        <filter val="$32,000.00"/>
        <filter val="$32,048.72"/>
        <filter val="$32,059.12"/>
        <filter val="$32,080.00"/>
        <filter val="$32,217.12"/>
        <filter val="$32,249.24"/>
        <filter val="$32,584.32"/>
        <filter val="$32,662.72"/>
        <filter val="$32,800.00"/>
        <filter val="$32,918.72"/>
        <filter val="$33,000.00"/>
        <filter val="$33,195.76"/>
        <filter val="$33,359.84"/>
        <filter val="$33,400.56"/>
        <filter val="$33,600.00"/>
        <filter val="$33,707.04"/>
        <filter val="$33,849.28"/>
        <filter val="$34,000.00"/>
        <filter val="$34,225.00"/>
        <filter val="$34,400.00"/>
        <filter val="$34,528.85"/>
        <filter val="$34,666.64"/>
        <filter val="$34,680.00"/>
        <filter val="$34,800.00"/>
        <filter val="$35,000.00"/>
        <filter val="$35,200.00"/>
        <filter val="$35,226.00"/>
        <filter val="$35,254.32"/>
        <filter val="$35,419.05"/>
        <filter val="$35,491.04"/>
        <filter val="$35,851.26"/>
        <filter val="$35,896.00"/>
        <filter val="$35,957.84"/>
        <filter val="$350.00"/>
        <filter val="$36,000.00"/>
        <filter val="$36,027.35"/>
        <filter val="$36,500.00"/>
        <filter val="$36,572.32"/>
        <filter val="$36,600.00"/>
        <filter val="$36,800.00"/>
        <filter val="$36,992.44"/>
        <filter val="$37,000.00"/>
        <filter val="$37,304.32"/>
        <filter val="$37,500.00"/>
        <filter val="$37,582.54"/>
        <filter val="$37,600.00"/>
        <filter val="$37,637.44"/>
        <filter val="$37,693.92"/>
        <filter val="$38,000.00"/>
        <filter val="$38,012.64"/>
        <filter val="$38,069.60"/>
        <filter val="$38,303.60"/>
        <filter val="$38,307.68"/>
        <filter val="$38,400.00"/>
        <filter val="$38,500.00"/>
        <filter val="$38,723.36"/>
        <filter val="$38,772.08"/>
        <filter val="$38,800.00"/>
        <filter val="$38,880.00"/>
        <filter val="$39,200.00"/>
        <filter val="$39,240.24"/>
        <filter val="$39,280.00"/>
        <filter val="$39,355.84"/>
        <filter val="$39,423.35"/>
        <filter val="$39,577.12"/>
        <filter val="$39,587.04"/>
        <filter val="$4,000.00"/>
        <filter val="$4,063.95"/>
        <filter val="$4,080.00"/>
        <filter val="$4,100.00"/>
        <filter val="$4,108.56"/>
        <filter val="$4,112.82"/>
        <filter val="$4,134.26"/>
        <filter val="$4,143.15"/>
        <filter val="$4,200.00"/>
        <filter val="$4,242.16"/>
        <filter val="$4,260.48"/>
        <filter val="$4,300.40"/>
        <filter val="$4,320.00"/>
        <filter val="$4,386.96"/>
        <filter val="$4,391.44"/>
        <filter val="$4,400.00"/>
        <filter val="$4,458.56"/>
        <filter val="$4,480.00"/>
        <filter val="$4,487.13"/>
        <filter val="$4,516.48"/>
        <filter val="$4,541.60"/>
        <filter val="$4,597.02"/>
        <filter val="$4,602.32"/>
        <filter val="$4,603.84"/>
        <filter val="$4,617.04"/>
        <filter val="$4,711.84"/>
        <filter val="$4,800.00"/>
        <filter val="$4,836.72"/>
        <filter val="$4,986.00"/>
        <filter val="$4,993.77"/>
        <filter val="$40,000.00"/>
        <filter val="$40,517.68"/>
        <filter val="$41,021.04"/>
        <filter val="$41,383.92"/>
        <filter val="$41,600.00"/>
        <filter val="$41,820.51"/>
        <filter val="$41,834.56"/>
        <filter val="$42,117.52"/>
        <filter val="$42,438.80"/>
        <filter val="$42,500.00"/>
        <filter val="$42,534.48"/>
        <filter val="$43,200.00"/>
        <filter val="$43,500.00"/>
        <filter val="$43,600.00"/>
        <filter val="$43,889.52"/>
        <filter val="$44,000.00"/>
        <filter val="$44,013.28"/>
        <filter val="$44,118.48"/>
        <filter val="$44,143.04"/>
        <filter val="$44,635.68"/>
        <filter val="$45,000.00"/>
        <filter val="$45,377.76"/>
        <filter val="$45,725.12"/>
        <filter val="$47,000.00"/>
        <filter val="$47,412.88"/>
        <filter val="$47,886.13"/>
        <filter val="$48,000.00"/>
        <filter val="$48,350.00"/>
        <filter val="$49,000.00"/>
        <filter val="$49,172.40"/>
        <filter val="$49,430.80"/>
        <filter val="$49,620.00"/>
        <filter val="$49,864.00"/>
        <filter val="$5,000.00"/>
        <filter val="$5,111.16"/>
        <filter val="$5,154.80"/>
        <filter val="$5,160.00"/>
        <filter val="$5,200.00"/>
        <filter val="$5,307.04"/>
        <filter val="$5,327.24"/>
        <filter val="$5,333.36"/>
        <filter val="$5,351.84"/>
        <filter val="$5,400.00"/>
        <filter val="$5,429.60"/>
        <filter val="$5,440.00"/>
        <filter val="$5,478.96"/>
        <filter val="$5,500.00"/>
        <filter val="$5,561.84"/>
        <filter val="$5,600.00"/>
        <filter val="$5,640.96"/>
        <filter val="$5,671.12"/>
        <filter val="$5,694.08"/>
        <filter val="$5,800.00"/>
        <filter val="$5,884.64"/>
        <filter val="$5,920.00"/>
        <filter val="$5,952.00"/>
        <filter val="$5,975.87"/>
        <filter val="$50,000.00"/>
        <filter val="$50,526.96"/>
        <filter val="$50,662.08"/>
        <filter val="$50,869.92"/>
        <filter val="$500.00"/>
        <filter val="$51,200.00"/>
        <filter val="$51,303.15"/>
        <filter val="$51,484.16"/>
        <filter val="$51,500.00"/>
        <filter val="$51,708.96"/>
        <filter val="$51,714.08"/>
        <filter val="$52,000.00"/>
        <filter val="$52,004.24"/>
        <filter val="$52,080.00"/>
        <filter val="$52,855.76"/>
        <filter val="$53,000.00"/>
        <filter val="$54,107.28"/>
        <filter val="$54,400.00"/>
        <filter val="$55,000.00"/>
        <filter val="$56,000.00"/>
        <filter val="$56,800.00"/>
        <filter val="$58,489.92"/>
        <filter val="$59,000.00"/>
        <filter val="$59,709.52"/>
        <filter val="$598.64"/>
        <filter val="$6,000.00"/>
        <filter val="$6,098.24"/>
        <filter val="$6,144.64"/>
        <filter val="$6,165.30"/>
        <filter val="$6,182.97"/>
        <filter val="$6,224.00"/>
        <filter val="$6,261.84"/>
        <filter val="$6,275.72"/>
        <filter val="$6,400.00"/>
        <filter val="$6,488.00"/>
        <filter val="$6,500.00"/>
        <filter val="$6,533.12"/>
        <filter val="$6,550.00"/>
        <filter val="$6,600.00"/>
        <filter val="$6,644.02"/>
        <filter val="$6,664.00"/>
        <filter val="$6,700.00"/>
        <filter val="$6,720.24"/>
        <filter val="$6,749.56"/>
        <filter val="$6,800.00"/>
        <filter val="$6,842.48"/>
        <filter val="$6,884.08"/>
        <filter val="$6,906.00"/>
        <filter val="$6,910.28"/>
        <filter val="$60,000.00"/>
        <filter val="$60,032.00"/>
        <filter val="$60,167.20"/>
        <filter val="$61,016.88"/>
        <filter val="$61,600.00"/>
        <filter val="$638.83"/>
        <filter val="$64,000.00"/>
        <filter val="$647.48"/>
        <filter val="$66,374.00"/>
        <filter val="$66,764.56"/>
        <filter val="$67,000.00"/>
        <filter val="$68,827.81"/>
        <filter val="$69,219.20"/>
        <filter val="$69,475.04"/>
        <filter val="$69,600.00"/>
        <filter val="$7,000.00"/>
        <filter val="$7,038.96"/>
        <filter val="$7,080.00"/>
        <filter val="$7,081.52"/>
        <filter val="$7,132.30"/>
        <filter val="$7,200.00"/>
        <filter val="$7,250.00"/>
        <filter val="$7,358.24"/>
        <filter val="$7,373.52"/>
        <filter val="$7,381.33"/>
        <filter val="$7,400.00"/>
        <filter val="$7,456.96"/>
        <filter val="$7,489.76"/>
        <filter val="$7,500.00"/>
        <filter val="$7,534.00"/>
        <filter val="$7,552.47"/>
        <filter val="$7,600.00"/>
        <filter val="$7,618.24"/>
        <filter val="$7,689.20"/>
        <filter val="$7,760.00"/>
        <filter val="$7,858.08"/>
        <filter val="$7,861.28"/>
        <filter val="$7,866.72"/>
        <filter val="$7,900.96"/>
        <filter val="$7,921.60"/>
        <filter val="$70,000.00"/>
        <filter val="$70,267.14"/>
        <filter val="$71,000.00"/>
        <filter val="$71,279.60"/>
        <filter val="$711.20"/>
        <filter val="$72,000.00"/>
        <filter val="$73,000.00"/>
        <filter val="$73,800.00"/>
        <filter val="$74,127.36"/>
        <filter val="$74,400.00"/>
        <filter val="$75,000.00"/>
        <filter val="$76,523.44"/>
        <filter val="$767.05"/>
        <filter val="$8,000.00"/>
        <filter val="$8,034.16"/>
        <filter val="$8,082.00"/>
        <filter val="$8,139.84"/>
        <filter val="$8,175.20"/>
        <filter val="$8,189.66"/>
        <filter val="$8,200.00"/>
        <filter val="$8,255.00"/>
        <filter val="$8,265.04"/>
        <filter val="$8,343.92"/>
        <filter val="$8,367.29"/>
        <filter val="$8,395.84"/>
        <filter val="$8,400.00"/>
        <filter val="$8,463.12"/>
        <filter val="$8,501.87"/>
        <filter val="$8,536.00"/>
        <filter val="$8,567.36"/>
        <filter val="$8,600.00"/>
        <filter val="$8,618.96"/>
        <filter val="$8,695.94"/>
        <filter val="$8,800.00"/>
        <filter val="$8,905.00"/>
        <filter val="$8,909.52"/>
        <filter val="$80,000.00"/>
        <filter val="$800.00"/>
        <filter val="$804.72"/>
        <filter val="$821.42"/>
        <filter val="$84,750.00"/>
        <filter val="$85,000.00"/>
        <filter val="$85,371.48"/>
        <filter val="$85,408.00"/>
        <filter val="$855.90"/>
        <filter val="$877.06"/>
        <filter val="$877.34"/>
        <filter val="$88,559.84"/>
        <filter val="$880.00"/>
        <filter val="$89,000.00"/>
        <filter val="$893.31"/>
        <filter val="$9,033.60"/>
        <filter val="$9,121.66"/>
        <filter val="$9,180.00"/>
        <filter val="$9,192.88"/>
        <filter val="$9,200.00"/>
        <filter val="$9,200.68"/>
        <filter val="$9,208.16"/>
        <filter val="$9,500.00"/>
        <filter val="$9,600.00"/>
        <filter val="$9,637.12"/>
        <filter val="$9,727.84"/>
        <filter val="$9,783.52"/>
        <filter val="$9,801.76"/>
        <filter val="$9,840.64"/>
        <filter val="$9,880.00"/>
        <filter val="$9,922.88"/>
        <filter val="$9,926.24"/>
        <filter val="$90,400.00"/>
        <filter val="$91,072.72"/>
        <filter val="$93,828.96"/>
        <filter val="$950.97"/>
        <filter val="$96,000.00"/>
        <filter val="$965.13"/>
      </filters>
    </filterColumn>
  </autoFilter>
  <mergeCells count="3838">
    <mergeCell ref="C3:D3"/>
    <mergeCell ref="Q3:R3"/>
    <mergeCell ref="C4:D4"/>
    <mergeCell ref="Q4:R4"/>
    <mergeCell ref="C5:D5"/>
    <mergeCell ref="Q5:R5"/>
    <mergeCell ref="C6:D6"/>
    <mergeCell ref="Q6:R6"/>
    <mergeCell ref="C7:D7"/>
    <mergeCell ref="Q7:R7"/>
    <mergeCell ref="C8:D8"/>
    <mergeCell ref="Q8:R8"/>
    <mergeCell ref="C9:D9"/>
    <mergeCell ref="Q9:R9"/>
    <mergeCell ref="C10:D10"/>
    <mergeCell ref="Q10:R10"/>
    <mergeCell ref="C11:D11"/>
    <mergeCell ref="Q11:R11"/>
    <mergeCell ref="C12:D12"/>
    <mergeCell ref="Q12:R12"/>
    <mergeCell ref="C13:D13"/>
    <mergeCell ref="Q13:R13"/>
    <mergeCell ref="C14:D14"/>
    <mergeCell ref="Q14:R14"/>
    <mergeCell ref="C15:D15"/>
    <mergeCell ref="Q15:R15"/>
    <mergeCell ref="C16:D16"/>
    <mergeCell ref="Q16:R16"/>
    <mergeCell ref="C17:D17"/>
    <mergeCell ref="Q17:R17"/>
    <mergeCell ref="C18:D18"/>
    <mergeCell ref="Q18:R18"/>
    <mergeCell ref="C19:D19"/>
    <mergeCell ref="Q19:R19"/>
    <mergeCell ref="C20:D20"/>
    <mergeCell ref="Q20:R20"/>
    <mergeCell ref="C21:D21"/>
    <mergeCell ref="Q21:R21"/>
    <mergeCell ref="C22:D22"/>
    <mergeCell ref="Q22:R22"/>
    <mergeCell ref="C23:D23"/>
    <mergeCell ref="Q23:R23"/>
    <mergeCell ref="C24:D24"/>
    <mergeCell ref="Q24:R24"/>
    <mergeCell ref="C25:D25"/>
    <mergeCell ref="Q25:R25"/>
    <mergeCell ref="C26:D26"/>
    <mergeCell ref="Q26:R26"/>
    <mergeCell ref="C27:D27"/>
    <mergeCell ref="Q27:R27"/>
    <mergeCell ref="C28:D28"/>
    <mergeCell ref="Q28:R28"/>
    <mergeCell ref="C29:D29"/>
    <mergeCell ref="Q29:R29"/>
    <mergeCell ref="C30:D30"/>
    <mergeCell ref="Q30:R30"/>
    <mergeCell ref="C31:D31"/>
    <mergeCell ref="Q31:R31"/>
    <mergeCell ref="C32:D32"/>
    <mergeCell ref="Q32:R32"/>
    <mergeCell ref="C33:D33"/>
    <mergeCell ref="Q33:R33"/>
    <mergeCell ref="C34:D34"/>
    <mergeCell ref="Q34:R34"/>
    <mergeCell ref="C35:D35"/>
    <mergeCell ref="Q35:R35"/>
    <mergeCell ref="C36:D36"/>
    <mergeCell ref="Q36:R36"/>
    <mergeCell ref="C37:D37"/>
    <mergeCell ref="Q37:R37"/>
    <mergeCell ref="C38:D38"/>
    <mergeCell ref="Q38:R38"/>
    <mergeCell ref="C39:D39"/>
    <mergeCell ref="Q39:R39"/>
    <mergeCell ref="C40:D40"/>
    <mergeCell ref="Q40:R40"/>
    <mergeCell ref="C41:D41"/>
    <mergeCell ref="Q41:R41"/>
    <mergeCell ref="C42:D42"/>
    <mergeCell ref="Q42:R42"/>
    <mergeCell ref="C43:D43"/>
    <mergeCell ref="Q43:R43"/>
    <mergeCell ref="C44:D44"/>
    <mergeCell ref="Q44:R44"/>
    <mergeCell ref="C45:D45"/>
    <mergeCell ref="Q45:R45"/>
    <mergeCell ref="C46:D46"/>
    <mergeCell ref="Q46:R46"/>
    <mergeCell ref="C47:D47"/>
    <mergeCell ref="Q47:R47"/>
    <mergeCell ref="C48:D48"/>
    <mergeCell ref="Q48:R48"/>
    <mergeCell ref="C49:D49"/>
    <mergeCell ref="Q49:R49"/>
    <mergeCell ref="C50:D50"/>
    <mergeCell ref="Q50:R50"/>
    <mergeCell ref="C51:D51"/>
    <mergeCell ref="Q51:R51"/>
    <mergeCell ref="C52:D52"/>
    <mergeCell ref="Q52:R52"/>
    <mergeCell ref="C53:D53"/>
    <mergeCell ref="Q53:R53"/>
    <mergeCell ref="C54:D54"/>
    <mergeCell ref="Q54:R54"/>
    <mergeCell ref="C55:D55"/>
    <mergeCell ref="Q55:R55"/>
    <mergeCell ref="C56:D56"/>
    <mergeCell ref="Q56:R56"/>
    <mergeCell ref="C57:D57"/>
    <mergeCell ref="Q57:R57"/>
    <mergeCell ref="C58:D58"/>
    <mergeCell ref="Q58:R58"/>
    <mergeCell ref="C59:D59"/>
    <mergeCell ref="Q59:R59"/>
    <mergeCell ref="C60:D60"/>
    <mergeCell ref="Q60:R60"/>
    <mergeCell ref="C61:D61"/>
    <mergeCell ref="Q61:R61"/>
    <mergeCell ref="C62:D62"/>
    <mergeCell ref="Q62:R62"/>
    <mergeCell ref="C63:D63"/>
    <mergeCell ref="Q63:R63"/>
    <mergeCell ref="C64:D64"/>
    <mergeCell ref="Q64:R64"/>
    <mergeCell ref="C65:D65"/>
    <mergeCell ref="Q65:R65"/>
    <mergeCell ref="C66:D66"/>
    <mergeCell ref="Q66:R66"/>
    <mergeCell ref="C67:D67"/>
    <mergeCell ref="Q67:R67"/>
    <mergeCell ref="C68:D68"/>
    <mergeCell ref="Q68:R68"/>
    <mergeCell ref="C69:D69"/>
    <mergeCell ref="Q69:R69"/>
    <mergeCell ref="C70:D70"/>
    <mergeCell ref="Q70:R70"/>
    <mergeCell ref="C71:D71"/>
    <mergeCell ref="Q71:R71"/>
    <mergeCell ref="C72:D72"/>
    <mergeCell ref="Q72:R72"/>
    <mergeCell ref="C73:D73"/>
    <mergeCell ref="Q73:R73"/>
    <mergeCell ref="C74:D74"/>
    <mergeCell ref="Q74:R74"/>
    <mergeCell ref="C75:D75"/>
    <mergeCell ref="Q75:R75"/>
    <mergeCell ref="C76:D76"/>
    <mergeCell ref="Q76:R76"/>
    <mergeCell ref="C77:D77"/>
    <mergeCell ref="Q77:R77"/>
    <mergeCell ref="C78:D78"/>
    <mergeCell ref="Q78:R78"/>
    <mergeCell ref="C79:D79"/>
    <mergeCell ref="Q79:R79"/>
    <mergeCell ref="C80:D80"/>
    <mergeCell ref="Q80:R80"/>
    <mergeCell ref="C81:D81"/>
    <mergeCell ref="Q81:R81"/>
    <mergeCell ref="C82:D82"/>
    <mergeCell ref="Q82:R82"/>
    <mergeCell ref="C83:D83"/>
    <mergeCell ref="Q83:R83"/>
    <mergeCell ref="C84:D84"/>
    <mergeCell ref="Q84:R84"/>
    <mergeCell ref="C85:D85"/>
    <mergeCell ref="Q85:R85"/>
    <mergeCell ref="C86:D86"/>
    <mergeCell ref="Q86:R86"/>
    <mergeCell ref="C87:D87"/>
    <mergeCell ref="Q87:R87"/>
    <mergeCell ref="C88:D88"/>
    <mergeCell ref="Q88:R88"/>
    <mergeCell ref="C89:D89"/>
    <mergeCell ref="Q89:R89"/>
    <mergeCell ref="C90:D90"/>
    <mergeCell ref="Q90:R90"/>
    <mergeCell ref="C91:D91"/>
    <mergeCell ref="Q91:R91"/>
    <mergeCell ref="C92:D92"/>
    <mergeCell ref="Q92:R92"/>
    <mergeCell ref="C93:D93"/>
    <mergeCell ref="Q93:R93"/>
    <mergeCell ref="C94:D94"/>
    <mergeCell ref="Q94:R94"/>
    <mergeCell ref="C95:D95"/>
    <mergeCell ref="Q95:R95"/>
    <mergeCell ref="C96:D96"/>
    <mergeCell ref="Q96:R96"/>
    <mergeCell ref="C97:D97"/>
    <mergeCell ref="Q97:R97"/>
    <mergeCell ref="C98:D98"/>
    <mergeCell ref="Q98:R98"/>
    <mergeCell ref="C99:D99"/>
    <mergeCell ref="Q99:R99"/>
    <mergeCell ref="C100:D100"/>
    <mergeCell ref="Q100:R100"/>
    <mergeCell ref="C101:D101"/>
    <mergeCell ref="Q101:R101"/>
    <mergeCell ref="C102:D102"/>
    <mergeCell ref="Q102:R102"/>
    <mergeCell ref="C103:D103"/>
    <mergeCell ref="Q103:R103"/>
    <mergeCell ref="C104:D104"/>
    <mergeCell ref="Q104:R104"/>
    <mergeCell ref="C105:D105"/>
    <mergeCell ref="Q105:R105"/>
    <mergeCell ref="C106:D106"/>
    <mergeCell ref="Q106:R106"/>
    <mergeCell ref="C107:D107"/>
    <mergeCell ref="Q107:R107"/>
    <mergeCell ref="C108:D108"/>
    <mergeCell ref="Q108:R108"/>
    <mergeCell ref="C109:D109"/>
    <mergeCell ref="Q109:R109"/>
    <mergeCell ref="C110:D110"/>
    <mergeCell ref="Q110:R110"/>
    <mergeCell ref="C111:D111"/>
    <mergeCell ref="Q111:R111"/>
    <mergeCell ref="C112:D112"/>
    <mergeCell ref="Q112:R112"/>
    <mergeCell ref="C113:D113"/>
    <mergeCell ref="Q113:R113"/>
    <mergeCell ref="C114:D114"/>
    <mergeCell ref="Q114:R114"/>
    <mergeCell ref="C115:D115"/>
    <mergeCell ref="Q115:R115"/>
    <mergeCell ref="C116:D116"/>
    <mergeCell ref="Q116:R116"/>
    <mergeCell ref="C117:D117"/>
    <mergeCell ref="Q117:R117"/>
    <mergeCell ref="C118:D118"/>
    <mergeCell ref="Q118:R118"/>
    <mergeCell ref="C119:D119"/>
    <mergeCell ref="Q119:R119"/>
    <mergeCell ref="C120:D120"/>
    <mergeCell ref="Q120:R120"/>
    <mergeCell ref="C121:D121"/>
    <mergeCell ref="Q121:R121"/>
    <mergeCell ref="C122:D122"/>
    <mergeCell ref="Q122:R122"/>
    <mergeCell ref="C123:D123"/>
    <mergeCell ref="Q123:R123"/>
    <mergeCell ref="C124:D124"/>
    <mergeCell ref="Q124:R124"/>
    <mergeCell ref="C125:D125"/>
    <mergeCell ref="Q125:R125"/>
    <mergeCell ref="C126:D126"/>
    <mergeCell ref="Q126:R126"/>
    <mergeCell ref="C127:D127"/>
    <mergeCell ref="Q127:R127"/>
    <mergeCell ref="C128:D128"/>
    <mergeCell ref="Q128:R128"/>
    <mergeCell ref="C129:D129"/>
    <mergeCell ref="Q129:R129"/>
    <mergeCell ref="C130:D130"/>
    <mergeCell ref="Q130:R130"/>
    <mergeCell ref="C131:D131"/>
    <mergeCell ref="Q131:R131"/>
    <mergeCell ref="C132:D132"/>
    <mergeCell ref="Q132:R132"/>
    <mergeCell ref="C133:D133"/>
    <mergeCell ref="Q133:R133"/>
    <mergeCell ref="C134:D134"/>
    <mergeCell ref="Q134:R134"/>
    <mergeCell ref="C135:D135"/>
    <mergeCell ref="Q135:R135"/>
    <mergeCell ref="C136:D136"/>
    <mergeCell ref="Q136:R136"/>
    <mergeCell ref="C137:D137"/>
    <mergeCell ref="Q137:R137"/>
    <mergeCell ref="C138:D138"/>
    <mergeCell ref="Q138:R138"/>
    <mergeCell ref="C139:D139"/>
    <mergeCell ref="Q139:R139"/>
    <mergeCell ref="C140:D140"/>
    <mergeCell ref="Q140:R140"/>
    <mergeCell ref="C141:D141"/>
    <mergeCell ref="Q141:R141"/>
    <mergeCell ref="C142:D142"/>
    <mergeCell ref="Q142:R142"/>
    <mergeCell ref="C143:D143"/>
    <mergeCell ref="Q143:R143"/>
    <mergeCell ref="C144:D144"/>
    <mergeCell ref="Q144:R144"/>
    <mergeCell ref="C145:D145"/>
    <mergeCell ref="Q145:R145"/>
    <mergeCell ref="C146:D146"/>
    <mergeCell ref="Q146:R146"/>
    <mergeCell ref="C147:D147"/>
    <mergeCell ref="Q147:R147"/>
    <mergeCell ref="C148:D148"/>
    <mergeCell ref="Q148:R148"/>
    <mergeCell ref="C149:D149"/>
    <mergeCell ref="Q149:R149"/>
    <mergeCell ref="C150:D150"/>
    <mergeCell ref="Q150:R150"/>
    <mergeCell ref="C151:D151"/>
    <mergeCell ref="Q151:R151"/>
    <mergeCell ref="C152:D152"/>
    <mergeCell ref="Q152:R152"/>
    <mergeCell ref="C153:D153"/>
    <mergeCell ref="Q153:R153"/>
    <mergeCell ref="C154:D154"/>
    <mergeCell ref="Q154:R154"/>
    <mergeCell ref="C155:D155"/>
    <mergeCell ref="Q155:R155"/>
    <mergeCell ref="C156:D156"/>
    <mergeCell ref="Q156:R156"/>
    <mergeCell ref="C157:D157"/>
    <mergeCell ref="Q157:R157"/>
    <mergeCell ref="C158:D158"/>
    <mergeCell ref="Q158:R158"/>
    <mergeCell ref="C159:D159"/>
    <mergeCell ref="Q159:R159"/>
    <mergeCell ref="C160:D160"/>
    <mergeCell ref="Q160:R160"/>
    <mergeCell ref="C161:D161"/>
    <mergeCell ref="Q161:R161"/>
    <mergeCell ref="C162:D162"/>
    <mergeCell ref="Q162:R162"/>
    <mergeCell ref="C163:D163"/>
    <mergeCell ref="Q163:R163"/>
    <mergeCell ref="C164:D164"/>
    <mergeCell ref="Q164:R164"/>
    <mergeCell ref="C165:D165"/>
    <mergeCell ref="Q165:R165"/>
    <mergeCell ref="C166:D166"/>
    <mergeCell ref="Q166:R166"/>
    <mergeCell ref="C167:D167"/>
    <mergeCell ref="Q167:R167"/>
    <mergeCell ref="C168:D168"/>
    <mergeCell ref="Q168:R168"/>
    <mergeCell ref="C169:D169"/>
    <mergeCell ref="Q169:R169"/>
    <mergeCell ref="C170:D170"/>
    <mergeCell ref="Q170:R170"/>
    <mergeCell ref="C171:D171"/>
    <mergeCell ref="Q171:R171"/>
    <mergeCell ref="C172:D172"/>
    <mergeCell ref="Q172:R172"/>
    <mergeCell ref="C173:D173"/>
    <mergeCell ref="Q173:R173"/>
    <mergeCell ref="C174:D174"/>
    <mergeCell ref="Q174:R174"/>
    <mergeCell ref="C175:D175"/>
    <mergeCell ref="Q175:R175"/>
    <mergeCell ref="C176:D176"/>
    <mergeCell ref="Q176:R176"/>
    <mergeCell ref="C177:D177"/>
    <mergeCell ref="Q177:R177"/>
    <mergeCell ref="C178:D178"/>
    <mergeCell ref="Q178:R178"/>
    <mergeCell ref="C179:D179"/>
    <mergeCell ref="Q179:R179"/>
    <mergeCell ref="C180:D180"/>
    <mergeCell ref="Q180:R180"/>
    <mergeCell ref="C181:D181"/>
    <mergeCell ref="Q181:R181"/>
    <mergeCell ref="C182:D182"/>
    <mergeCell ref="Q182:R182"/>
    <mergeCell ref="C183:D183"/>
    <mergeCell ref="Q183:R183"/>
    <mergeCell ref="C184:D184"/>
    <mergeCell ref="Q184:R184"/>
    <mergeCell ref="C185:D185"/>
    <mergeCell ref="Q185:R185"/>
    <mergeCell ref="C186:D186"/>
    <mergeCell ref="Q186:R186"/>
    <mergeCell ref="C187:D187"/>
    <mergeCell ref="Q187:R187"/>
    <mergeCell ref="C188:D188"/>
    <mergeCell ref="Q188:R188"/>
    <mergeCell ref="C189:D189"/>
    <mergeCell ref="Q189:R189"/>
    <mergeCell ref="C190:D190"/>
    <mergeCell ref="Q190:R190"/>
    <mergeCell ref="C191:D191"/>
    <mergeCell ref="Q191:R191"/>
    <mergeCell ref="C192:D192"/>
    <mergeCell ref="Q192:R192"/>
    <mergeCell ref="C193:D193"/>
    <mergeCell ref="Q193:R193"/>
    <mergeCell ref="C194:D194"/>
    <mergeCell ref="Q194:R194"/>
    <mergeCell ref="C195:D195"/>
    <mergeCell ref="Q195:R195"/>
    <mergeCell ref="C196:D196"/>
    <mergeCell ref="Q196:R196"/>
    <mergeCell ref="C197:D197"/>
    <mergeCell ref="Q197:R197"/>
    <mergeCell ref="C198:D198"/>
    <mergeCell ref="Q198:R198"/>
    <mergeCell ref="C199:D199"/>
    <mergeCell ref="Q199:R199"/>
    <mergeCell ref="C200:D200"/>
    <mergeCell ref="Q200:R200"/>
    <mergeCell ref="C201:D201"/>
    <mergeCell ref="Q201:R201"/>
    <mergeCell ref="C202:D202"/>
    <mergeCell ref="Q202:R202"/>
    <mergeCell ref="C203:D203"/>
    <mergeCell ref="Q203:R203"/>
    <mergeCell ref="C204:D204"/>
    <mergeCell ref="Q204:R204"/>
    <mergeCell ref="C205:D205"/>
    <mergeCell ref="Q205:R205"/>
    <mergeCell ref="C206:D206"/>
    <mergeCell ref="Q206:R206"/>
    <mergeCell ref="C207:D207"/>
    <mergeCell ref="Q207:R207"/>
    <mergeCell ref="C208:D208"/>
    <mergeCell ref="Q208:R208"/>
    <mergeCell ref="C209:D209"/>
    <mergeCell ref="Q209:R209"/>
    <mergeCell ref="C210:D210"/>
    <mergeCell ref="Q210:R210"/>
    <mergeCell ref="C211:D211"/>
    <mergeCell ref="Q211:R211"/>
    <mergeCell ref="C212:D212"/>
    <mergeCell ref="Q212:R212"/>
    <mergeCell ref="C213:D213"/>
    <mergeCell ref="Q213:R213"/>
    <mergeCell ref="C214:D214"/>
    <mergeCell ref="Q214:R214"/>
    <mergeCell ref="C215:D215"/>
    <mergeCell ref="Q215:R215"/>
    <mergeCell ref="C216:D216"/>
    <mergeCell ref="Q216:R216"/>
    <mergeCell ref="C217:D217"/>
    <mergeCell ref="Q217:R217"/>
    <mergeCell ref="C218:D218"/>
    <mergeCell ref="Q218:R218"/>
    <mergeCell ref="C219:D219"/>
    <mergeCell ref="Q219:R219"/>
    <mergeCell ref="C220:D220"/>
    <mergeCell ref="Q220:R220"/>
    <mergeCell ref="C221:D221"/>
    <mergeCell ref="Q221:R221"/>
    <mergeCell ref="C222:D222"/>
    <mergeCell ref="Q222:R222"/>
    <mergeCell ref="C223:D223"/>
    <mergeCell ref="Q223:R223"/>
    <mergeCell ref="C224:D224"/>
    <mergeCell ref="Q224:R224"/>
    <mergeCell ref="C225:D225"/>
    <mergeCell ref="Q225:R225"/>
    <mergeCell ref="C226:D226"/>
    <mergeCell ref="Q226:R226"/>
    <mergeCell ref="C227:D227"/>
    <mergeCell ref="Q227:R227"/>
    <mergeCell ref="C228:D228"/>
    <mergeCell ref="Q228:R228"/>
    <mergeCell ref="C229:D229"/>
    <mergeCell ref="Q229:R229"/>
    <mergeCell ref="C230:D230"/>
    <mergeCell ref="Q230:R230"/>
    <mergeCell ref="C231:D231"/>
    <mergeCell ref="Q231:R231"/>
    <mergeCell ref="C232:D232"/>
    <mergeCell ref="Q232:R232"/>
    <mergeCell ref="C233:D233"/>
    <mergeCell ref="Q233:R233"/>
    <mergeCell ref="C234:D234"/>
    <mergeCell ref="Q234:R234"/>
    <mergeCell ref="C235:D235"/>
    <mergeCell ref="Q235:R235"/>
    <mergeCell ref="C236:D236"/>
    <mergeCell ref="Q236:R236"/>
    <mergeCell ref="C237:D237"/>
    <mergeCell ref="Q237:R237"/>
    <mergeCell ref="C238:D238"/>
    <mergeCell ref="Q238:R238"/>
    <mergeCell ref="C239:D239"/>
    <mergeCell ref="Q239:R239"/>
    <mergeCell ref="C240:D240"/>
    <mergeCell ref="Q240:R240"/>
    <mergeCell ref="C241:D241"/>
    <mergeCell ref="Q241:R241"/>
    <mergeCell ref="C242:D242"/>
    <mergeCell ref="Q242:R242"/>
    <mergeCell ref="C243:D243"/>
    <mergeCell ref="Q243:R243"/>
    <mergeCell ref="C244:D244"/>
    <mergeCell ref="Q244:R244"/>
    <mergeCell ref="C245:D245"/>
    <mergeCell ref="Q245:R245"/>
    <mergeCell ref="C246:D246"/>
    <mergeCell ref="Q246:R246"/>
    <mergeCell ref="C247:D247"/>
    <mergeCell ref="Q247:R247"/>
    <mergeCell ref="C248:D248"/>
    <mergeCell ref="Q248:R248"/>
    <mergeCell ref="C249:D249"/>
    <mergeCell ref="Q249:R249"/>
    <mergeCell ref="C250:D250"/>
    <mergeCell ref="Q250:R250"/>
    <mergeCell ref="C251:D251"/>
    <mergeCell ref="Q251:R251"/>
    <mergeCell ref="C252:D252"/>
    <mergeCell ref="Q252:R252"/>
    <mergeCell ref="C253:D253"/>
    <mergeCell ref="Q253:R253"/>
    <mergeCell ref="C254:D254"/>
    <mergeCell ref="Q254:R254"/>
    <mergeCell ref="C255:D255"/>
    <mergeCell ref="Q255:R255"/>
    <mergeCell ref="C256:D256"/>
    <mergeCell ref="Q256:R256"/>
    <mergeCell ref="C257:D257"/>
    <mergeCell ref="Q257:R257"/>
    <mergeCell ref="C258:D258"/>
    <mergeCell ref="Q258:R258"/>
    <mergeCell ref="C259:D259"/>
    <mergeCell ref="Q259:R259"/>
    <mergeCell ref="C260:D260"/>
    <mergeCell ref="Q260:R260"/>
    <mergeCell ref="C261:D261"/>
    <mergeCell ref="Q261:R261"/>
    <mergeCell ref="C262:D262"/>
    <mergeCell ref="Q262:R262"/>
    <mergeCell ref="C263:D263"/>
    <mergeCell ref="Q263:R263"/>
    <mergeCell ref="C264:D264"/>
    <mergeCell ref="Q264:R264"/>
    <mergeCell ref="C265:D265"/>
    <mergeCell ref="Q265:R265"/>
    <mergeCell ref="C266:D266"/>
    <mergeCell ref="Q266:R266"/>
    <mergeCell ref="C267:D267"/>
    <mergeCell ref="Q267:R267"/>
    <mergeCell ref="C268:D268"/>
    <mergeCell ref="Q268:R268"/>
    <mergeCell ref="C269:D269"/>
    <mergeCell ref="Q269:R269"/>
    <mergeCell ref="C270:D270"/>
    <mergeCell ref="Q270:R270"/>
    <mergeCell ref="C271:D271"/>
    <mergeCell ref="Q271:R271"/>
    <mergeCell ref="C272:D272"/>
    <mergeCell ref="Q272:R272"/>
    <mergeCell ref="C273:D273"/>
    <mergeCell ref="Q273:R273"/>
    <mergeCell ref="C274:D274"/>
    <mergeCell ref="Q274:R274"/>
    <mergeCell ref="C275:D275"/>
    <mergeCell ref="Q275:R275"/>
    <mergeCell ref="C276:D276"/>
    <mergeCell ref="Q276:R276"/>
    <mergeCell ref="C277:D277"/>
    <mergeCell ref="Q277:R277"/>
    <mergeCell ref="C278:D278"/>
    <mergeCell ref="Q278:R278"/>
    <mergeCell ref="C279:D279"/>
    <mergeCell ref="Q279:R279"/>
    <mergeCell ref="C280:D280"/>
    <mergeCell ref="Q280:R280"/>
    <mergeCell ref="C281:D281"/>
    <mergeCell ref="Q281:R281"/>
    <mergeCell ref="C282:D282"/>
    <mergeCell ref="Q282:R282"/>
    <mergeCell ref="C283:D283"/>
    <mergeCell ref="Q283:R283"/>
    <mergeCell ref="C284:D284"/>
    <mergeCell ref="Q284:R284"/>
    <mergeCell ref="C285:D285"/>
    <mergeCell ref="Q285:R285"/>
    <mergeCell ref="C286:D286"/>
    <mergeCell ref="Q286:R286"/>
    <mergeCell ref="C287:D287"/>
    <mergeCell ref="Q287:R287"/>
    <mergeCell ref="C288:D288"/>
    <mergeCell ref="Q288:R288"/>
    <mergeCell ref="C289:D289"/>
    <mergeCell ref="Q289:R289"/>
    <mergeCell ref="C290:D290"/>
    <mergeCell ref="Q290:R290"/>
    <mergeCell ref="C291:D291"/>
    <mergeCell ref="Q291:R291"/>
    <mergeCell ref="C292:D292"/>
    <mergeCell ref="Q292:R292"/>
    <mergeCell ref="C293:D293"/>
    <mergeCell ref="Q293:R293"/>
    <mergeCell ref="C294:D294"/>
    <mergeCell ref="Q294:R294"/>
    <mergeCell ref="C295:D295"/>
    <mergeCell ref="Q295:R295"/>
    <mergeCell ref="C296:D296"/>
    <mergeCell ref="Q296:R296"/>
    <mergeCell ref="C297:D297"/>
    <mergeCell ref="Q297:R297"/>
    <mergeCell ref="C298:D298"/>
    <mergeCell ref="Q298:R298"/>
    <mergeCell ref="C299:D299"/>
    <mergeCell ref="Q299:R299"/>
    <mergeCell ref="C300:D300"/>
    <mergeCell ref="Q300:R300"/>
    <mergeCell ref="C301:D301"/>
    <mergeCell ref="Q301:R301"/>
    <mergeCell ref="C302:D302"/>
    <mergeCell ref="Q302:R302"/>
    <mergeCell ref="C303:D303"/>
    <mergeCell ref="Q303:R303"/>
    <mergeCell ref="C304:D304"/>
    <mergeCell ref="Q304:R304"/>
    <mergeCell ref="C305:D305"/>
    <mergeCell ref="Q305:R305"/>
    <mergeCell ref="C306:D306"/>
    <mergeCell ref="Q306:R306"/>
    <mergeCell ref="C307:D307"/>
    <mergeCell ref="Q307:R307"/>
    <mergeCell ref="C308:D308"/>
    <mergeCell ref="Q308:R308"/>
    <mergeCell ref="C309:D309"/>
    <mergeCell ref="Q309:R309"/>
    <mergeCell ref="C310:D310"/>
    <mergeCell ref="Q310:R310"/>
    <mergeCell ref="C311:D311"/>
    <mergeCell ref="Q311:R311"/>
    <mergeCell ref="C312:D312"/>
    <mergeCell ref="Q312:R312"/>
    <mergeCell ref="C313:D313"/>
    <mergeCell ref="Q313:R313"/>
    <mergeCell ref="C314:D314"/>
    <mergeCell ref="Q314:R314"/>
    <mergeCell ref="C315:D315"/>
    <mergeCell ref="Q315:R315"/>
    <mergeCell ref="C316:D316"/>
    <mergeCell ref="Q316:R316"/>
    <mergeCell ref="C317:D317"/>
    <mergeCell ref="Q317:R317"/>
    <mergeCell ref="C318:D318"/>
    <mergeCell ref="Q318:R318"/>
    <mergeCell ref="C319:D319"/>
    <mergeCell ref="Q319:R319"/>
    <mergeCell ref="C320:D320"/>
    <mergeCell ref="Q320:R320"/>
    <mergeCell ref="C321:D321"/>
    <mergeCell ref="Q321:R321"/>
    <mergeCell ref="C322:D322"/>
    <mergeCell ref="Q322:R322"/>
    <mergeCell ref="C323:D323"/>
    <mergeCell ref="Q323:R323"/>
    <mergeCell ref="C324:D324"/>
    <mergeCell ref="Q324:R324"/>
    <mergeCell ref="C325:D325"/>
    <mergeCell ref="Q325:R325"/>
    <mergeCell ref="C326:D326"/>
    <mergeCell ref="Q326:R326"/>
    <mergeCell ref="C327:D327"/>
    <mergeCell ref="Q327:R327"/>
    <mergeCell ref="C328:D328"/>
    <mergeCell ref="Q328:R328"/>
    <mergeCell ref="C329:D329"/>
    <mergeCell ref="Q329:R329"/>
    <mergeCell ref="C330:D330"/>
    <mergeCell ref="Q330:R330"/>
    <mergeCell ref="C331:D331"/>
    <mergeCell ref="Q331:R331"/>
    <mergeCell ref="C332:D332"/>
    <mergeCell ref="Q332:R332"/>
    <mergeCell ref="C333:D333"/>
    <mergeCell ref="Q333:R333"/>
    <mergeCell ref="C334:D334"/>
    <mergeCell ref="Q334:R334"/>
    <mergeCell ref="C335:D335"/>
    <mergeCell ref="Q335:R335"/>
    <mergeCell ref="C336:D336"/>
    <mergeCell ref="Q336:R336"/>
    <mergeCell ref="C337:D337"/>
    <mergeCell ref="Q337:R337"/>
    <mergeCell ref="C338:D338"/>
    <mergeCell ref="Q338:R338"/>
    <mergeCell ref="C339:D339"/>
    <mergeCell ref="Q339:R339"/>
    <mergeCell ref="C340:D340"/>
    <mergeCell ref="Q340:R340"/>
    <mergeCell ref="C341:D341"/>
    <mergeCell ref="Q341:R341"/>
    <mergeCell ref="C342:D342"/>
    <mergeCell ref="Q342:R342"/>
    <mergeCell ref="C343:D343"/>
    <mergeCell ref="Q343:R343"/>
    <mergeCell ref="C344:D344"/>
    <mergeCell ref="Q344:R344"/>
    <mergeCell ref="C345:D345"/>
    <mergeCell ref="Q345:R345"/>
    <mergeCell ref="C346:D346"/>
    <mergeCell ref="Q346:R346"/>
    <mergeCell ref="C347:D347"/>
    <mergeCell ref="Q347:R347"/>
    <mergeCell ref="C348:D348"/>
    <mergeCell ref="Q348:R348"/>
    <mergeCell ref="C349:D349"/>
    <mergeCell ref="Q349:R349"/>
    <mergeCell ref="C350:D350"/>
    <mergeCell ref="Q350:R350"/>
    <mergeCell ref="C351:D351"/>
    <mergeCell ref="Q351:R351"/>
    <mergeCell ref="C352:D352"/>
    <mergeCell ref="Q352:R352"/>
    <mergeCell ref="C353:D353"/>
    <mergeCell ref="Q353:R353"/>
    <mergeCell ref="C354:D354"/>
    <mergeCell ref="Q354:R354"/>
    <mergeCell ref="C355:D355"/>
    <mergeCell ref="Q355:R355"/>
    <mergeCell ref="C356:D356"/>
    <mergeCell ref="Q356:R356"/>
    <mergeCell ref="C357:D357"/>
    <mergeCell ref="Q357:R357"/>
    <mergeCell ref="C358:D358"/>
    <mergeCell ref="Q358:R358"/>
    <mergeCell ref="C359:D359"/>
    <mergeCell ref="Q359:R359"/>
    <mergeCell ref="C360:D360"/>
    <mergeCell ref="Q360:R360"/>
    <mergeCell ref="C361:D361"/>
    <mergeCell ref="Q361:R361"/>
    <mergeCell ref="C362:D362"/>
    <mergeCell ref="Q362:R362"/>
    <mergeCell ref="C363:D363"/>
    <mergeCell ref="Q363:R363"/>
    <mergeCell ref="C364:D364"/>
    <mergeCell ref="Q364:R364"/>
    <mergeCell ref="C365:D365"/>
    <mergeCell ref="Q365:R365"/>
    <mergeCell ref="C366:D366"/>
    <mergeCell ref="Q366:R366"/>
    <mergeCell ref="C367:D367"/>
    <mergeCell ref="Q367:R367"/>
    <mergeCell ref="C368:D368"/>
    <mergeCell ref="Q368:R368"/>
    <mergeCell ref="C369:D369"/>
    <mergeCell ref="Q369:R369"/>
    <mergeCell ref="C370:D370"/>
    <mergeCell ref="Q370:R370"/>
    <mergeCell ref="C371:D371"/>
    <mergeCell ref="Q371:R371"/>
    <mergeCell ref="C372:D372"/>
    <mergeCell ref="Q372:R372"/>
    <mergeCell ref="C373:D373"/>
    <mergeCell ref="Q373:R373"/>
    <mergeCell ref="C374:D374"/>
    <mergeCell ref="Q374:R374"/>
    <mergeCell ref="C375:D375"/>
    <mergeCell ref="Q375:R375"/>
    <mergeCell ref="C376:D376"/>
    <mergeCell ref="Q376:R376"/>
    <mergeCell ref="C377:D377"/>
    <mergeCell ref="Q377:R377"/>
    <mergeCell ref="C378:D378"/>
    <mergeCell ref="Q378:R378"/>
    <mergeCell ref="C379:D379"/>
    <mergeCell ref="Q379:R379"/>
    <mergeCell ref="C380:D380"/>
    <mergeCell ref="Q380:R380"/>
    <mergeCell ref="C381:D381"/>
    <mergeCell ref="Q381:R381"/>
    <mergeCell ref="C382:D382"/>
    <mergeCell ref="Q382:R382"/>
    <mergeCell ref="C383:D383"/>
    <mergeCell ref="Q383:R383"/>
    <mergeCell ref="C384:D384"/>
    <mergeCell ref="Q384:R384"/>
    <mergeCell ref="C385:D385"/>
    <mergeCell ref="Q385:R385"/>
    <mergeCell ref="C386:D386"/>
    <mergeCell ref="Q386:R386"/>
    <mergeCell ref="C387:D387"/>
    <mergeCell ref="Q387:R387"/>
    <mergeCell ref="C388:D388"/>
    <mergeCell ref="Q388:R388"/>
    <mergeCell ref="C389:D389"/>
    <mergeCell ref="Q389:R389"/>
    <mergeCell ref="C390:D390"/>
    <mergeCell ref="Q390:R390"/>
    <mergeCell ref="C391:D391"/>
    <mergeCell ref="Q391:R391"/>
    <mergeCell ref="C392:D392"/>
    <mergeCell ref="Q392:R392"/>
    <mergeCell ref="C393:D393"/>
    <mergeCell ref="Q393:R393"/>
    <mergeCell ref="C394:D394"/>
    <mergeCell ref="Q394:R394"/>
    <mergeCell ref="C395:D395"/>
    <mergeCell ref="Q395:R395"/>
    <mergeCell ref="C396:D396"/>
    <mergeCell ref="Q396:R396"/>
    <mergeCell ref="C397:D397"/>
    <mergeCell ref="Q397:R397"/>
    <mergeCell ref="C398:D398"/>
    <mergeCell ref="Q398:R398"/>
    <mergeCell ref="C399:D399"/>
    <mergeCell ref="Q399:R399"/>
    <mergeCell ref="C400:D400"/>
    <mergeCell ref="Q400:R400"/>
    <mergeCell ref="C401:D401"/>
    <mergeCell ref="Q401:R401"/>
    <mergeCell ref="C402:D402"/>
    <mergeCell ref="Q402:R402"/>
    <mergeCell ref="C403:D403"/>
    <mergeCell ref="Q403:R403"/>
    <mergeCell ref="C404:D404"/>
    <mergeCell ref="Q404:R404"/>
    <mergeCell ref="C405:D405"/>
    <mergeCell ref="Q405:R405"/>
    <mergeCell ref="C406:D406"/>
    <mergeCell ref="Q406:R406"/>
    <mergeCell ref="C407:D407"/>
    <mergeCell ref="Q407:R407"/>
    <mergeCell ref="C408:D408"/>
    <mergeCell ref="Q408:R408"/>
    <mergeCell ref="C409:D409"/>
    <mergeCell ref="Q409:R409"/>
    <mergeCell ref="C410:D410"/>
    <mergeCell ref="Q410:R410"/>
    <mergeCell ref="C411:D411"/>
    <mergeCell ref="Q411:R411"/>
    <mergeCell ref="C412:D412"/>
    <mergeCell ref="Q412:R412"/>
    <mergeCell ref="C413:D413"/>
    <mergeCell ref="Q413:R413"/>
    <mergeCell ref="C414:D414"/>
    <mergeCell ref="Q414:R414"/>
    <mergeCell ref="C415:D415"/>
    <mergeCell ref="Q415:R415"/>
    <mergeCell ref="C416:D416"/>
    <mergeCell ref="Q416:R416"/>
    <mergeCell ref="C417:D417"/>
    <mergeCell ref="Q417:R417"/>
    <mergeCell ref="C418:D418"/>
    <mergeCell ref="Q418:R418"/>
    <mergeCell ref="C419:D419"/>
    <mergeCell ref="Q419:R419"/>
    <mergeCell ref="C420:D420"/>
    <mergeCell ref="Q420:R420"/>
    <mergeCell ref="C421:D421"/>
    <mergeCell ref="Q421:R421"/>
    <mergeCell ref="C422:D422"/>
    <mergeCell ref="Q422:R422"/>
    <mergeCell ref="C423:D423"/>
    <mergeCell ref="Q423:R423"/>
    <mergeCell ref="C424:D424"/>
    <mergeCell ref="Q424:R424"/>
    <mergeCell ref="C425:D425"/>
    <mergeCell ref="Q425:R425"/>
    <mergeCell ref="C426:D426"/>
    <mergeCell ref="Q426:R426"/>
    <mergeCell ref="C427:D427"/>
    <mergeCell ref="Q427:R427"/>
    <mergeCell ref="C428:D428"/>
    <mergeCell ref="Q428:R428"/>
    <mergeCell ref="C429:D429"/>
    <mergeCell ref="Q429:R429"/>
    <mergeCell ref="C430:D430"/>
    <mergeCell ref="Q430:R430"/>
    <mergeCell ref="C431:D431"/>
    <mergeCell ref="Q431:R431"/>
    <mergeCell ref="C432:D432"/>
    <mergeCell ref="Q432:R432"/>
    <mergeCell ref="C433:D433"/>
    <mergeCell ref="Q433:R433"/>
    <mergeCell ref="C434:D434"/>
    <mergeCell ref="Q434:R434"/>
    <mergeCell ref="C435:D435"/>
    <mergeCell ref="Q435:R435"/>
    <mergeCell ref="C436:D436"/>
    <mergeCell ref="Q436:R436"/>
    <mergeCell ref="C437:D437"/>
    <mergeCell ref="Q437:R437"/>
    <mergeCell ref="C438:D438"/>
    <mergeCell ref="Q438:R438"/>
    <mergeCell ref="C439:D439"/>
    <mergeCell ref="Q439:R439"/>
    <mergeCell ref="C440:D440"/>
    <mergeCell ref="Q440:R440"/>
    <mergeCell ref="C441:D441"/>
    <mergeCell ref="Q441:R441"/>
    <mergeCell ref="C442:D442"/>
    <mergeCell ref="Q442:R442"/>
    <mergeCell ref="C443:D443"/>
    <mergeCell ref="Q443:R443"/>
    <mergeCell ref="C444:D444"/>
    <mergeCell ref="Q444:R444"/>
    <mergeCell ref="C445:D445"/>
    <mergeCell ref="Q445:R445"/>
    <mergeCell ref="C446:D446"/>
    <mergeCell ref="Q446:R446"/>
    <mergeCell ref="C447:D447"/>
    <mergeCell ref="Q447:R447"/>
    <mergeCell ref="C448:D448"/>
    <mergeCell ref="Q448:R448"/>
    <mergeCell ref="C449:D449"/>
    <mergeCell ref="Q449:R449"/>
    <mergeCell ref="C450:D450"/>
    <mergeCell ref="Q450:R450"/>
    <mergeCell ref="C451:D451"/>
    <mergeCell ref="Q451:R451"/>
    <mergeCell ref="C452:D452"/>
    <mergeCell ref="Q452:R452"/>
    <mergeCell ref="C453:D453"/>
    <mergeCell ref="Q453:R453"/>
    <mergeCell ref="C454:D454"/>
    <mergeCell ref="Q454:R454"/>
    <mergeCell ref="C455:D455"/>
    <mergeCell ref="Q455:R455"/>
    <mergeCell ref="C456:D456"/>
    <mergeCell ref="Q456:R456"/>
    <mergeCell ref="C457:D457"/>
    <mergeCell ref="Q457:R457"/>
    <mergeCell ref="C458:D458"/>
    <mergeCell ref="Q458:R458"/>
    <mergeCell ref="C459:D459"/>
    <mergeCell ref="Q459:R459"/>
    <mergeCell ref="C460:D460"/>
    <mergeCell ref="Q460:R460"/>
    <mergeCell ref="C461:D461"/>
    <mergeCell ref="Q461:R461"/>
    <mergeCell ref="C462:D462"/>
    <mergeCell ref="Q462:R462"/>
    <mergeCell ref="C463:D463"/>
    <mergeCell ref="Q463:R463"/>
    <mergeCell ref="C464:D464"/>
    <mergeCell ref="Q464:R464"/>
    <mergeCell ref="C465:D465"/>
    <mergeCell ref="Q465:R465"/>
    <mergeCell ref="C466:D466"/>
    <mergeCell ref="Q466:R466"/>
    <mergeCell ref="C467:D467"/>
    <mergeCell ref="Q467:R467"/>
    <mergeCell ref="C468:D468"/>
    <mergeCell ref="Q468:R468"/>
    <mergeCell ref="C469:D469"/>
    <mergeCell ref="Q469:R469"/>
    <mergeCell ref="C470:D470"/>
    <mergeCell ref="Q470:R470"/>
    <mergeCell ref="C471:D471"/>
    <mergeCell ref="Q471:R471"/>
    <mergeCell ref="C472:D472"/>
    <mergeCell ref="Q472:R472"/>
    <mergeCell ref="C473:D473"/>
    <mergeCell ref="Q473:R473"/>
    <mergeCell ref="C474:D474"/>
    <mergeCell ref="Q474:R474"/>
    <mergeCell ref="C475:D475"/>
    <mergeCell ref="Q475:R475"/>
    <mergeCell ref="C476:D476"/>
    <mergeCell ref="Q476:R476"/>
    <mergeCell ref="C477:D477"/>
    <mergeCell ref="Q477:R477"/>
    <mergeCell ref="C478:D478"/>
    <mergeCell ref="Q478:R478"/>
    <mergeCell ref="C479:D479"/>
    <mergeCell ref="Q479:R479"/>
    <mergeCell ref="C480:D480"/>
    <mergeCell ref="Q480:R480"/>
    <mergeCell ref="C481:D481"/>
    <mergeCell ref="Q481:R481"/>
    <mergeCell ref="C482:D482"/>
    <mergeCell ref="Q482:R482"/>
    <mergeCell ref="C483:D483"/>
    <mergeCell ref="Q483:R483"/>
    <mergeCell ref="C484:D484"/>
    <mergeCell ref="Q484:R484"/>
    <mergeCell ref="C485:D485"/>
    <mergeCell ref="Q485:R485"/>
    <mergeCell ref="C486:D486"/>
    <mergeCell ref="Q486:R486"/>
    <mergeCell ref="C487:D487"/>
    <mergeCell ref="Q487:R487"/>
    <mergeCell ref="C488:D488"/>
    <mergeCell ref="Q488:R488"/>
    <mergeCell ref="C489:D489"/>
    <mergeCell ref="Q489:R489"/>
    <mergeCell ref="C490:D490"/>
    <mergeCell ref="Q490:R490"/>
    <mergeCell ref="C491:D491"/>
    <mergeCell ref="Q491:R491"/>
    <mergeCell ref="C492:D492"/>
    <mergeCell ref="Q492:R492"/>
    <mergeCell ref="C493:D493"/>
    <mergeCell ref="Q493:R493"/>
    <mergeCell ref="C494:D494"/>
    <mergeCell ref="Q494:R494"/>
    <mergeCell ref="C495:D495"/>
    <mergeCell ref="Q495:R495"/>
    <mergeCell ref="C496:D496"/>
    <mergeCell ref="Q496:R496"/>
    <mergeCell ref="C497:D497"/>
    <mergeCell ref="Q497:R497"/>
    <mergeCell ref="C498:D498"/>
    <mergeCell ref="Q498:R498"/>
    <mergeCell ref="C499:D499"/>
    <mergeCell ref="Q499:R499"/>
    <mergeCell ref="C500:D500"/>
    <mergeCell ref="Q500:R500"/>
    <mergeCell ref="C501:D501"/>
    <mergeCell ref="Q501:R501"/>
    <mergeCell ref="C502:D502"/>
    <mergeCell ref="Q502:R502"/>
    <mergeCell ref="C503:D503"/>
    <mergeCell ref="Q503:R503"/>
    <mergeCell ref="C504:D504"/>
    <mergeCell ref="Q504:R504"/>
    <mergeCell ref="C505:D505"/>
    <mergeCell ref="Q505:R505"/>
    <mergeCell ref="C506:D506"/>
    <mergeCell ref="Q506:R506"/>
    <mergeCell ref="C507:D507"/>
    <mergeCell ref="Q507:R507"/>
    <mergeCell ref="C508:D508"/>
    <mergeCell ref="Q508:R508"/>
    <mergeCell ref="C509:D509"/>
    <mergeCell ref="Q509:R509"/>
    <mergeCell ref="C510:D510"/>
    <mergeCell ref="Q510:R510"/>
    <mergeCell ref="C511:D511"/>
    <mergeCell ref="Q511:R511"/>
    <mergeCell ref="C512:D512"/>
    <mergeCell ref="Q512:R512"/>
    <mergeCell ref="C513:D513"/>
    <mergeCell ref="Q513:R513"/>
    <mergeCell ref="C514:D514"/>
    <mergeCell ref="Q514:R514"/>
    <mergeCell ref="C515:D515"/>
    <mergeCell ref="Q515:R515"/>
    <mergeCell ref="C516:D516"/>
    <mergeCell ref="Q516:R516"/>
    <mergeCell ref="C517:D517"/>
    <mergeCell ref="Q517:R517"/>
    <mergeCell ref="C518:D518"/>
    <mergeCell ref="Q518:R518"/>
    <mergeCell ref="C519:D519"/>
    <mergeCell ref="Q519:R519"/>
    <mergeCell ref="C520:D520"/>
    <mergeCell ref="Q520:R520"/>
    <mergeCell ref="C521:D521"/>
    <mergeCell ref="Q521:R521"/>
    <mergeCell ref="C522:D522"/>
    <mergeCell ref="Q522:R522"/>
    <mergeCell ref="C523:D523"/>
    <mergeCell ref="Q523:R523"/>
    <mergeCell ref="C524:D524"/>
    <mergeCell ref="Q524:R524"/>
    <mergeCell ref="C525:D525"/>
    <mergeCell ref="Q525:R525"/>
    <mergeCell ref="C526:D526"/>
    <mergeCell ref="Q526:R526"/>
    <mergeCell ref="C527:D527"/>
    <mergeCell ref="Q527:R527"/>
    <mergeCell ref="C528:D528"/>
    <mergeCell ref="Q528:R528"/>
    <mergeCell ref="C529:D529"/>
    <mergeCell ref="Q529:R529"/>
    <mergeCell ref="C530:D530"/>
    <mergeCell ref="Q530:R530"/>
    <mergeCell ref="C531:D531"/>
    <mergeCell ref="Q531:R531"/>
    <mergeCell ref="C532:D532"/>
    <mergeCell ref="Q532:R532"/>
    <mergeCell ref="C533:D533"/>
    <mergeCell ref="Q533:R533"/>
    <mergeCell ref="C534:D534"/>
    <mergeCell ref="Q534:R534"/>
    <mergeCell ref="C535:D535"/>
    <mergeCell ref="Q535:R535"/>
    <mergeCell ref="C536:D536"/>
    <mergeCell ref="Q536:R536"/>
    <mergeCell ref="C537:D537"/>
    <mergeCell ref="Q537:R537"/>
    <mergeCell ref="C538:D538"/>
    <mergeCell ref="Q538:R538"/>
    <mergeCell ref="C539:D539"/>
    <mergeCell ref="Q539:R539"/>
    <mergeCell ref="C540:D540"/>
    <mergeCell ref="Q540:R540"/>
    <mergeCell ref="C541:D541"/>
    <mergeCell ref="Q541:R541"/>
    <mergeCell ref="C542:D542"/>
    <mergeCell ref="Q542:R542"/>
    <mergeCell ref="C543:D543"/>
    <mergeCell ref="Q543:R543"/>
    <mergeCell ref="C544:D544"/>
    <mergeCell ref="Q544:R544"/>
    <mergeCell ref="C545:D545"/>
    <mergeCell ref="Q545:R545"/>
    <mergeCell ref="C546:D546"/>
    <mergeCell ref="Q546:R546"/>
    <mergeCell ref="C547:D547"/>
    <mergeCell ref="Q547:R547"/>
    <mergeCell ref="C548:D548"/>
    <mergeCell ref="Q548:R548"/>
    <mergeCell ref="C549:D549"/>
    <mergeCell ref="Q549:R549"/>
    <mergeCell ref="C550:D550"/>
    <mergeCell ref="Q550:R550"/>
    <mergeCell ref="C551:D551"/>
    <mergeCell ref="Q551:R551"/>
    <mergeCell ref="C552:D552"/>
    <mergeCell ref="Q552:R552"/>
    <mergeCell ref="C553:D553"/>
    <mergeCell ref="Q553:R553"/>
    <mergeCell ref="C554:D554"/>
    <mergeCell ref="Q554:R554"/>
    <mergeCell ref="C555:D555"/>
    <mergeCell ref="Q555:R555"/>
    <mergeCell ref="C556:D556"/>
    <mergeCell ref="Q556:R556"/>
    <mergeCell ref="C557:D557"/>
    <mergeCell ref="Q557:R557"/>
    <mergeCell ref="C558:D558"/>
    <mergeCell ref="Q558:R558"/>
    <mergeCell ref="C559:D559"/>
    <mergeCell ref="Q559:R559"/>
    <mergeCell ref="C560:D560"/>
    <mergeCell ref="Q560:R560"/>
    <mergeCell ref="C561:D561"/>
    <mergeCell ref="Q561:R561"/>
    <mergeCell ref="C562:D562"/>
    <mergeCell ref="Q562:R562"/>
    <mergeCell ref="C563:D563"/>
    <mergeCell ref="Q563:R563"/>
    <mergeCell ref="C564:D564"/>
    <mergeCell ref="Q564:R564"/>
    <mergeCell ref="C565:D565"/>
    <mergeCell ref="Q565:R565"/>
    <mergeCell ref="C566:D566"/>
    <mergeCell ref="Q566:R566"/>
    <mergeCell ref="C567:D567"/>
    <mergeCell ref="Q567:R567"/>
    <mergeCell ref="C568:D568"/>
    <mergeCell ref="Q568:R568"/>
    <mergeCell ref="C569:D569"/>
    <mergeCell ref="Q569:R569"/>
    <mergeCell ref="C570:D570"/>
    <mergeCell ref="Q570:R570"/>
    <mergeCell ref="C571:D571"/>
    <mergeCell ref="Q571:R571"/>
    <mergeCell ref="C572:D572"/>
    <mergeCell ref="Q572:R572"/>
    <mergeCell ref="C573:D573"/>
    <mergeCell ref="Q573:R573"/>
    <mergeCell ref="C574:D574"/>
    <mergeCell ref="Q574:R574"/>
    <mergeCell ref="C575:D575"/>
    <mergeCell ref="Q575:R575"/>
    <mergeCell ref="C576:D576"/>
    <mergeCell ref="Q576:R576"/>
    <mergeCell ref="C577:D577"/>
    <mergeCell ref="Q577:R577"/>
    <mergeCell ref="C578:D578"/>
    <mergeCell ref="Q578:R578"/>
    <mergeCell ref="C579:D579"/>
    <mergeCell ref="Q579:R579"/>
    <mergeCell ref="C580:D580"/>
    <mergeCell ref="Q580:R580"/>
    <mergeCell ref="C581:D581"/>
    <mergeCell ref="Q581:R581"/>
    <mergeCell ref="C582:D582"/>
    <mergeCell ref="Q582:R582"/>
    <mergeCell ref="C583:D583"/>
    <mergeCell ref="Q583:R583"/>
    <mergeCell ref="C584:D584"/>
    <mergeCell ref="Q584:R584"/>
    <mergeCell ref="C585:D585"/>
    <mergeCell ref="Q585:R585"/>
    <mergeCell ref="C586:D586"/>
    <mergeCell ref="Q586:R586"/>
    <mergeCell ref="C587:D587"/>
    <mergeCell ref="Q587:R587"/>
    <mergeCell ref="C588:D588"/>
    <mergeCell ref="Q588:R588"/>
    <mergeCell ref="C589:D589"/>
    <mergeCell ref="Q589:R589"/>
    <mergeCell ref="C590:D590"/>
    <mergeCell ref="Q590:R590"/>
    <mergeCell ref="C591:D591"/>
    <mergeCell ref="Q591:R591"/>
    <mergeCell ref="C592:D592"/>
    <mergeCell ref="Q592:R592"/>
    <mergeCell ref="C593:D593"/>
    <mergeCell ref="Q593:R593"/>
    <mergeCell ref="C594:D594"/>
    <mergeCell ref="Q594:R594"/>
    <mergeCell ref="C595:D595"/>
    <mergeCell ref="Q595:R595"/>
    <mergeCell ref="C596:D596"/>
    <mergeCell ref="Q596:R596"/>
    <mergeCell ref="C597:D597"/>
    <mergeCell ref="Q597:R597"/>
    <mergeCell ref="C598:D598"/>
    <mergeCell ref="Q598:R598"/>
    <mergeCell ref="C599:D599"/>
    <mergeCell ref="Q599:R599"/>
    <mergeCell ref="C600:D600"/>
    <mergeCell ref="Q600:R600"/>
    <mergeCell ref="C601:D601"/>
    <mergeCell ref="Q601:R601"/>
    <mergeCell ref="C602:D602"/>
    <mergeCell ref="Q602:R602"/>
    <mergeCell ref="C603:D603"/>
    <mergeCell ref="Q603:R603"/>
    <mergeCell ref="C604:D604"/>
    <mergeCell ref="Q604:R604"/>
    <mergeCell ref="C605:D605"/>
    <mergeCell ref="Q605:R605"/>
    <mergeCell ref="C606:D606"/>
    <mergeCell ref="Q606:R606"/>
    <mergeCell ref="C607:D607"/>
    <mergeCell ref="Q607:R607"/>
    <mergeCell ref="C608:D608"/>
    <mergeCell ref="Q608:R608"/>
    <mergeCell ref="C609:D609"/>
    <mergeCell ref="Q609:R609"/>
    <mergeCell ref="C610:D610"/>
    <mergeCell ref="Q610:R610"/>
    <mergeCell ref="C611:D611"/>
    <mergeCell ref="Q611:R611"/>
    <mergeCell ref="C612:D612"/>
    <mergeCell ref="Q612:R612"/>
    <mergeCell ref="C613:D613"/>
    <mergeCell ref="Q613:R613"/>
    <mergeCell ref="C614:D614"/>
    <mergeCell ref="Q614:R614"/>
    <mergeCell ref="C615:D615"/>
    <mergeCell ref="Q615:R615"/>
    <mergeCell ref="C616:D616"/>
    <mergeCell ref="Q616:R616"/>
    <mergeCell ref="C617:D617"/>
    <mergeCell ref="Q617:R617"/>
    <mergeCell ref="C618:D618"/>
    <mergeCell ref="Q618:R618"/>
    <mergeCell ref="C619:D619"/>
    <mergeCell ref="Q619:R619"/>
    <mergeCell ref="C620:D620"/>
    <mergeCell ref="Q620:R620"/>
    <mergeCell ref="C621:D621"/>
    <mergeCell ref="Q621:R621"/>
    <mergeCell ref="C622:D622"/>
    <mergeCell ref="Q622:R622"/>
    <mergeCell ref="C623:D623"/>
    <mergeCell ref="Q623:R623"/>
    <mergeCell ref="C624:D624"/>
    <mergeCell ref="Q624:R624"/>
    <mergeCell ref="C625:D625"/>
    <mergeCell ref="Q625:R625"/>
    <mergeCell ref="C626:D626"/>
    <mergeCell ref="Q626:R626"/>
    <mergeCell ref="C627:D627"/>
    <mergeCell ref="Q627:R627"/>
    <mergeCell ref="C628:D628"/>
    <mergeCell ref="Q628:R628"/>
    <mergeCell ref="C629:D629"/>
    <mergeCell ref="Q629:R629"/>
    <mergeCell ref="C630:D630"/>
    <mergeCell ref="Q630:R630"/>
    <mergeCell ref="C631:D631"/>
    <mergeCell ref="Q631:R631"/>
    <mergeCell ref="C632:D632"/>
    <mergeCell ref="Q632:R632"/>
    <mergeCell ref="C633:D633"/>
    <mergeCell ref="Q633:R633"/>
    <mergeCell ref="C634:D634"/>
    <mergeCell ref="Q634:R634"/>
    <mergeCell ref="C635:D635"/>
    <mergeCell ref="Q635:R635"/>
    <mergeCell ref="C636:D636"/>
    <mergeCell ref="Q636:R636"/>
    <mergeCell ref="C637:D637"/>
    <mergeCell ref="Q637:R637"/>
    <mergeCell ref="C638:D638"/>
    <mergeCell ref="Q638:R638"/>
    <mergeCell ref="C639:D639"/>
    <mergeCell ref="Q639:R639"/>
    <mergeCell ref="C640:D640"/>
    <mergeCell ref="Q640:R640"/>
    <mergeCell ref="C641:D641"/>
    <mergeCell ref="Q641:R641"/>
    <mergeCell ref="C642:D642"/>
    <mergeCell ref="Q642:R642"/>
    <mergeCell ref="C643:D643"/>
    <mergeCell ref="Q643:R643"/>
    <mergeCell ref="C644:D644"/>
    <mergeCell ref="Q644:R644"/>
    <mergeCell ref="C645:D645"/>
    <mergeCell ref="Q645:R645"/>
    <mergeCell ref="C646:D646"/>
    <mergeCell ref="Q646:R646"/>
    <mergeCell ref="C647:D647"/>
    <mergeCell ref="Q647:R647"/>
    <mergeCell ref="C648:D648"/>
    <mergeCell ref="Q648:R648"/>
    <mergeCell ref="C649:D649"/>
    <mergeCell ref="Q649:R649"/>
    <mergeCell ref="C650:D650"/>
    <mergeCell ref="Q650:R650"/>
    <mergeCell ref="C651:D651"/>
    <mergeCell ref="Q651:R651"/>
    <mergeCell ref="C652:D652"/>
    <mergeCell ref="Q652:R652"/>
    <mergeCell ref="C653:D653"/>
    <mergeCell ref="Q653:R653"/>
    <mergeCell ref="C654:D654"/>
    <mergeCell ref="Q654:R654"/>
    <mergeCell ref="C655:D655"/>
    <mergeCell ref="Q655:R655"/>
    <mergeCell ref="C656:D656"/>
    <mergeCell ref="Q656:R656"/>
    <mergeCell ref="C657:D657"/>
    <mergeCell ref="Q657:R657"/>
    <mergeCell ref="C658:D658"/>
    <mergeCell ref="Q658:R658"/>
    <mergeCell ref="C659:D659"/>
    <mergeCell ref="Q659:R659"/>
    <mergeCell ref="C660:D660"/>
    <mergeCell ref="Q660:R660"/>
    <mergeCell ref="C661:D661"/>
    <mergeCell ref="Q661:R661"/>
    <mergeCell ref="C662:D662"/>
    <mergeCell ref="Q662:R662"/>
    <mergeCell ref="C663:D663"/>
    <mergeCell ref="Q663:R663"/>
    <mergeCell ref="C664:D664"/>
    <mergeCell ref="Q664:R664"/>
    <mergeCell ref="C665:D665"/>
    <mergeCell ref="Q665:R665"/>
    <mergeCell ref="C666:D666"/>
    <mergeCell ref="Q666:R666"/>
    <mergeCell ref="C667:D667"/>
    <mergeCell ref="Q667:R667"/>
    <mergeCell ref="C668:D668"/>
    <mergeCell ref="Q668:R668"/>
    <mergeCell ref="C669:D669"/>
    <mergeCell ref="Q669:R669"/>
    <mergeCell ref="C670:D670"/>
    <mergeCell ref="Q670:R670"/>
    <mergeCell ref="C671:D671"/>
    <mergeCell ref="Q671:R671"/>
    <mergeCell ref="C672:D672"/>
    <mergeCell ref="Q672:R672"/>
    <mergeCell ref="C673:D673"/>
    <mergeCell ref="Q673:R673"/>
    <mergeCell ref="C674:D674"/>
    <mergeCell ref="Q674:R674"/>
    <mergeCell ref="C675:D675"/>
    <mergeCell ref="Q675:R675"/>
    <mergeCell ref="C676:D676"/>
    <mergeCell ref="Q676:R676"/>
    <mergeCell ref="C677:D677"/>
    <mergeCell ref="Q677:R677"/>
    <mergeCell ref="C678:D678"/>
    <mergeCell ref="Q678:R678"/>
    <mergeCell ref="C679:D679"/>
    <mergeCell ref="Q679:R679"/>
    <mergeCell ref="C680:D680"/>
    <mergeCell ref="Q680:R680"/>
    <mergeCell ref="C681:D681"/>
    <mergeCell ref="Q681:R681"/>
    <mergeCell ref="C682:D682"/>
    <mergeCell ref="Q682:R682"/>
    <mergeCell ref="C683:D683"/>
    <mergeCell ref="Q683:R683"/>
    <mergeCell ref="C684:D684"/>
    <mergeCell ref="Q684:R684"/>
    <mergeCell ref="C685:D685"/>
    <mergeCell ref="Q685:R685"/>
    <mergeCell ref="C686:D686"/>
    <mergeCell ref="Q686:R686"/>
    <mergeCell ref="C687:D687"/>
    <mergeCell ref="Q687:R687"/>
    <mergeCell ref="C688:D688"/>
    <mergeCell ref="Q688:R688"/>
    <mergeCell ref="C689:D689"/>
    <mergeCell ref="Q689:R689"/>
    <mergeCell ref="C690:D690"/>
    <mergeCell ref="Q690:R690"/>
    <mergeCell ref="C691:D691"/>
    <mergeCell ref="Q691:R691"/>
    <mergeCell ref="C692:D692"/>
    <mergeCell ref="Q692:R692"/>
    <mergeCell ref="C693:D693"/>
    <mergeCell ref="Q693:R693"/>
    <mergeCell ref="C694:D694"/>
    <mergeCell ref="Q694:R694"/>
    <mergeCell ref="C695:D695"/>
    <mergeCell ref="Q695:R695"/>
    <mergeCell ref="C696:D696"/>
    <mergeCell ref="Q696:R696"/>
    <mergeCell ref="C697:D697"/>
    <mergeCell ref="Q697:R697"/>
    <mergeCell ref="C698:D698"/>
    <mergeCell ref="Q698:R698"/>
    <mergeCell ref="C699:D699"/>
    <mergeCell ref="Q699:R699"/>
    <mergeCell ref="C700:D700"/>
    <mergeCell ref="Q700:R700"/>
    <mergeCell ref="C701:D701"/>
    <mergeCell ref="Q701:R701"/>
    <mergeCell ref="C702:D702"/>
    <mergeCell ref="Q702:R702"/>
    <mergeCell ref="C703:D703"/>
    <mergeCell ref="Q703:R703"/>
    <mergeCell ref="C704:D704"/>
    <mergeCell ref="Q704:R704"/>
    <mergeCell ref="C705:D705"/>
    <mergeCell ref="Q705:R705"/>
    <mergeCell ref="C706:D706"/>
    <mergeCell ref="Q706:R706"/>
    <mergeCell ref="C707:D707"/>
    <mergeCell ref="Q707:R707"/>
    <mergeCell ref="C708:D708"/>
    <mergeCell ref="Q708:R708"/>
    <mergeCell ref="C709:D709"/>
    <mergeCell ref="Q709:R709"/>
    <mergeCell ref="C710:D710"/>
    <mergeCell ref="Q710:R710"/>
    <mergeCell ref="C711:D711"/>
    <mergeCell ref="Q711:R711"/>
    <mergeCell ref="C712:D712"/>
    <mergeCell ref="Q712:R712"/>
    <mergeCell ref="C713:D713"/>
    <mergeCell ref="Q713:R713"/>
    <mergeCell ref="C714:D714"/>
    <mergeCell ref="Q714:R714"/>
    <mergeCell ref="C715:D715"/>
    <mergeCell ref="Q715:R715"/>
    <mergeCell ref="C716:D716"/>
    <mergeCell ref="Q716:R716"/>
    <mergeCell ref="C717:D717"/>
    <mergeCell ref="Q717:R717"/>
    <mergeCell ref="C718:D718"/>
    <mergeCell ref="Q718:R718"/>
    <mergeCell ref="C719:D719"/>
    <mergeCell ref="Q719:R719"/>
    <mergeCell ref="C720:D720"/>
    <mergeCell ref="Q720:R720"/>
    <mergeCell ref="C721:D721"/>
    <mergeCell ref="Q721:R721"/>
    <mergeCell ref="C722:D722"/>
    <mergeCell ref="Q722:R722"/>
    <mergeCell ref="C723:D723"/>
    <mergeCell ref="Q723:R723"/>
    <mergeCell ref="C724:D724"/>
    <mergeCell ref="Q724:R724"/>
    <mergeCell ref="C725:D725"/>
    <mergeCell ref="Q725:R725"/>
    <mergeCell ref="C726:D726"/>
    <mergeCell ref="Q726:R726"/>
    <mergeCell ref="C727:D727"/>
    <mergeCell ref="Q727:R727"/>
    <mergeCell ref="C728:D728"/>
    <mergeCell ref="Q728:R728"/>
    <mergeCell ref="C729:D729"/>
    <mergeCell ref="Q729:R729"/>
    <mergeCell ref="C730:D730"/>
    <mergeCell ref="Q730:R730"/>
    <mergeCell ref="C731:D731"/>
    <mergeCell ref="Q731:R731"/>
    <mergeCell ref="C732:D732"/>
    <mergeCell ref="Q732:R732"/>
    <mergeCell ref="C733:D733"/>
    <mergeCell ref="Q733:R733"/>
    <mergeCell ref="C734:D734"/>
    <mergeCell ref="Q734:R734"/>
    <mergeCell ref="C735:D735"/>
    <mergeCell ref="Q735:R735"/>
    <mergeCell ref="C736:D736"/>
    <mergeCell ref="Q736:R736"/>
    <mergeCell ref="C737:D737"/>
    <mergeCell ref="Q737:R737"/>
    <mergeCell ref="C738:D738"/>
    <mergeCell ref="Q738:R738"/>
    <mergeCell ref="C739:D739"/>
    <mergeCell ref="Q739:R739"/>
    <mergeCell ref="C740:D740"/>
    <mergeCell ref="Q740:R740"/>
    <mergeCell ref="C741:D741"/>
    <mergeCell ref="Q741:R741"/>
    <mergeCell ref="C742:D742"/>
    <mergeCell ref="Q742:R742"/>
    <mergeCell ref="C743:D743"/>
    <mergeCell ref="Q743:R743"/>
    <mergeCell ref="C744:D744"/>
    <mergeCell ref="Q744:R744"/>
    <mergeCell ref="C745:D745"/>
    <mergeCell ref="Q745:R745"/>
    <mergeCell ref="C746:D746"/>
    <mergeCell ref="Q746:R746"/>
    <mergeCell ref="C747:D747"/>
    <mergeCell ref="Q747:R747"/>
    <mergeCell ref="C748:D748"/>
    <mergeCell ref="Q748:R748"/>
    <mergeCell ref="C749:D749"/>
    <mergeCell ref="Q749:R749"/>
    <mergeCell ref="C750:D750"/>
    <mergeCell ref="Q750:R750"/>
    <mergeCell ref="C751:D751"/>
    <mergeCell ref="Q751:R751"/>
    <mergeCell ref="C752:D752"/>
    <mergeCell ref="Q752:R752"/>
    <mergeCell ref="C753:D753"/>
    <mergeCell ref="Q753:R753"/>
    <mergeCell ref="C754:D754"/>
    <mergeCell ref="Q754:R754"/>
    <mergeCell ref="C755:D755"/>
    <mergeCell ref="Q755:R755"/>
    <mergeCell ref="C756:D756"/>
    <mergeCell ref="Q756:R756"/>
    <mergeCell ref="C757:D757"/>
    <mergeCell ref="Q757:R757"/>
    <mergeCell ref="C758:D758"/>
    <mergeCell ref="Q758:R758"/>
    <mergeCell ref="C759:D759"/>
    <mergeCell ref="Q759:R759"/>
    <mergeCell ref="C760:D760"/>
    <mergeCell ref="Q760:R760"/>
    <mergeCell ref="C761:D761"/>
    <mergeCell ref="Q761:R761"/>
    <mergeCell ref="C762:D762"/>
    <mergeCell ref="Q762:R762"/>
    <mergeCell ref="C763:D763"/>
    <mergeCell ref="Q763:R763"/>
    <mergeCell ref="C764:D764"/>
    <mergeCell ref="Q764:R764"/>
    <mergeCell ref="C765:D765"/>
    <mergeCell ref="Q765:R765"/>
    <mergeCell ref="C766:D766"/>
    <mergeCell ref="Q766:R766"/>
    <mergeCell ref="C767:D767"/>
    <mergeCell ref="Q767:R767"/>
    <mergeCell ref="C768:D768"/>
    <mergeCell ref="Q768:R768"/>
    <mergeCell ref="C769:D769"/>
    <mergeCell ref="Q769:R769"/>
    <mergeCell ref="C770:D770"/>
    <mergeCell ref="Q770:R770"/>
    <mergeCell ref="C771:D771"/>
    <mergeCell ref="Q771:R771"/>
    <mergeCell ref="C772:D772"/>
    <mergeCell ref="Q772:R772"/>
    <mergeCell ref="C773:D773"/>
    <mergeCell ref="Q773:R773"/>
    <mergeCell ref="C774:D774"/>
    <mergeCell ref="Q774:R774"/>
    <mergeCell ref="C775:D775"/>
    <mergeCell ref="Q775:R775"/>
    <mergeCell ref="C776:D776"/>
    <mergeCell ref="Q776:R776"/>
    <mergeCell ref="C777:D777"/>
    <mergeCell ref="Q777:R777"/>
    <mergeCell ref="C778:D778"/>
    <mergeCell ref="Q778:R778"/>
    <mergeCell ref="C779:D779"/>
    <mergeCell ref="Q779:R779"/>
    <mergeCell ref="C780:D780"/>
    <mergeCell ref="Q780:R780"/>
    <mergeCell ref="C781:D781"/>
    <mergeCell ref="Q781:R781"/>
    <mergeCell ref="C782:D782"/>
    <mergeCell ref="Q782:R782"/>
    <mergeCell ref="C783:D783"/>
    <mergeCell ref="Q783:R783"/>
    <mergeCell ref="C784:D784"/>
    <mergeCell ref="Q784:R784"/>
    <mergeCell ref="C785:D785"/>
    <mergeCell ref="Q785:R785"/>
    <mergeCell ref="C786:D786"/>
    <mergeCell ref="Q786:R786"/>
    <mergeCell ref="C787:D787"/>
    <mergeCell ref="Q787:R787"/>
    <mergeCell ref="C788:D788"/>
    <mergeCell ref="Q788:R788"/>
    <mergeCell ref="C789:D789"/>
    <mergeCell ref="Q789:R789"/>
    <mergeCell ref="C790:D790"/>
    <mergeCell ref="Q790:R790"/>
    <mergeCell ref="C791:D791"/>
    <mergeCell ref="Q791:R791"/>
    <mergeCell ref="C792:D792"/>
    <mergeCell ref="Q792:R792"/>
    <mergeCell ref="C793:D793"/>
    <mergeCell ref="Q793:R793"/>
    <mergeCell ref="C794:D794"/>
    <mergeCell ref="Q794:R794"/>
    <mergeCell ref="C795:D795"/>
    <mergeCell ref="Q795:R795"/>
    <mergeCell ref="C796:D796"/>
    <mergeCell ref="Q796:R796"/>
    <mergeCell ref="C797:D797"/>
    <mergeCell ref="Q797:R797"/>
    <mergeCell ref="C798:D798"/>
    <mergeCell ref="Q798:R798"/>
    <mergeCell ref="C799:D799"/>
    <mergeCell ref="Q799:R799"/>
    <mergeCell ref="C800:D800"/>
    <mergeCell ref="Q800:R800"/>
    <mergeCell ref="C801:D801"/>
    <mergeCell ref="Q801:R801"/>
    <mergeCell ref="C802:D802"/>
    <mergeCell ref="Q802:R802"/>
    <mergeCell ref="C803:D803"/>
    <mergeCell ref="Q803:R803"/>
    <mergeCell ref="C804:D804"/>
    <mergeCell ref="Q804:R804"/>
    <mergeCell ref="C805:D805"/>
    <mergeCell ref="Q805:R805"/>
    <mergeCell ref="C806:D806"/>
    <mergeCell ref="Q806:R806"/>
    <mergeCell ref="C807:D807"/>
    <mergeCell ref="Q807:R807"/>
    <mergeCell ref="C808:D808"/>
    <mergeCell ref="Q808:R808"/>
    <mergeCell ref="C809:D809"/>
    <mergeCell ref="Q809:R809"/>
    <mergeCell ref="C810:D810"/>
    <mergeCell ref="Q810:R810"/>
    <mergeCell ref="C811:D811"/>
    <mergeCell ref="Q811:R811"/>
    <mergeCell ref="C812:D812"/>
    <mergeCell ref="Q812:R812"/>
    <mergeCell ref="C813:D813"/>
    <mergeCell ref="Q813:R813"/>
    <mergeCell ref="C814:D814"/>
    <mergeCell ref="Q814:R814"/>
    <mergeCell ref="C815:D815"/>
    <mergeCell ref="Q815:R815"/>
    <mergeCell ref="C816:D816"/>
    <mergeCell ref="Q816:R816"/>
    <mergeCell ref="C817:D817"/>
    <mergeCell ref="Q817:R817"/>
    <mergeCell ref="C818:D818"/>
    <mergeCell ref="Q818:R818"/>
    <mergeCell ref="C819:D819"/>
    <mergeCell ref="Q819:R819"/>
    <mergeCell ref="C820:D820"/>
    <mergeCell ref="Q820:R820"/>
    <mergeCell ref="C821:D821"/>
    <mergeCell ref="Q821:R821"/>
    <mergeCell ref="C822:D822"/>
    <mergeCell ref="Q822:R822"/>
    <mergeCell ref="C823:D823"/>
    <mergeCell ref="Q823:R823"/>
    <mergeCell ref="C824:D824"/>
    <mergeCell ref="Q824:R824"/>
    <mergeCell ref="C825:D825"/>
    <mergeCell ref="Q825:R825"/>
    <mergeCell ref="C826:D826"/>
    <mergeCell ref="Q826:R826"/>
    <mergeCell ref="C827:D827"/>
    <mergeCell ref="Q827:R827"/>
    <mergeCell ref="C828:D828"/>
    <mergeCell ref="Q828:R828"/>
    <mergeCell ref="C829:D829"/>
    <mergeCell ref="Q829:R829"/>
    <mergeCell ref="C830:D830"/>
    <mergeCell ref="Q830:R830"/>
    <mergeCell ref="C831:D831"/>
    <mergeCell ref="Q831:R831"/>
    <mergeCell ref="C832:D832"/>
    <mergeCell ref="Q832:R832"/>
    <mergeCell ref="C833:D833"/>
    <mergeCell ref="Q833:R833"/>
    <mergeCell ref="C834:D834"/>
    <mergeCell ref="Q834:R834"/>
    <mergeCell ref="C835:D835"/>
    <mergeCell ref="Q835:R835"/>
    <mergeCell ref="C836:D836"/>
    <mergeCell ref="Q836:R836"/>
    <mergeCell ref="C837:D837"/>
    <mergeCell ref="Q837:R837"/>
    <mergeCell ref="C838:D838"/>
    <mergeCell ref="Q838:R838"/>
    <mergeCell ref="C839:D839"/>
    <mergeCell ref="Q839:R839"/>
    <mergeCell ref="C840:D840"/>
    <mergeCell ref="Q840:R840"/>
    <mergeCell ref="C841:D841"/>
    <mergeCell ref="Q841:R841"/>
    <mergeCell ref="C842:D842"/>
    <mergeCell ref="Q842:R842"/>
    <mergeCell ref="C843:D843"/>
    <mergeCell ref="Q843:R843"/>
    <mergeCell ref="C844:D844"/>
    <mergeCell ref="Q844:R844"/>
    <mergeCell ref="C845:D845"/>
    <mergeCell ref="Q845:R845"/>
    <mergeCell ref="C846:D846"/>
    <mergeCell ref="Q846:R846"/>
    <mergeCell ref="C847:D847"/>
    <mergeCell ref="Q847:R847"/>
    <mergeCell ref="C848:D848"/>
    <mergeCell ref="Q848:R848"/>
    <mergeCell ref="C849:D849"/>
    <mergeCell ref="Q849:R849"/>
    <mergeCell ref="C850:D850"/>
    <mergeCell ref="Q850:R850"/>
    <mergeCell ref="C851:D851"/>
    <mergeCell ref="Q851:R851"/>
    <mergeCell ref="C852:D852"/>
    <mergeCell ref="Q852:R852"/>
    <mergeCell ref="C853:D853"/>
    <mergeCell ref="Q853:R853"/>
    <mergeCell ref="C854:D854"/>
    <mergeCell ref="Q854:R854"/>
    <mergeCell ref="C855:D855"/>
    <mergeCell ref="Q855:R855"/>
    <mergeCell ref="C856:D856"/>
    <mergeCell ref="Q856:R856"/>
    <mergeCell ref="C857:D857"/>
    <mergeCell ref="Q857:R857"/>
    <mergeCell ref="C858:D858"/>
    <mergeCell ref="Q858:R858"/>
    <mergeCell ref="C859:D859"/>
    <mergeCell ref="Q859:R859"/>
    <mergeCell ref="C860:D860"/>
    <mergeCell ref="Q860:R860"/>
    <mergeCell ref="C861:D861"/>
    <mergeCell ref="Q861:R861"/>
    <mergeCell ref="C862:D862"/>
    <mergeCell ref="Q862:R862"/>
    <mergeCell ref="C863:D863"/>
    <mergeCell ref="Q863:R863"/>
    <mergeCell ref="C864:D864"/>
    <mergeCell ref="Q864:R864"/>
    <mergeCell ref="C865:D865"/>
    <mergeCell ref="Q865:R865"/>
    <mergeCell ref="C866:D866"/>
    <mergeCell ref="Q866:R866"/>
    <mergeCell ref="C867:D867"/>
    <mergeCell ref="Q867:R867"/>
    <mergeCell ref="C868:D868"/>
    <mergeCell ref="Q868:R868"/>
    <mergeCell ref="C869:D869"/>
    <mergeCell ref="Q869:R869"/>
    <mergeCell ref="C870:D870"/>
    <mergeCell ref="Q870:R870"/>
    <mergeCell ref="C871:D871"/>
    <mergeCell ref="Q871:R871"/>
    <mergeCell ref="C872:D872"/>
    <mergeCell ref="Q872:R872"/>
    <mergeCell ref="C873:D873"/>
    <mergeCell ref="Q873:R873"/>
    <mergeCell ref="C874:D874"/>
    <mergeCell ref="Q874:R874"/>
    <mergeCell ref="C875:D875"/>
    <mergeCell ref="Q875:R875"/>
    <mergeCell ref="C876:D876"/>
    <mergeCell ref="Q876:R876"/>
    <mergeCell ref="C877:D877"/>
    <mergeCell ref="Q877:R877"/>
    <mergeCell ref="C878:D878"/>
    <mergeCell ref="Q878:R878"/>
    <mergeCell ref="C879:D879"/>
    <mergeCell ref="Q879:R879"/>
    <mergeCell ref="C880:D880"/>
    <mergeCell ref="Q880:R880"/>
    <mergeCell ref="C881:D881"/>
    <mergeCell ref="Q881:R881"/>
    <mergeCell ref="C882:D882"/>
    <mergeCell ref="Q882:R882"/>
    <mergeCell ref="C883:D883"/>
    <mergeCell ref="Q883:R883"/>
    <mergeCell ref="C884:D884"/>
    <mergeCell ref="Q884:R884"/>
    <mergeCell ref="C885:D885"/>
    <mergeCell ref="Q885:R885"/>
    <mergeCell ref="C886:D886"/>
    <mergeCell ref="Q886:R886"/>
    <mergeCell ref="C887:D887"/>
    <mergeCell ref="Q887:R887"/>
    <mergeCell ref="C888:D888"/>
    <mergeCell ref="Q888:R888"/>
    <mergeCell ref="C889:D889"/>
    <mergeCell ref="Q889:R889"/>
    <mergeCell ref="C890:D890"/>
    <mergeCell ref="Q890:R890"/>
    <mergeCell ref="C891:D891"/>
    <mergeCell ref="Q891:R891"/>
    <mergeCell ref="C892:D892"/>
    <mergeCell ref="Q892:R892"/>
    <mergeCell ref="C893:D893"/>
    <mergeCell ref="Q893:R893"/>
    <mergeCell ref="C894:D894"/>
    <mergeCell ref="Q894:R894"/>
    <mergeCell ref="C895:D895"/>
    <mergeCell ref="Q895:R895"/>
    <mergeCell ref="C896:D896"/>
    <mergeCell ref="Q896:R896"/>
    <mergeCell ref="C897:D897"/>
    <mergeCell ref="Q897:R897"/>
    <mergeCell ref="C898:D898"/>
    <mergeCell ref="Q898:R898"/>
    <mergeCell ref="C899:D899"/>
    <mergeCell ref="Q899:R899"/>
    <mergeCell ref="C900:D900"/>
    <mergeCell ref="Q900:R900"/>
    <mergeCell ref="C901:D901"/>
    <mergeCell ref="Q901:R901"/>
    <mergeCell ref="C902:D902"/>
    <mergeCell ref="Q902:R902"/>
    <mergeCell ref="C903:D903"/>
    <mergeCell ref="Q903:R903"/>
    <mergeCell ref="C904:D904"/>
    <mergeCell ref="Q904:R904"/>
    <mergeCell ref="C905:D905"/>
    <mergeCell ref="Q905:R905"/>
    <mergeCell ref="C906:D906"/>
    <mergeCell ref="Q906:R906"/>
    <mergeCell ref="C907:D907"/>
    <mergeCell ref="Q907:R907"/>
    <mergeCell ref="C908:D908"/>
    <mergeCell ref="Q908:R908"/>
    <mergeCell ref="C909:D909"/>
    <mergeCell ref="Q909:R909"/>
    <mergeCell ref="C910:D910"/>
    <mergeCell ref="Q910:R910"/>
    <mergeCell ref="C911:D911"/>
    <mergeCell ref="Q911:R911"/>
    <mergeCell ref="C912:D912"/>
    <mergeCell ref="Q912:R912"/>
    <mergeCell ref="C913:D913"/>
    <mergeCell ref="Q913:R913"/>
    <mergeCell ref="C914:D914"/>
    <mergeCell ref="Q914:R914"/>
    <mergeCell ref="C915:D915"/>
    <mergeCell ref="Q915:R915"/>
    <mergeCell ref="C916:D916"/>
    <mergeCell ref="Q916:R916"/>
    <mergeCell ref="C917:D917"/>
    <mergeCell ref="Q917:R917"/>
    <mergeCell ref="C918:D918"/>
    <mergeCell ref="Q918:R918"/>
    <mergeCell ref="C919:D919"/>
    <mergeCell ref="Q919:R919"/>
    <mergeCell ref="C920:D920"/>
    <mergeCell ref="Q920:R920"/>
    <mergeCell ref="C921:D921"/>
    <mergeCell ref="Q921:R921"/>
    <mergeCell ref="C922:D922"/>
    <mergeCell ref="Q922:R922"/>
    <mergeCell ref="C923:D923"/>
    <mergeCell ref="Q923:R923"/>
    <mergeCell ref="C924:D924"/>
    <mergeCell ref="Q924:R924"/>
    <mergeCell ref="C925:D925"/>
    <mergeCell ref="Q925:R925"/>
    <mergeCell ref="C926:D926"/>
    <mergeCell ref="Q926:R926"/>
    <mergeCell ref="C927:D927"/>
    <mergeCell ref="Q927:R927"/>
    <mergeCell ref="C928:D928"/>
    <mergeCell ref="Q928:R928"/>
    <mergeCell ref="C929:D929"/>
    <mergeCell ref="Q929:R929"/>
    <mergeCell ref="C930:D930"/>
    <mergeCell ref="Q930:R930"/>
    <mergeCell ref="C931:D931"/>
    <mergeCell ref="Q931:R931"/>
    <mergeCell ref="C932:D932"/>
    <mergeCell ref="Q932:R932"/>
    <mergeCell ref="C933:D933"/>
    <mergeCell ref="Q933:R933"/>
    <mergeCell ref="C934:D934"/>
    <mergeCell ref="Q934:R934"/>
    <mergeCell ref="C935:D935"/>
    <mergeCell ref="Q935:R935"/>
    <mergeCell ref="C936:D936"/>
    <mergeCell ref="Q936:R936"/>
    <mergeCell ref="C937:D937"/>
    <mergeCell ref="Q937:R937"/>
    <mergeCell ref="C938:D938"/>
    <mergeCell ref="Q938:R938"/>
    <mergeCell ref="C939:D939"/>
    <mergeCell ref="Q939:R939"/>
    <mergeCell ref="C940:D940"/>
    <mergeCell ref="Q940:R940"/>
    <mergeCell ref="C941:D941"/>
    <mergeCell ref="Q941:R941"/>
    <mergeCell ref="C942:D942"/>
    <mergeCell ref="Q942:R942"/>
    <mergeCell ref="C943:D943"/>
    <mergeCell ref="Q943:R943"/>
    <mergeCell ref="C944:D944"/>
    <mergeCell ref="Q944:R944"/>
    <mergeCell ref="C945:D945"/>
    <mergeCell ref="Q945:R945"/>
    <mergeCell ref="C946:D946"/>
    <mergeCell ref="Q946:R946"/>
    <mergeCell ref="C947:D947"/>
    <mergeCell ref="Q947:R947"/>
    <mergeCell ref="C948:D948"/>
    <mergeCell ref="Q948:R948"/>
    <mergeCell ref="C949:D949"/>
    <mergeCell ref="Q949:R949"/>
    <mergeCell ref="C950:D950"/>
    <mergeCell ref="Q950:R950"/>
    <mergeCell ref="C951:D951"/>
    <mergeCell ref="Q951:R951"/>
    <mergeCell ref="C952:D952"/>
    <mergeCell ref="Q952:R952"/>
    <mergeCell ref="C953:D953"/>
    <mergeCell ref="Q953:R953"/>
    <mergeCell ref="C954:D954"/>
    <mergeCell ref="Q954:R954"/>
    <mergeCell ref="C955:D955"/>
    <mergeCell ref="Q955:R955"/>
    <mergeCell ref="C956:D956"/>
    <mergeCell ref="Q956:R956"/>
    <mergeCell ref="C957:D957"/>
    <mergeCell ref="Q957:R957"/>
    <mergeCell ref="C958:D958"/>
    <mergeCell ref="Q958:R958"/>
    <mergeCell ref="C959:D959"/>
    <mergeCell ref="Q959:R959"/>
    <mergeCell ref="C960:D960"/>
    <mergeCell ref="Q960:R960"/>
    <mergeCell ref="C961:D961"/>
    <mergeCell ref="Q961:R961"/>
    <mergeCell ref="C962:D962"/>
    <mergeCell ref="Q962:R962"/>
    <mergeCell ref="C963:D963"/>
    <mergeCell ref="Q963:R963"/>
    <mergeCell ref="C964:D964"/>
    <mergeCell ref="Q964:R964"/>
    <mergeCell ref="C965:D965"/>
    <mergeCell ref="Q965:R965"/>
    <mergeCell ref="C966:D966"/>
    <mergeCell ref="Q966:R966"/>
    <mergeCell ref="C967:D967"/>
    <mergeCell ref="Q967:R967"/>
    <mergeCell ref="C968:D968"/>
    <mergeCell ref="Q968:R968"/>
    <mergeCell ref="C969:D969"/>
    <mergeCell ref="Q969:R969"/>
    <mergeCell ref="C970:D970"/>
    <mergeCell ref="Q970:R970"/>
    <mergeCell ref="C971:D971"/>
    <mergeCell ref="Q971:R971"/>
    <mergeCell ref="C972:D972"/>
    <mergeCell ref="Q972:R972"/>
    <mergeCell ref="C973:D973"/>
    <mergeCell ref="Q973:R973"/>
    <mergeCell ref="C974:D974"/>
    <mergeCell ref="Q974:R974"/>
    <mergeCell ref="C975:D975"/>
    <mergeCell ref="Q975:R975"/>
    <mergeCell ref="C976:D976"/>
    <mergeCell ref="Q976:R976"/>
    <mergeCell ref="C977:D977"/>
    <mergeCell ref="Q977:R977"/>
    <mergeCell ref="C978:D978"/>
    <mergeCell ref="Q978:R978"/>
    <mergeCell ref="C979:D979"/>
    <mergeCell ref="Q979:R979"/>
    <mergeCell ref="C980:D980"/>
    <mergeCell ref="Q980:R980"/>
    <mergeCell ref="C981:D981"/>
    <mergeCell ref="Q981:R981"/>
    <mergeCell ref="C982:D982"/>
    <mergeCell ref="Q982:R982"/>
    <mergeCell ref="C983:D983"/>
    <mergeCell ref="Q983:R983"/>
    <mergeCell ref="C984:D984"/>
    <mergeCell ref="Q984:R984"/>
    <mergeCell ref="C985:D985"/>
    <mergeCell ref="Q985:R985"/>
    <mergeCell ref="C986:D986"/>
    <mergeCell ref="Q986:R986"/>
    <mergeCell ref="C987:D987"/>
    <mergeCell ref="Q987:R987"/>
    <mergeCell ref="C988:D988"/>
    <mergeCell ref="Q988:R988"/>
    <mergeCell ref="C989:D989"/>
    <mergeCell ref="Q989:R989"/>
    <mergeCell ref="C990:D990"/>
    <mergeCell ref="Q990:R990"/>
    <mergeCell ref="C991:D991"/>
    <mergeCell ref="Q991:R991"/>
    <mergeCell ref="C992:D992"/>
    <mergeCell ref="Q992:R992"/>
    <mergeCell ref="C993:D993"/>
    <mergeCell ref="Q993:R993"/>
    <mergeCell ref="C994:D994"/>
    <mergeCell ref="Q994:R994"/>
    <mergeCell ref="C995:D995"/>
    <mergeCell ref="Q995:R995"/>
    <mergeCell ref="C996:D996"/>
    <mergeCell ref="Q996:R996"/>
    <mergeCell ref="C997:D997"/>
    <mergeCell ref="Q997:R997"/>
    <mergeCell ref="C998:D998"/>
    <mergeCell ref="Q998:R998"/>
    <mergeCell ref="C999:D999"/>
    <mergeCell ref="Q999:R999"/>
    <mergeCell ref="C1000:D1000"/>
    <mergeCell ref="Q1000:R1000"/>
    <mergeCell ref="C1001:D1001"/>
    <mergeCell ref="Q1001:R1001"/>
    <mergeCell ref="C1002:D1002"/>
    <mergeCell ref="Q1002:R1002"/>
    <mergeCell ref="C1003:D1003"/>
    <mergeCell ref="Q1003:R1003"/>
    <mergeCell ref="C1004:D1004"/>
    <mergeCell ref="Q1004:R1004"/>
    <mergeCell ref="C1005:D1005"/>
    <mergeCell ref="Q1005:R1005"/>
    <mergeCell ref="C1006:D1006"/>
    <mergeCell ref="Q1006:R1006"/>
    <mergeCell ref="C1007:D1007"/>
    <mergeCell ref="Q1007:R1007"/>
    <mergeCell ref="C1008:D1008"/>
    <mergeCell ref="Q1008:R1008"/>
    <mergeCell ref="C1009:D1009"/>
    <mergeCell ref="Q1009:R1009"/>
    <mergeCell ref="C1010:D1010"/>
    <mergeCell ref="Q1010:R1010"/>
    <mergeCell ref="C1011:D1011"/>
    <mergeCell ref="Q1011:R1011"/>
    <mergeCell ref="C1012:D1012"/>
    <mergeCell ref="Q1012:R1012"/>
    <mergeCell ref="C1013:D1013"/>
    <mergeCell ref="Q1013:R1013"/>
    <mergeCell ref="C1014:D1014"/>
    <mergeCell ref="Q1014:R1014"/>
    <mergeCell ref="C1015:D1015"/>
    <mergeCell ref="Q1015:R1015"/>
    <mergeCell ref="C1016:D1016"/>
    <mergeCell ref="Q1016:R1016"/>
    <mergeCell ref="C1017:D1017"/>
    <mergeCell ref="Q1017:R1017"/>
    <mergeCell ref="C1018:D1018"/>
    <mergeCell ref="Q1018:R1018"/>
    <mergeCell ref="C1019:D1019"/>
    <mergeCell ref="Q1019:R1019"/>
    <mergeCell ref="C1020:D1020"/>
    <mergeCell ref="Q1020:R1020"/>
    <mergeCell ref="C1021:D1021"/>
    <mergeCell ref="Q1021:R1021"/>
    <mergeCell ref="C1022:D1022"/>
    <mergeCell ref="Q1022:R1022"/>
    <mergeCell ref="C1023:D1023"/>
    <mergeCell ref="Q1023:R1023"/>
    <mergeCell ref="C1024:D1024"/>
    <mergeCell ref="Q1024:R1024"/>
    <mergeCell ref="C1025:D1025"/>
    <mergeCell ref="Q1025:R1025"/>
    <mergeCell ref="C1026:D1026"/>
    <mergeCell ref="Q1026:R1026"/>
    <mergeCell ref="C1027:D1027"/>
    <mergeCell ref="Q1027:R1027"/>
    <mergeCell ref="C1028:D1028"/>
    <mergeCell ref="Q1028:R1028"/>
    <mergeCell ref="C1029:D1029"/>
    <mergeCell ref="Q1029:R1029"/>
    <mergeCell ref="C1030:D1030"/>
    <mergeCell ref="Q1030:R1030"/>
    <mergeCell ref="C1031:D1031"/>
    <mergeCell ref="Q1031:R1031"/>
    <mergeCell ref="C1032:D1032"/>
    <mergeCell ref="Q1032:R1032"/>
    <mergeCell ref="C1033:D1033"/>
    <mergeCell ref="Q1033:R1033"/>
    <mergeCell ref="C1034:D1034"/>
    <mergeCell ref="Q1034:R1034"/>
    <mergeCell ref="C1035:D1035"/>
    <mergeCell ref="Q1035:R1035"/>
    <mergeCell ref="C1036:D1036"/>
    <mergeCell ref="Q1036:R1036"/>
    <mergeCell ref="C1037:D1037"/>
    <mergeCell ref="Q1037:R1037"/>
    <mergeCell ref="C1038:D1038"/>
    <mergeCell ref="Q1038:R1038"/>
    <mergeCell ref="C1039:D1039"/>
    <mergeCell ref="Q1039:R1039"/>
    <mergeCell ref="C1040:D1040"/>
    <mergeCell ref="Q1040:R1040"/>
    <mergeCell ref="C1041:D1041"/>
    <mergeCell ref="Q1041:R1041"/>
    <mergeCell ref="C1042:D1042"/>
    <mergeCell ref="Q1042:R1042"/>
    <mergeCell ref="C1043:D1043"/>
    <mergeCell ref="Q1043:R1043"/>
    <mergeCell ref="C1044:D1044"/>
    <mergeCell ref="Q1044:R1044"/>
    <mergeCell ref="C1045:D1045"/>
    <mergeCell ref="Q1045:R1045"/>
    <mergeCell ref="C1046:D1046"/>
    <mergeCell ref="Q1046:R1046"/>
    <mergeCell ref="C1047:D1047"/>
    <mergeCell ref="Q1047:R1047"/>
    <mergeCell ref="C1048:D1048"/>
    <mergeCell ref="Q1048:R1048"/>
    <mergeCell ref="C1049:D1049"/>
    <mergeCell ref="Q1049:R1049"/>
    <mergeCell ref="C1050:D1050"/>
    <mergeCell ref="Q1050:R1050"/>
    <mergeCell ref="C1051:D1051"/>
    <mergeCell ref="Q1051:R1051"/>
    <mergeCell ref="C1052:D1052"/>
    <mergeCell ref="Q1052:R1052"/>
    <mergeCell ref="C1053:D1053"/>
    <mergeCell ref="Q1053:R1053"/>
    <mergeCell ref="C1054:D1054"/>
    <mergeCell ref="Q1054:R1054"/>
    <mergeCell ref="C1055:D1055"/>
    <mergeCell ref="Q1055:R1055"/>
    <mergeCell ref="C1056:D1056"/>
    <mergeCell ref="Q1056:R1056"/>
    <mergeCell ref="C1057:D1057"/>
    <mergeCell ref="Q1057:R1057"/>
    <mergeCell ref="C1058:D1058"/>
    <mergeCell ref="Q1058:R1058"/>
    <mergeCell ref="C1059:D1059"/>
    <mergeCell ref="Q1059:R1059"/>
    <mergeCell ref="C1060:D1060"/>
    <mergeCell ref="Q1060:R1060"/>
    <mergeCell ref="C1061:D1061"/>
    <mergeCell ref="Q1061:R1061"/>
    <mergeCell ref="C1062:D1062"/>
    <mergeCell ref="Q1062:R1062"/>
    <mergeCell ref="C1063:D1063"/>
    <mergeCell ref="Q1063:R1063"/>
    <mergeCell ref="C1064:D1064"/>
    <mergeCell ref="Q1064:R1064"/>
    <mergeCell ref="C1065:D1065"/>
    <mergeCell ref="Q1065:R1065"/>
    <mergeCell ref="C1066:D1066"/>
    <mergeCell ref="Q1066:R1066"/>
    <mergeCell ref="C1067:D1067"/>
    <mergeCell ref="Q1067:R1067"/>
    <mergeCell ref="C1068:D1068"/>
    <mergeCell ref="Q1068:R1068"/>
    <mergeCell ref="C1069:D1069"/>
    <mergeCell ref="Q1069:R1069"/>
    <mergeCell ref="C1070:D1070"/>
    <mergeCell ref="Q1070:R1070"/>
    <mergeCell ref="C1071:D1071"/>
    <mergeCell ref="Q1071:R1071"/>
    <mergeCell ref="C1072:D1072"/>
    <mergeCell ref="Q1072:R1072"/>
    <mergeCell ref="C1073:D1073"/>
    <mergeCell ref="Q1073:R1073"/>
    <mergeCell ref="C1074:D1074"/>
    <mergeCell ref="Q1074:R1074"/>
    <mergeCell ref="C1075:D1075"/>
    <mergeCell ref="Q1075:R1075"/>
    <mergeCell ref="C1076:D1076"/>
    <mergeCell ref="Q1076:R1076"/>
    <mergeCell ref="C1077:D1077"/>
    <mergeCell ref="Q1077:R1077"/>
    <mergeCell ref="C1078:D1078"/>
    <mergeCell ref="Q1078:R1078"/>
    <mergeCell ref="C1079:D1079"/>
    <mergeCell ref="Q1079:R1079"/>
    <mergeCell ref="C1080:D1080"/>
    <mergeCell ref="Q1080:R1080"/>
    <mergeCell ref="C1081:D1081"/>
    <mergeCell ref="Q1081:R1081"/>
    <mergeCell ref="C1082:D1082"/>
    <mergeCell ref="Q1082:R1082"/>
    <mergeCell ref="C1083:D1083"/>
    <mergeCell ref="Q1083:R1083"/>
    <mergeCell ref="C1084:D1084"/>
    <mergeCell ref="Q1084:R1084"/>
    <mergeCell ref="C1085:D1085"/>
    <mergeCell ref="Q1085:R1085"/>
    <mergeCell ref="C1086:D1086"/>
    <mergeCell ref="Q1086:R1086"/>
    <mergeCell ref="C1087:D1087"/>
    <mergeCell ref="Q1087:R1087"/>
    <mergeCell ref="C1088:D1088"/>
    <mergeCell ref="Q1088:R1088"/>
    <mergeCell ref="C1089:D1089"/>
    <mergeCell ref="Q1089:R1089"/>
    <mergeCell ref="C1090:D1090"/>
    <mergeCell ref="Q1090:R1090"/>
    <mergeCell ref="C1091:D1091"/>
    <mergeCell ref="Q1091:R1091"/>
    <mergeCell ref="C1092:D1092"/>
    <mergeCell ref="Q1092:R1092"/>
    <mergeCell ref="C1093:D1093"/>
    <mergeCell ref="Q1093:R1093"/>
    <mergeCell ref="C1094:D1094"/>
    <mergeCell ref="Q1094:R1094"/>
    <mergeCell ref="C1095:D1095"/>
    <mergeCell ref="Q1095:R1095"/>
    <mergeCell ref="C1096:D1096"/>
    <mergeCell ref="Q1096:R1096"/>
    <mergeCell ref="C1097:D1097"/>
    <mergeCell ref="Q1097:R1097"/>
    <mergeCell ref="C1098:D1098"/>
    <mergeCell ref="Q1098:R1098"/>
    <mergeCell ref="C1099:D1099"/>
    <mergeCell ref="Q1099:R1099"/>
    <mergeCell ref="C1100:D1100"/>
    <mergeCell ref="Q1100:R1100"/>
    <mergeCell ref="C1101:D1101"/>
    <mergeCell ref="Q1101:R1101"/>
    <mergeCell ref="C1102:D1102"/>
    <mergeCell ref="Q1102:R1102"/>
    <mergeCell ref="C1103:D1103"/>
    <mergeCell ref="Q1103:R1103"/>
    <mergeCell ref="C1104:D1104"/>
    <mergeCell ref="Q1104:R1104"/>
    <mergeCell ref="C1105:D1105"/>
    <mergeCell ref="Q1105:R1105"/>
    <mergeCell ref="C1106:D1106"/>
    <mergeCell ref="Q1106:R1106"/>
    <mergeCell ref="C1107:D1107"/>
    <mergeCell ref="Q1107:R1107"/>
    <mergeCell ref="C1108:D1108"/>
    <mergeCell ref="Q1108:R1108"/>
    <mergeCell ref="C1109:D1109"/>
    <mergeCell ref="Q1109:R1109"/>
    <mergeCell ref="C1110:D1110"/>
    <mergeCell ref="Q1110:R1110"/>
    <mergeCell ref="C1111:D1111"/>
    <mergeCell ref="Q1111:R1111"/>
    <mergeCell ref="C1112:D1112"/>
    <mergeCell ref="Q1112:R1112"/>
    <mergeCell ref="C1113:D1113"/>
    <mergeCell ref="Q1113:R1113"/>
    <mergeCell ref="C1114:D1114"/>
    <mergeCell ref="Q1114:R1114"/>
    <mergeCell ref="C1115:D1115"/>
    <mergeCell ref="Q1115:R1115"/>
    <mergeCell ref="C1116:D1116"/>
    <mergeCell ref="Q1116:R1116"/>
    <mergeCell ref="C1117:D1117"/>
    <mergeCell ref="Q1117:R1117"/>
    <mergeCell ref="C1118:D1118"/>
    <mergeCell ref="Q1118:R1118"/>
    <mergeCell ref="C1119:D1119"/>
    <mergeCell ref="Q1119:R1119"/>
    <mergeCell ref="C1120:D1120"/>
    <mergeCell ref="Q1120:R1120"/>
    <mergeCell ref="C1121:D1121"/>
    <mergeCell ref="Q1121:R1121"/>
    <mergeCell ref="C1122:D1122"/>
    <mergeCell ref="Q1122:R1122"/>
    <mergeCell ref="C1123:D1123"/>
    <mergeCell ref="Q1123:R1123"/>
    <mergeCell ref="C1124:D1124"/>
    <mergeCell ref="Q1124:R1124"/>
    <mergeCell ref="C1125:D1125"/>
    <mergeCell ref="Q1125:R1125"/>
    <mergeCell ref="C1126:D1126"/>
    <mergeCell ref="Q1126:R1126"/>
    <mergeCell ref="C1127:D1127"/>
    <mergeCell ref="Q1127:R1127"/>
    <mergeCell ref="C1128:D1128"/>
    <mergeCell ref="Q1128:R1128"/>
    <mergeCell ref="C1129:D1129"/>
    <mergeCell ref="Q1129:R1129"/>
    <mergeCell ref="C1130:D1130"/>
    <mergeCell ref="Q1130:R1130"/>
    <mergeCell ref="C1131:D1131"/>
    <mergeCell ref="Q1131:R1131"/>
    <mergeCell ref="C1132:D1132"/>
    <mergeCell ref="Q1132:R1132"/>
    <mergeCell ref="C1133:D1133"/>
    <mergeCell ref="Q1133:R1133"/>
    <mergeCell ref="C1134:D1134"/>
    <mergeCell ref="Q1134:R1134"/>
    <mergeCell ref="C1135:D1135"/>
    <mergeCell ref="Q1135:R1135"/>
    <mergeCell ref="C1136:D1136"/>
    <mergeCell ref="Q1136:R1136"/>
    <mergeCell ref="C1137:D1137"/>
    <mergeCell ref="Q1137:R1137"/>
    <mergeCell ref="C1138:D1138"/>
    <mergeCell ref="Q1138:R1138"/>
    <mergeCell ref="C1139:D1139"/>
    <mergeCell ref="Q1139:R1139"/>
    <mergeCell ref="C1140:D1140"/>
    <mergeCell ref="Q1140:R1140"/>
    <mergeCell ref="C1141:D1141"/>
    <mergeCell ref="Q1141:R1141"/>
    <mergeCell ref="C1142:D1142"/>
    <mergeCell ref="Q1142:R1142"/>
    <mergeCell ref="C1143:D1143"/>
    <mergeCell ref="Q1143:R1143"/>
    <mergeCell ref="C1144:D1144"/>
    <mergeCell ref="Q1144:R1144"/>
    <mergeCell ref="C1145:D1145"/>
    <mergeCell ref="Q1145:R1145"/>
    <mergeCell ref="C1146:D1146"/>
    <mergeCell ref="Q1146:R1146"/>
    <mergeCell ref="C1147:D1147"/>
    <mergeCell ref="Q1147:R1147"/>
    <mergeCell ref="C1148:D1148"/>
    <mergeCell ref="Q1148:R1148"/>
    <mergeCell ref="C1149:D1149"/>
    <mergeCell ref="Q1149:R1149"/>
    <mergeCell ref="C1150:D1150"/>
    <mergeCell ref="Q1150:R1150"/>
    <mergeCell ref="C1151:D1151"/>
    <mergeCell ref="Q1151:R1151"/>
    <mergeCell ref="C1152:D1152"/>
    <mergeCell ref="Q1152:R1152"/>
    <mergeCell ref="C1153:D1153"/>
    <mergeCell ref="Q1153:R1153"/>
    <mergeCell ref="C1154:D1154"/>
    <mergeCell ref="Q1154:R1154"/>
    <mergeCell ref="C1155:D1155"/>
    <mergeCell ref="Q1155:R1155"/>
    <mergeCell ref="C1156:D1156"/>
    <mergeCell ref="Q1156:R1156"/>
    <mergeCell ref="C1157:D1157"/>
    <mergeCell ref="Q1157:R1157"/>
    <mergeCell ref="C1158:D1158"/>
    <mergeCell ref="Q1158:R1158"/>
    <mergeCell ref="C1159:D1159"/>
    <mergeCell ref="Q1159:R1159"/>
    <mergeCell ref="C1160:D1160"/>
    <mergeCell ref="Q1160:R1160"/>
    <mergeCell ref="C1161:D1161"/>
    <mergeCell ref="Q1161:R1161"/>
    <mergeCell ref="C1162:D1162"/>
    <mergeCell ref="Q1162:R1162"/>
    <mergeCell ref="C1163:D1163"/>
    <mergeCell ref="Q1163:R1163"/>
    <mergeCell ref="C1164:D1164"/>
    <mergeCell ref="Q1164:R1164"/>
    <mergeCell ref="C1165:D1165"/>
    <mergeCell ref="Q1165:R1165"/>
    <mergeCell ref="C1166:D1166"/>
    <mergeCell ref="Q1166:R1166"/>
    <mergeCell ref="C1167:D1167"/>
    <mergeCell ref="Q1167:R1167"/>
    <mergeCell ref="C1168:D1168"/>
    <mergeCell ref="Q1168:R1168"/>
    <mergeCell ref="C1169:D1169"/>
    <mergeCell ref="Q1169:R1169"/>
    <mergeCell ref="C1170:D1170"/>
    <mergeCell ref="Q1170:R1170"/>
    <mergeCell ref="C1171:D1171"/>
    <mergeCell ref="Q1171:R1171"/>
    <mergeCell ref="C1172:D1172"/>
    <mergeCell ref="Q1172:R1172"/>
    <mergeCell ref="C1173:D1173"/>
    <mergeCell ref="Q1173:R1173"/>
    <mergeCell ref="C1174:D1174"/>
    <mergeCell ref="Q1174:R1174"/>
    <mergeCell ref="C1175:D1175"/>
    <mergeCell ref="Q1175:R1175"/>
    <mergeCell ref="C1176:D1176"/>
    <mergeCell ref="Q1176:R1176"/>
    <mergeCell ref="C1177:D1177"/>
    <mergeCell ref="Q1177:R1177"/>
    <mergeCell ref="C1178:D1178"/>
    <mergeCell ref="Q1178:R1178"/>
    <mergeCell ref="C1179:D1179"/>
    <mergeCell ref="Q1179:R1179"/>
    <mergeCell ref="C1180:D1180"/>
    <mergeCell ref="Q1180:R1180"/>
    <mergeCell ref="C1181:D1181"/>
    <mergeCell ref="Q1181:R1181"/>
    <mergeCell ref="C1182:D1182"/>
    <mergeCell ref="Q1182:R1182"/>
    <mergeCell ref="C1183:D1183"/>
    <mergeCell ref="Q1183:R1183"/>
    <mergeCell ref="C1184:D1184"/>
    <mergeCell ref="Q1184:R1184"/>
    <mergeCell ref="C1185:D1185"/>
    <mergeCell ref="Q1185:R1185"/>
    <mergeCell ref="C1186:D1186"/>
    <mergeCell ref="Q1186:R1186"/>
    <mergeCell ref="C1187:D1187"/>
    <mergeCell ref="Q1187:R1187"/>
    <mergeCell ref="C1188:D1188"/>
    <mergeCell ref="Q1188:R1188"/>
    <mergeCell ref="C1189:D1189"/>
    <mergeCell ref="Q1189:R1189"/>
    <mergeCell ref="C1190:D1190"/>
    <mergeCell ref="Q1190:R1190"/>
    <mergeCell ref="C1191:D1191"/>
    <mergeCell ref="Q1191:R1191"/>
    <mergeCell ref="C1192:D1192"/>
    <mergeCell ref="Q1192:R1192"/>
    <mergeCell ref="C1193:D1193"/>
    <mergeCell ref="Q1193:R1193"/>
    <mergeCell ref="C1194:D1194"/>
    <mergeCell ref="Q1194:R1194"/>
    <mergeCell ref="C1195:D1195"/>
    <mergeCell ref="Q1195:R1195"/>
    <mergeCell ref="C1196:D1196"/>
    <mergeCell ref="Q1196:R1196"/>
    <mergeCell ref="C1197:D1197"/>
    <mergeCell ref="Q1197:R1197"/>
    <mergeCell ref="C1198:D1198"/>
    <mergeCell ref="Q1198:R1198"/>
    <mergeCell ref="C1199:D1199"/>
    <mergeCell ref="Q1199:R1199"/>
    <mergeCell ref="C1200:D1200"/>
    <mergeCell ref="Q1200:R1200"/>
    <mergeCell ref="C1201:D1201"/>
    <mergeCell ref="Q1201:R1201"/>
    <mergeCell ref="C1202:D1202"/>
    <mergeCell ref="Q1202:R1202"/>
    <mergeCell ref="C1203:D1203"/>
    <mergeCell ref="Q1203:R1203"/>
    <mergeCell ref="C1204:D1204"/>
    <mergeCell ref="Q1204:R1204"/>
    <mergeCell ref="C1205:D1205"/>
    <mergeCell ref="Q1205:R1205"/>
    <mergeCell ref="C1206:D1206"/>
    <mergeCell ref="Q1206:R1206"/>
    <mergeCell ref="C1207:D1207"/>
    <mergeCell ref="Q1207:R1207"/>
    <mergeCell ref="C1208:D1208"/>
    <mergeCell ref="Q1208:R1208"/>
    <mergeCell ref="C1209:D1209"/>
    <mergeCell ref="Q1209:R1209"/>
    <mergeCell ref="C1210:D1210"/>
    <mergeCell ref="Q1210:R1210"/>
    <mergeCell ref="C1211:D1211"/>
    <mergeCell ref="Q1211:R1211"/>
    <mergeCell ref="C1212:D1212"/>
    <mergeCell ref="Q1212:R1212"/>
    <mergeCell ref="C1213:D1213"/>
    <mergeCell ref="Q1213:R1213"/>
    <mergeCell ref="C1214:D1214"/>
    <mergeCell ref="Q1214:R1214"/>
    <mergeCell ref="C1215:D1215"/>
    <mergeCell ref="Q1215:R1215"/>
    <mergeCell ref="C1216:D1216"/>
    <mergeCell ref="Q1216:R1216"/>
    <mergeCell ref="C1217:D1217"/>
    <mergeCell ref="Q1217:R1217"/>
    <mergeCell ref="C1218:D1218"/>
    <mergeCell ref="Q1218:R1218"/>
    <mergeCell ref="C1219:D1219"/>
    <mergeCell ref="Q1219:R1219"/>
    <mergeCell ref="C1220:D1220"/>
    <mergeCell ref="Q1220:R1220"/>
    <mergeCell ref="C1221:D1221"/>
    <mergeCell ref="Q1221:R1221"/>
    <mergeCell ref="C1222:D1222"/>
    <mergeCell ref="Q1222:R1222"/>
    <mergeCell ref="C1223:D1223"/>
    <mergeCell ref="Q1223:R1223"/>
    <mergeCell ref="C1224:D1224"/>
    <mergeCell ref="Q1224:R1224"/>
    <mergeCell ref="C1225:D1225"/>
    <mergeCell ref="Q1225:R1225"/>
    <mergeCell ref="C1226:D1226"/>
    <mergeCell ref="Q1226:R1226"/>
    <mergeCell ref="C1227:D1227"/>
    <mergeCell ref="Q1227:R1227"/>
    <mergeCell ref="C1228:D1228"/>
    <mergeCell ref="Q1228:R1228"/>
    <mergeCell ref="C1229:D1229"/>
    <mergeCell ref="Q1229:R1229"/>
    <mergeCell ref="C1230:D1230"/>
    <mergeCell ref="Q1230:R1230"/>
    <mergeCell ref="C1231:D1231"/>
    <mergeCell ref="Q1231:R1231"/>
    <mergeCell ref="C1232:D1232"/>
    <mergeCell ref="Q1232:R1232"/>
    <mergeCell ref="C1233:D1233"/>
    <mergeCell ref="Q1233:R1233"/>
    <mergeCell ref="C1234:D1234"/>
    <mergeCell ref="Q1234:R1234"/>
    <mergeCell ref="C1235:D1235"/>
    <mergeCell ref="Q1235:R1235"/>
    <mergeCell ref="C1236:D1236"/>
    <mergeCell ref="Q1236:R1236"/>
    <mergeCell ref="C1237:D1237"/>
    <mergeCell ref="Q1237:R1237"/>
    <mergeCell ref="C1238:D1238"/>
    <mergeCell ref="Q1238:R1238"/>
    <mergeCell ref="C1239:D1239"/>
    <mergeCell ref="Q1239:R1239"/>
    <mergeCell ref="C1240:D1240"/>
    <mergeCell ref="Q1240:R1240"/>
    <mergeCell ref="C1241:D1241"/>
    <mergeCell ref="Q1241:R1241"/>
    <mergeCell ref="C1242:D1242"/>
    <mergeCell ref="Q1242:R1242"/>
    <mergeCell ref="C1243:D1243"/>
    <mergeCell ref="Q1243:R1243"/>
    <mergeCell ref="C1244:D1244"/>
    <mergeCell ref="Q1244:R1244"/>
    <mergeCell ref="C1245:D1245"/>
    <mergeCell ref="Q1245:R1245"/>
    <mergeCell ref="C1246:D1246"/>
    <mergeCell ref="Q1246:R1246"/>
    <mergeCell ref="C1247:D1247"/>
    <mergeCell ref="Q1247:R1247"/>
    <mergeCell ref="C1248:D1248"/>
    <mergeCell ref="Q1248:R1248"/>
    <mergeCell ref="C1249:D1249"/>
    <mergeCell ref="Q1249:R1249"/>
    <mergeCell ref="C1250:D1250"/>
    <mergeCell ref="Q1250:R1250"/>
    <mergeCell ref="C1251:D1251"/>
    <mergeCell ref="Q1251:R1251"/>
    <mergeCell ref="C1252:D1252"/>
    <mergeCell ref="Q1252:R1252"/>
    <mergeCell ref="C1253:D1253"/>
    <mergeCell ref="Q1253:R1253"/>
    <mergeCell ref="C1254:D1254"/>
    <mergeCell ref="Q1254:R1254"/>
    <mergeCell ref="C1255:D1255"/>
    <mergeCell ref="Q1255:R1255"/>
    <mergeCell ref="C1256:D1256"/>
    <mergeCell ref="Q1256:R1256"/>
    <mergeCell ref="C1257:D1257"/>
    <mergeCell ref="Q1257:R1257"/>
    <mergeCell ref="C1258:D1258"/>
    <mergeCell ref="Q1258:R1258"/>
    <mergeCell ref="C1259:D1259"/>
    <mergeCell ref="Q1259:R1259"/>
    <mergeCell ref="C1260:D1260"/>
    <mergeCell ref="Q1260:R1260"/>
    <mergeCell ref="C1261:D1261"/>
    <mergeCell ref="Q1261:R1261"/>
    <mergeCell ref="C1262:D1262"/>
    <mergeCell ref="Q1262:R1262"/>
    <mergeCell ref="C1263:D1263"/>
    <mergeCell ref="Q1263:R1263"/>
    <mergeCell ref="C1264:D1264"/>
    <mergeCell ref="Q1264:R1264"/>
    <mergeCell ref="C1265:D1265"/>
    <mergeCell ref="Q1265:R1265"/>
    <mergeCell ref="C1266:D1266"/>
    <mergeCell ref="Q1266:R1266"/>
    <mergeCell ref="C1267:D1267"/>
    <mergeCell ref="Q1267:R1267"/>
    <mergeCell ref="C1268:D1268"/>
    <mergeCell ref="Q1268:R1268"/>
    <mergeCell ref="C1269:D1269"/>
    <mergeCell ref="Q1269:R1269"/>
    <mergeCell ref="C1270:D1270"/>
    <mergeCell ref="Q1270:R1270"/>
    <mergeCell ref="C1271:D1271"/>
    <mergeCell ref="Q1271:R1271"/>
    <mergeCell ref="C1272:D1272"/>
    <mergeCell ref="Q1272:R1272"/>
    <mergeCell ref="C1273:D1273"/>
    <mergeCell ref="Q1273:R1273"/>
    <mergeCell ref="C1274:D1274"/>
    <mergeCell ref="Q1274:R1274"/>
    <mergeCell ref="C1275:D1275"/>
    <mergeCell ref="Q1275:R1275"/>
    <mergeCell ref="C1276:D1276"/>
    <mergeCell ref="Q1276:R1276"/>
    <mergeCell ref="C1277:D1277"/>
    <mergeCell ref="Q1277:R1277"/>
    <mergeCell ref="C1278:D1278"/>
    <mergeCell ref="Q1278:R1278"/>
    <mergeCell ref="C1279:D1279"/>
    <mergeCell ref="Q1279:R1279"/>
    <mergeCell ref="C1280:D1280"/>
    <mergeCell ref="Q1280:R1280"/>
    <mergeCell ref="C1281:D1281"/>
    <mergeCell ref="Q1281:R1281"/>
    <mergeCell ref="C1282:D1282"/>
    <mergeCell ref="Q1282:R1282"/>
    <mergeCell ref="C1283:D1283"/>
    <mergeCell ref="Q1283:R1283"/>
    <mergeCell ref="C1284:D1284"/>
    <mergeCell ref="Q1284:R1284"/>
    <mergeCell ref="C1285:D1285"/>
    <mergeCell ref="Q1285:R1285"/>
    <mergeCell ref="C1286:D1286"/>
    <mergeCell ref="Q1286:R1286"/>
    <mergeCell ref="C1287:D1287"/>
    <mergeCell ref="Q1287:R1287"/>
    <mergeCell ref="C1288:D1288"/>
    <mergeCell ref="Q1288:R1288"/>
    <mergeCell ref="C1289:D1289"/>
    <mergeCell ref="Q1289:R1289"/>
    <mergeCell ref="C1290:D1290"/>
    <mergeCell ref="Q1290:R1290"/>
    <mergeCell ref="C1291:D1291"/>
    <mergeCell ref="Q1291:R1291"/>
    <mergeCell ref="C1292:D1292"/>
    <mergeCell ref="Q1292:R1292"/>
    <mergeCell ref="C1293:D1293"/>
    <mergeCell ref="Q1293:R1293"/>
    <mergeCell ref="C1294:D1294"/>
    <mergeCell ref="Q1294:R1294"/>
    <mergeCell ref="C1295:D1295"/>
    <mergeCell ref="Q1295:R1295"/>
    <mergeCell ref="C1296:D1296"/>
    <mergeCell ref="Q1296:R1296"/>
    <mergeCell ref="C1297:D1297"/>
    <mergeCell ref="Q1297:R1297"/>
    <mergeCell ref="C1298:D1298"/>
    <mergeCell ref="Q1298:R1298"/>
    <mergeCell ref="C1299:D1299"/>
    <mergeCell ref="Q1299:R1299"/>
    <mergeCell ref="C1300:D1300"/>
    <mergeCell ref="Q1300:R1300"/>
    <mergeCell ref="C1301:D1301"/>
    <mergeCell ref="Q1301:R1301"/>
    <mergeCell ref="C1302:D1302"/>
    <mergeCell ref="Q1302:R1302"/>
    <mergeCell ref="C1303:D1303"/>
    <mergeCell ref="Q1303:R1303"/>
    <mergeCell ref="C1304:D1304"/>
    <mergeCell ref="Q1304:R1304"/>
    <mergeCell ref="C1305:D1305"/>
    <mergeCell ref="Q1305:R1305"/>
    <mergeCell ref="C1306:D1306"/>
    <mergeCell ref="Q1306:R1306"/>
    <mergeCell ref="C1307:D1307"/>
    <mergeCell ref="Q1307:R1307"/>
    <mergeCell ref="C1308:D1308"/>
    <mergeCell ref="Q1308:R1308"/>
    <mergeCell ref="C1309:D1309"/>
    <mergeCell ref="Q1309:R1309"/>
    <mergeCell ref="C1310:D1310"/>
    <mergeCell ref="Q1310:R1310"/>
    <mergeCell ref="C1311:D1311"/>
    <mergeCell ref="Q1311:R1311"/>
    <mergeCell ref="C1312:D1312"/>
    <mergeCell ref="Q1312:R1312"/>
    <mergeCell ref="C1313:D1313"/>
    <mergeCell ref="Q1313:R1313"/>
    <mergeCell ref="C1314:D1314"/>
    <mergeCell ref="Q1314:R1314"/>
    <mergeCell ref="C1315:D1315"/>
    <mergeCell ref="Q1315:R1315"/>
    <mergeCell ref="C1316:D1316"/>
    <mergeCell ref="Q1316:R1316"/>
    <mergeCell ref="C1317:D1317"/>
    <mergeCell ref="Q1317:R1317"/>
    <mergeCell ref="C1318:D1318"/>
    <mergeCell ref="Q1318:R1318"/>
    <mergeCell ref="C1319:D1319"/>
    <mergeCell ref="Q1319:R1319"/>
    <mergeCell ref="C1320:D1320"/>
    <mergeCell ref="Q1320:R1320"/>
    <mergeCell ref="C1321:D1321"/>
    <mergeCell ref="Q1321:R1321"/>
    <mergeCell ref="C1322:D1322"/>
    <mergeCell ref="Q1322:R1322"/>
    <mergeCell ref="C1323:D1323"/>
    <mergeCell ref="Q1323:R1323"/>
    <mergeCell ref="C1324:D1324"/>
    <mergeCell ref="Q1324:R1324"/>
    <mergeCell ref="C1325:D1325"/>
    <mergeCell ref="Q1325:R1325"/>
    <mergeCell ref="C1326:D1326"/>
    <mergeCell ref="Q1326:R1326"/>
    <mergeCell ref="C1327:D1327"/>
    <mergeCell ref="Q1327:R1327"/>
    <mergeCell ref="C1328:D1328"/>
    <mergeCell ref="Q1328:R1328"/>
    <mergeCell ref="C1329:D1329"/>
    <mergeCell ref="Q1329:R1329"/>
    <mergeCell ref="C1330:D1330"/>
    <mergeCell ref="Q1330:R1330"/>
    <mergeCell ref="C1331:D1331"/>
    <mergeCell ref="Q1331:R1331"/>
    <mergeCell ref="C1332:D1332"/>
    <mergeCell ref="Q1332:R1332"/>
    <mergeCell ref="C1333:D1333"/>
    <mergeCell ref="Q1333:R1333"/>
    <mergeCell ref="C1334:D1334"/>
    <mergeCell ref="Q1334:R1334"/>
    <mergeCell ref="C1335:D1335"/>
    <mergeCell ref="Q1335:R1335"/>
    <mergeCell ref="C1336:D1336"/>
    <mergeCell ref="Q1336:R1336"/>
    <mergeCell ref="C1337:D1337"/>
    <mergeCell ref="Q1337:R1337"/>
    <mergeCell ref="C1338:D1338"/>
    <mergeCell ref="Q1338:R1338"/>
    <mergeCell ref="C1339:D1339"/>
    <mergeCell ref="Q1339:R1339"/>
    <mergeCell ref="C1340:D1340"/>
    <mergeCell ref="Q1340:R1340"/>
    <mergeCell ref="C1341:D1341"/>
    <mergeCell ref="Q1341:R1341"/>
    <mergeCell ref="C1342:D1342"/>
    <mergeCell ref="Q1342:R1342"/>
    <mergeCell ref="C1343:D1343"/>
    <mergeCell ref="Q1343:R1343"/>
    <mergeCell ref="C1344:D1344"/>
    <mergeCell ref="Q1344:R1344"/>
    <mergeCell ref="C1345:D1345"/>
    <mergeCell ref="Q1345:R1345"/>
    <mergeCell ref="C1346:D1346"/>
    <mergeCell ref="Q1346:R1346"/>
    <mergeCell ref="C1347:D1347"/>
    <mergeCell ref="Q1347:R1347"/>
    <mergeCell ref="C1348:D1348"/>
    <mergeCell ref="Q1348:R1348"/>
    <mergeCell ref="C1349:D1349"/>
    <mergeCell ref="Q1349:R1349"/>
    <mergeCell ref="C1350:D1350"/>
    <mergeCell ref="Q1350:R1350"/>
    <mergeCell ref="C1351:D1351"/>
    <mergeCell ref="Q1351:R1351"/>
    <mergeCell ref="C1352:D1352"/>
    <mergeCell ref="Q1352:R1352"/>
    <mergeCell ref="C1353:D1353"/>
    <mergeCell ref="Q1353:R1353"/>
    <mergeCell ref="C1354:D1354"/>
    <mergeCell ref="Q1354:R1354"/>
    <mergeCell ref="C1355:D1355"/>
    <mergeCell ref="Q1355:R1355"/>
    <mergeCell ref="C1356:D1356"/>
    <mergeCell ref="Q1356:R1356"/>
    <mergeCell ref="C1357:D1357"/>
    <mergeCell ref="Q1357:R1357"/>
    <mergeCell ref="C1358:D1358"/>
    <mergeCell ref="Q1358:R1358"/>
    <mergeCell ref="C1359:D1359"/>
    <mergeCell ref="Q1359:R1359"/>
    <mergeCell ref="C1360:D1360"/>
    <mergeCell ref="Q1360:R1360"/>
    <mergeCell ref="C1361:D1361"/>
    <mergeCell ref="Q1361:R1361"/>
    <mergeCell ref="C1362:D1362"/>
    <mergeCell ref="Q1362:R1362"/>
    <mergeCell ref="C1363:D1363"/>
    <mergeCell ref="Q1363:R1363"/>
    <mergeCell ref="C1364:D1364"/>
    <mergeCell ref="Q1364:R1364"/>
    <mergeCell ref="C1365:D1365"/>
    <mergeCell ref="Q1365:R1365"/>
    <mergeCell ref="C1366:D1366"/>
    <mergeCell ref="Q1366:R1366"/>
    <mergeCell ref="C1367:D1367"/>
    <mergeCell ref="Q1367:R1367"/>
    <mergeCell ref="C1368:D1368"/>
    <mergeCell ref="Q1368:R1368"/>
    <mergeCell ref="C1369:D1369"/>
    <mergeCell ref="Q1369:R1369"/>
    <mergeCell ref="C1370:D1370"/>
    <mergeCell ref="Q1370:R1370"/>
    <mergeCell ref="C1371:D1371"/>
    <mergeCell ref="Q1371:R1371"/>
    <mergeCell ref="C1372:D1372"/>
    <mergeCell ref="Q1372:R1372"/>
    <mergeCell ref="C1373:D1373"/>
    <mergeCell ref="Q1373:R1373"/>
    <mergeCell ref="C1374:D1374"/>
    <mergeCell ref="Q1374:R1374"/>
    <mergeCell ref="C1375:D1375"/>
    <mergeCell ref="Q1375:R1375"/>
    <mergeCell ref="C1376:D1376"/>
    <mergeCell ref="Q1376:R1376"/>
    <mergeCell ref="C1377:D1377"/>
    <mergeCell ref="Q1377:R1377"/>
    <mergeCell ref="C1378:D1378"/>
    <mergeCell ref="Q1378:R1378"/>
    <mergeCell ref="C1379:D1379"/>
    <mergeCell ref="Q1379:R1379"/>
    <mergeCell ref="C1380:D1380"/>
    <mergeCell ref="Q1380:R1380"/>
    <mergeCell ref="C1381:D1381"/>
    <mergeCell ref="Q1381:R1381"/>
    <mergeCell ref="C1382:D1382"/>
    <mergeCell ref="Q1382:R1382"/>
    <mergeCell ref="C1383:D1383"/>
    <mergeCell ref="Q1383:R1383"/>
    <mergeCell ref="C1384:D1384"/>
    <mergeCell ref="Q1384:R1384"/>
    <mergeCell ref="C1385:D1385"/>
    <mergeCell ref="Q1385:R1385"/>
    <mergeCell ref="C1386:D1386"/>
    <mergeCell ref="Q1386:R1386"/>
    <mergeCell ref="C1387:D1387"/>
    <mergeCell ref="Q1387:R1387"/>
    <mergeCell ref="C1388:D1388"/>
    <mergeCell ref="Q1388:R1388"/>
    <mergeCell ref="C1389:D1389"/>
    <mergeCell ref="Q1389:R1389"/>
    <mergeCell ref="C1390:D1390"/>
    <mergeCell ref="Q1390:R1390"/>
    <mergeCell ref="C1391:D1391"/>
    <mergeCell ref="Q1391:R1391"/>
    <mergeCell ref="C1392:D1392"/>
    <mergeCell ref="Q1392:R1392"/>
    <mergeCell ref="C1393:D1393"/>
    <mergeCell ref="Q1393:R1393"/>
    <mergeCell ref="C1394:D1394"/>
    <mergeCell ref="Q1394:R1394"/>
    <mergeCell ref="C1395:D1395"/>
    <mergeCell ref="Q1395:R1395"/>
    <mergeCell ref="C1396:D1396"/>
    <mergeCell ref="Q1396:R1396"/>
    <mergeCell ref="C1397:D1397"/>
    <mergeCell ref="Q1397:R1397"/>
    <mergeCell ref="C1398:D1398"/>
    <mergeCell ref="Q1398:R1398"/>
    <mergeCell ref="C1399:D1399"/>
    <mergeCell ref="Q1399:R1399"/>
    <mergeCell ref="C1400:D1400"/>
    <mergeCell ref="Q1400:R1400"/>
    <mergeCell ref="C1401:D1401"/>
    <mergeCell ref="Q1401:R1401"/>
    <mergeCell ref="C1402:D1402"/>
    <mergeCell ref="Q1402:R1402"/>
    <mergeCell ref="C1403:D1403"/>
    <mergeCell ref="Q1403:R1403"/>
    <mergeCell ref="C1404:D1404"/>
    <mergeCell ref="Q1404:R1404"/>
    <mergeCell ref="C1405:D1405"/>
    <mergeCell ref="Q1405:R1405"/>
    <mergeCell ref="C1406:D1406"/>
    <mergeCell ref="Q1406:R1406"/>
    <mergeCell ref="C1407:D1407"/>
    <mergeCell ref="Q1407:R1407"/>
    <mergeCell ref="C1408:D1408"/>
    <mergeCell ref="Q1408:R1408"/>
    <mergeCell ref="C1409:D1409"/>
    <mergeCell ref="Q1409:R1409"/>
    <mergeCell ref="C1410:D1410"/>
    <mergeCell ref="Q1410:R1410"/>
    <mergeCell ref="C1411:D1411"/>
    <mergeCell ref="Q1411:R1411"/>
    <mergeCell ref="C1412:D1412"/>
    <mergeCell ref="Q1412:R1412"/>
    <mergeCell ref="C1413:D1413"/>
    <mergeCell ref="Q1413:R1413"/>
    <mergeCell ref="C1414:D1414"/>
    <mergeCell ref="Q1414:R1414"/>
    <mergeCell ref="C1415:D1415"/>
    <mergeCell ref="Q1415:R1415"/>
    <mergeCell ref="C1416:D1416"/>
    <mergeCell ref="Q1416:R1416"/>
    <mergeCell ref="C1417:D1417"/>
    <mergeCell ref="Q1417:R1417"/>
    <mergeCell ref="C1418:D1418"/>
    <mergeCell ref="Q1418:R1418"/>
    <mergeCell ref="C1419:D1419"/>
    <mergeCell ref="Q1419:R1419"/>
    <mergeCell ref="C1420:D1420"/>
    <mergeCell ref="Q1420:R1420"/>
    <mergeCell ref="C1421:D1421"/>
    <mergeCell ref="Q1421:R1421"/>
    <mergeCell ref="C1422:D1422"/>
    <mergeCell ref="Q1422:R1422"/>
    <mergeCell ref="C1423:D1423"/>
    <mergeCell ref="Q1423:R1423"/>
    <mergeCell ref="C1424:D1424"/>
    <mergeCell ref="Q1424:R1424"/>
    <mergeCell ref="C1425:D1425"/>
    <mergeCell ref="Q1425:R1425"/>
    <mergeCell ref="C1426:D1426"/>
    <mergeCell ref="Q1426:R1426"/>
    <mergeCell ref="C1427:D1427"/>
    <mergeCell ref="Q1427:R1427"/>
    <mergeCell ref="C1428:D1428"/>
    <mergeCell ref="Q1428:R1428"/>
    <mergeCell ref="C1429:D1429"/>
    <mergeCell ref="Q1429:R1429"/>
    <mergeCell ref="C1430:D1430"/>
    <mergeCell ref="Q1430:R1430"/>
    <mergeCell ref="C1431:D1431"/>
    <mergeCell ref="Q1431:R1431"/>
    <mergeCell ref="C1432:D1432"/>
    <mergeCell ref="Q1432:R1432"/>
    <mergeCell ref="C1433:D1433"/>
    <mergeCell ref="Q1433:R1433"/>
    <mergeCell ref="C1434:D1434"/>
    <mergeCell ref="Q1434:R1434"/>
    <mergeCell ref="C1435:D1435"/>
    <mergeCell ref="Q1435:R1435"/>
    <mergeCell ref="C1436:D1436"/>
    <mergeCell ref="Q1436:R1436"/>
    <mergeCell ref="C1437:D1437"/>
    <mergeCell ref="Q1437:R1437"/>
    <mergeCell ref="C1438:D1438"/>
    <mergeCell ref="Q1438:R1438"/>
    <mergeCell ref="C1439:D1439"/>
    <mergeCell ref="Q1439:R1439"/>
    <mergeCell ref="C1440:D1440"/>
    <mergeCell ref="Q1440:R1440"/>
    <mergeCell ref="C1441:D1441"/>
    <mergeCell ref="Q1441:R1441"/>
    <mergeCell ref="C1442:D1442"/>
    <mergeCell ref="Q1442:R1442"/>
    <mergeCell ref="C1443:D1443"/>
    <mergeCell ref="Q1443:R1443"/>
    <mergeCell ref="C1444:D1444"/>
    <mergeCell ref="Q1444:R1444"/>
    <mergeCell ref="C1445:D1445"/>
    <mergeCell ref="Q1445:R1445"/>
    <mergeCell ref="C1446:D1446"/>
    <mergeCell ref="Q1446:R1446"/>
    <mergeCell ref="C1447:D1447"/>
    <mergeCell ref="Q1447:R1447"/>
    <mergeCell ref="C1448:D1448"/>
    <mergeCell ref="Q1448:R1448"/>
    <mergeCell ref="C1449:D1449"/>
    <mergeCell ref="Q1449:R1449"/>
    <mergeCell ref="C1450:D1450"/>
    <mergeCell ref="Q1450:R1450"/>
    <mergeCell ref="C1451:D1451"/>
    <mergeCell ref="Q1451:R1451"/>
    <mergeCell ref="C1452:D1452"/>
    <mergeCell ref="Q1452:R1452"/>
    <mergeCell ref="C1453:D1453"/>
    <mergeCell ref="Q1453:R1453"/>
    <mergeCell ref="C1454:D1454"/>
    <mergeCell ref="Q1454:R1454"/>
    <mergeCell ref="C1455:D1455"/>
    <mergeCell ref="Q1455:R1455"/>
    <mergeCell ref="C1456:D1456"/>
    <mergeCell ref="Q1456:R1456"/>
    <mergeCell ref="C1457:D1457"/>
    <mergeCell ref="Q1457:R1457"/>
    <mergeCell ref="C1458:D1458"/>
    <mergeCell ref="Q1458:R1458"/>
    <mergeCell ref="C1459:D1459"/>
    <mergeCell ref="Q1459:R1459"/>
    <mergeCell ref="C1460:D1460"/>
    <mergeCell ref="Q1460:R1460"/>
    <mergeCell ref="C1461:D1461"/>
    <mergeCell ref="Q1461:R1461"/>
    <mergeCell ref="C1462:D1462"/>
    <mergeCell ref="Q1462:R1462"/>
    <mergeCell ref="C1463:D1463"/>
    <mergeCell ref="Q1463:R1463"/>
    <mergeCell ref="C1464:D1464"/>
    <mergeCell ref="Q1464:R1464"/>
    <mergeCell ref="C1465:D1465"/>
    <mergeCell ref="Q1465:R1465"/>
    <mergeCell ref="C1466:D1466"/>
    <mergeCell ref="Q1466:R1466"/>
    <mergeCell ref="C1467:D1467"/>
    <mergeCell ref="Q1467:R1467"/>
    <mergeCell ref="C1468:D1468"/>
    <mergeCell ref="Q1468:R1468"/>
    <mergeCell ref="C1469:D1469"/>
    <mergeCell ref="Q1469:R1469"/>
    <mergeCell ref="C1470:D1470"/>
    <mergeCell ref="Q1470:R1470"/>
    <mergeCell ref="C1471:D1471"/>
    <mergeCell ref="Q1471:R1471"/>
    <mergeCell ref="C1472:D1472"/>
    <mergeCell ref="Q1472:R1472"/>
    <mergeCell ref="C1473:D1473"/>
    <mergeCell ref="Q1473:R1473"/>
    <mergeCell ref="C1474:D1474"/>
    <mergeCell ref="Q1474:R1474"/>
    <mergeCell ref="C1475:D1475"/>
    <mergeCell ref="Q1475:R1475"/>
    <mergeCell ref="C1476:D1476"/>
    <mergeCell ref="Q1476:R1476"/>
    <mergeCell ref="C1477:D1477"/>
    <mergeCell ref="Q1477:R1477"/>
    <mergeCell ref="C1478:D1478"/>
    <mergeCell ref="Q1478:R1478"/>
    <mergeCell ref="C1479:D1479"/>
    <mergeCell ref="Q1479:R1479"/>
    <mergeCell ref="C1480:D1480"/>
    <mergeCell ref="Q1480:R1480"/>
    <mergeCell ref="C1481:D1481"/>
    <mergeCell ref="Q1481:R1481"/>
    <mergeCell ref="C1482:D1482"/>
    <mergeCell ref="Q1482:R1482"/>
    <mergeCell ref="C1483:D1483"/>
    <mergeCell ref="Q1483:R1483"/>
    <mergeCell ref="C1484:D1484"/>
    <mergeCell ref="Q1484:R1484"/>
    <mergeCell ref="C1485:D1485"/>
    <mergeCell ref="Q1485:R1485"/>
    <mergeCell ref="C1486:D1486"/>
    <mergeCell ref="Q1486:R1486"/>
    <mergeCell ref="C1487:D1487"/>
    <mergeCell ref="Q1487:R1487"/>
    <mergeCell ref="C1488:D1488"/>
    <mergeCell ref="Q1488:R1488"/>
    <mergeCell ref="C1489:D1489"/>
    <mergeCell ref="Q1489:R1489"/>
    <mergeCell ref="C1490:D1490"/>
    <mergeCell ref="Q1490:R1490"/>
    <mergeCell ref="C1491:D1491"/>
    <mergeCell ref="Q1491:R1491"/>
    <mergeCell ref="C1492:D1492"/>
    <mergeCell ref="Q1492:R1492"/>
    <mergeCell ref="C1493:D1493"/>
    <mergeCell ref="Q1493:R1493"/>
    <mergeCell ref="C1494:D1494"/>
    <mergeCell ref="Q1494:R1494"/>
    <mergeCell ref="C1495:D1495"/>
    <mergeCell ref="Q1495:R1495"/>
    <mergeCell ref="C1496:D1496"/>
    <mergeCell ref="Q1496:R1496"/>
    <mergeCell ref="C1497:D1497"/>
    <mergeCell ref="Q1497:R1497"/>
    <mergeCell ref="C1498:D1498"/>
    <mergeCell ref="Q1498:R1498"/>
    <mergeCell ref="C1499:D1499"/>
    <mergeCell ref="Q1499:R1499"/>
    <mergeCell ref="C1500:D1500"/>
    <mergeCell ref="Q1500:R1500"/>
    <mergeCell ref="C1501:D1501"/>
    <mergeCell ref="Q1501:R1501"/>
    <mergeCell ref="C1502:D1502"/>
    <mergeCell ref="Q1502:R1502"/>
    <mergeCell ref="C1503:D1503"/>
    <mergeCell ref="Q1503:R1503"/>
    <mergeCell ref="C1504:D1504"/>
    <mergeCell ref="Q1504:R1504"/>
    <mergeCell ref="C1505:D1505"/>
    <mergeCell ref="Q1505:R1505"/>
    <mergeCell ref="C1506:D1506"/>
    <mergeCell ref="Q1506:R1506"/>
    <mergeCell ref="C1507:D1507"/>
    <mergeCell ref="Q1507:R1507"/>
    <mergeCell ref="C1508:D1508"/>
    <mergeCell ref="Q1508:R1508"/>
    <mergeCell ref="C1509:D1509"/>
    <mergeCell ref="Q1509:R1509"/>
    <mergeCell ref="C1510:D1510"/>
    <mergeCell ref="Q1510:R1510"/>
    <mergeCell ref="C1511:D1511"/>
    <mergeCell ref="Q1511:R1511"/>
    <mergeCell ref="C1512:D1512"/>
    <mergeCell ref="Q1512:R1512"/>
    <mergeCell ref="C1513:D1513"/>
    <mergeCell ref="Q1513:R1513"/>
    <mergeCell ref="C1514:D1514"/>
    <mergeCell ref="Q1514:R1514"/>
    <mergeCell ref="C1515:D1515"/>
    <mergeCell ref="Q1515:R1515"/>
    <mergeCell ref="C1516:D1516"/>
    <mergeCell ref="Q1516:R1516"/>
    <mergeCell ref="C1517:D1517"/>
    <mergeCell ref="Q1517:R1517"/>
    <mergeCell ref="C1518:D1518"/>
    <mergeCell ref="Q1518:R1518"/>
    <mergeCell ref="C1519:D1519"/>
    <mergeCell ref="Q1519:R1519"/>
    <mergeCell ref="C1520:D1520"/>
    <mergeCell ref="Q1520:R1520"/>
    <mergeCell ref="C1521:D1521"/>
    <mergeCell ref="Q1521:R1521"/>
    <mergeCell ref="C1522:D1522"/>
    <mergeCell ref="Q1522:R1522"/>
    <mergeCell ref="C1523:D1523"/>
    <mergeCell ref="Q1523:R1523"/>
    <mergeCell ref="C1524:D1524"/>
    <mergeCell ref="Q1524:R1524"/>
    <mergeCell ref="C1525:D1525"/>
    <mergeCell ref="Q1525:R1525"/>
    <mergeCell ref="C1526:D1526"/>
    <mergeCell ref="Q1526:R1526"/>
    <mergeCell ref="C1527:D1527"/>
    <mergeCell ref="Q1527:R1527"/>
    <mergeCell ref="C1528:D1528"/>
    <mergeCell ref="Q1528:R1528"/>
    <mergeCell ref="C1529:D1529"/>
    <mergeCell ref="Q1529:R1529"/>
    <mergeCell ref="C1530:D1530"/>
    <mergeCell ref="Q1530:R1530"/>
    <mergeCell ref="C1531:D1531"/>
    <mergeCell ref="Q1531:R1531"/>
    <mergeCell ref="C1532:D1532"/>
    <mergeCell ref="Q1532:R1532"/>
    <mergeCell ref="C1533:D1533"/>
    <mergeCell ref="Q1533:R1533"/>
    <mergeCell ref="C1534:D1534"/>
    <mergeCell ref="Q1534:R1534"/>
    <mergeCell ref="C1535:D1535"/>
    <mergeCell ref="Q1535:R1535"/>
    <mergeCell ref="C1536:D1536"/>
    <mergeCell ref="Q1536:R1536"/>
    <mergeCell ref="C1537:D1537"/>
    <mergeCell ref="Q1537:R1537"/>
    <mergeCell ref="C1538:D1538"/>
    <mergeCell ref="Q1538:R1538"/>
    <mergeCell ref="C1539:D1539"/>
    <mergeCell ref="Q1539:R1539"/>
    <mergeCell ref="C1540:D1540"/>
    <mergeCell ref="Q1540:R1540"/>
    <mergeCell ref="C1541:D1541"/>
    <mergeCell ref="Q1541:R1541"/>
    <mergeCell ref="C1542:D1542"/>
    <mergeCell ref="Q1542:R1542"/>
    <mergeCell ref="C1543:D1543"/>
    <mergeCell ref="Q1543:R1543"/>
    <mergeCell ref="C1544:D1544"/>
    <mergeCell ref="Q1544:R1544"/>
    <mergeCell ref="C1545:D1545"/>
    <mergeCell ref="Q1545:R1545"/>
    <mergeCell ref="C1546:D1546"/>
    <mergeCell ref="Q1546:R1546"/>
    <mergeCell ref="C1547:D1547"/>
    <mergeCell ref="Q1547:R1547"/>
    <mergeCell ref="C1548:D1548"/>
    <mergeCell ref="Q1548:R1548"/>
    <mergeCell ref="C1549:D1549"/>
    <mergeCell ref="Q1549:R1549"/>
    <mergeCell ref="C1550:D1550"/>
    <mergeCell ref="Q1550:R1550"/>
    <mergeCell ref="C1551:D1551"/>
    <mergeCell ref="Q1551:R1551"/>
    <mergeCell ref="C1552:D1552"/>
    <mergeCell ref="Q1552:R1552"/>
    <mergeCell ref="C1553:D1553"/>
    <mergeCell ref="Q1553:R1553"/>
    <mergeCell ref="C1554:D1554"/>
    <mergeCell ref="Q1554:R1554"/>
    <mergeCell ref="C1555:D1555"/>
    <mergeCell ref="Q1555:R1555"/>
    <mergeCell ref="C1556:D1556"/>
    <mergeCell ref="Q1556:R1556"/>
    <mergeCell ref="C1557:D1557"/>
    <mergeCell ref="Q1557:R1557"/>
    <mergeCell ref="C1558:D1558"/>
    <mergeCell ref="Q1558:R1558"/>
    <mergeCell ref="C1559:D1559"/>
    <mergeCell ref="Q1559:R1559"/>
    <mergeCell ref="C1560:D1560"/>
    <mergeCell ref="Q1560:R1560"/>
    <mergeCell ref="C1561:D1561"/>
    <mergeCell ref="Q1561:R1561"/>
    <mergeCell ref="C1562:D1562"/>
    <mergeCell ref="Q1562:R1562"/>
    <mergeCell ref="C1563:D1563"/>
    <mergeCell ref="Q1563:R1563"/>
    <mergeCell ref="C1564:D1564"/>
    <mergeCell ref="Q1564:R1564"/>
    <mergeCell ref="C1565:D1565"/>
    <mergeCell ref="Q1565:R1565"/>
    <mergeCell ref="C1566:D1566"/>
    <mergeCell ref="Q1566:R1566"/>
    <mergeCell ref="C1567:D1567"/>
    <mergeCell ref="Q1567:R1567"/>
    <mergeCell ref="C1568:D1568"/>
    <mergeCell ref="Q1568:R1568"/>
    <mergeCell ref="C1569:D1569"/>
    <mergeCell ref="Q1569:R1569"/>
    <mergeCell ref="C1570:D1570"/>
    <mergeCell ref="Q1570:R1570"/>
    <mergeCell ref="C1571:D1571"/>
    <mergeCell ref="Q1571:R1571"/>
    <mergeCell ref="C1572:D1572"/>
    <mergeCell ref="Q1572:R1572"/>
    <mergeCell ref="C1573:D1573"/>
    <mergeCell ref="Q1573:R1573"/>
    <mergeCell ref="C1574:D1574"/>
    <mergeCell ref="Q1574:R1574"/>
    <mergeCell ref="C1575:D1575"/>
    <mergeCell ref="Q1575:R1575"/>
    <mergeCell ref="C1576:D1576"/>
    <mergeCell ref="Q1576:R1576"/>
    <mergeCell ref="C1577:D1577"/>
    <mergeCell ref="Q1577:R1577"/>
    <mergeCell ref="C1578:D1578"/>
    <mergeCell ref="Q1578:R1578"/>
    <mergeCell ref="C1579:D1579"/>
    <mergeCell ref="Q1579:R1579"/>
    <mergeCell ref="C1580:D1580"/>
    <mergeCell ref="Q1580:R1580"/>
    <mergeCell ref="C1581:D1581"/>
    <mergeCell ref="Q1581:R1581"/>
    <mergeCell ref="C1582:D1582"/>
    <mergeCell ref="Q1582:R1582"/>
    <mergeCell ref="C1583:D1583"/>
    <mergeCell ref="Q1583:R1583"/>
    <mergeCell ref="C1584:D1584"/>
    <mergeCell ref="Q1584:R1584"/>
    <mergeCell ref="C1585:D1585"/>
    <mergeCell ref="Q1585:R1585"/>
    <mergeCell ref="C1586:D1586"/>
    <mergeCell ref="Q1586:R1586"/>
    <mergeCell ref="C1587:D1587"/>
    <mergeCell ref="Q1587:R1587"/>
    <mergeCell ref="C1588:D1588"/>
    <mergeCell ref="Q1588:R1588"/>
    <mergeCell ref="C1589:D1589"/>
    <mergeCell ref="Q1589:R1589"/>
    <mergeCell ref="C1590:D1590"/>
    <mergeCell ref="Q1590:R1590"/>
    <mergeCell ref="C1591:D1591"/>
    <mergeCell ref="Q1591:R1591"/>
    <mergeCell ref="C1592:D1592"/>
    <mergeCell ref="Q1592:R1592"/>
    <mergeCell ref="C1593:D1593"/>
    <mergeCell ref="Q1593:R1593"/>
    <mergeCell ref="C1594:D1594"/>
    <mergeCell ref="Q1594:R1594"/>
    <mergeCell ref="C1595:D1595"/>
    <mergeCell ref="Q1595:R1595"/>
    <mergeCell ref="C1596:D1596"/>
    <mergeCell ref="Q1596:R1596"/>
    <mergeCell ref="C1597:D1597"/>
    <mergeCell ref="Q1597:R1597"/>
    <mergeCell ref="C1598:D1598"/>
    <mergeCell ref="Q1598:R1598"/>
    <mergeCell ref="C1599:D1599"/>
    <mergeCell ref="Q1599:R1599"/>
    <mergeCell ref="C1600:D1600"/>
    <mergeCell ref="Q1600:R1600"/>
    <mergeCell ref="C1601:D1601"/>
    <mergeCell ref="Q1601:R1601"/>
    <mergeCell ref="C1602:D1602"/>
    <mergeCell ref="Q1602:R1602"/>
    <mergeCell ref="C1603:D1603"/>
    <mergeCell ref="Q1603:R1603"/>
    <mergeCell ref="C1604:D1604"/>
    <mergeCell ref="Q1604:R1604"/>
    <mergeCell ref="C1605:D1605"/>
    <mergeCell ref="Q1605:R1605"/>
    <mergeCell ref="C1606:D1606"/>
    <mergeCell ref="Q1606:R1606"/>
    <mergeCell ref="C1607:D1607"/>
    <mergeCell ref="Q1607:R1607"/>
    <mergeCell ref="C1608:D1608"/>
    <mergeCell ref="Q1608:R1608"/>
    <mergeCell ref="C1609:D1609"/>
    <mergeCell ref="Q1609:R1609"/>
    <mergeCell ref="C1610:D1610"/>
    <mergeCell ref="Q1610:R1610"/>
    <mergeCell ref="C1611:D1611"/>
    <mergeCell ref="Q1611:R1611"/>
    <mergeCell ref="C1612:D1612"/>
    <mergeCell ref="Q1612:R1612"/>
    <mergeCell ref="C1613:D1613"/>
    <mergeCell ref="Q1613:R1613"/>
    <mergeCell ref="C1614:D1614"/>
    <mergeCell ref="Q1614:R1614"/>
    <mergeCell ref="C1615:D1615"/>
    <mergeCell ref="Q1615:R1615"/>
    <mergeCell ref="C1616:D1616"/>
    <mergeCell ref="Q1616:R1616"/>
    <mergeCell ref="C1617:D1617"/>
    <mergeCell ref="Q1617:R1617"/>
    <mergeCell ref="C1618:D1618"/>
    <mergeCell ref="Q1618:R1618"/>
    <mergeCell ref="C1619:D1619"/>
    <mergeCell ref="Q1619:R1619"/>
    <mergeCell ref="C1620:D1620"/>
    <mergeCell ref="Q1620:R1620"/>
    <mergeCell ref="C1621:D1621"/>
    <mergeCell ref="Q1621:R1621"/>
    <mergeCell ref="C1622:D1622"/>
    <mergeCell ref="Q1622:R1622"/>
    <mergeCell ref="C1623:D1623"/>
    <mergeCell ref="Q1623:R1623"/>
    <mergeCell ref="C1624:D1624"/>
    <mergeCell ref="Q1624:R1624"/>
    <mergeCell ref="C1625:D1625"/>
    <mergeCell ref="Q1625:R1625"/>
    <mergeCell ref="C1626:D1626"/>
    <mergeCell ref="Q1626:R1626"/>
    <mergeCell ref="C1627:D1627"/>
    <mergeCell ref="Q1627:R1627"/>
    <mergeCell ref="C1628:D1628"/>
    <mergeCell ref="Q1628:R1628"/>
    <mergeCell ref="C1629:D1629"/>
    <mergeCell ref="Q1629:R1629"/>
    <mergeCell ref="C1630:D1630"/>
    <mergeCell ref="Q1630:R1630"/>
    <mergeCell ref="C1631:D1631"/>
    <mergeCell ref="Q1631:R1631"/>
    <mergeCell ref="C1632:D1632"/>
    <mergeCell ref="Q1632:R1632"/>
    <mergeCell ref="C1633:D1633"/>
    <mergeCell ref="Q1633:R1633"/>
    <mergeCell ref="C1634:D1634"/>
    <mergeCell ref="Q1634:R1634"/>
    <mergeCell ref="C1635:D1635"/>
    <mergeCell ref="Q1635:R1635"/>
    <mergeCell ref="C1636:D1636"/>
    <mergeCell ref="Q1636:R1636"/>
    <mergeCell ref="C1637:D1637"/>
    <mergeCell ref="Q1637:R1637"/>
    <mergeCell ref="C1638:D1638"/>
    <mergeCell ref="Q1638:R1638"/>
    <mergeCell ref="C1639:D1639"/>
    <mergeCell ref="Q1639:R1639"/>
    <mergeCell ref="C1640:D1640"/>
    <mergeCell ref="Q1640:R1640"/>
    <mergeCell ref="C1641:D1641"/>
    <mergeCell ref="Q1641:R1641"/>
    <mergeCell ref="C1642:D1642"/>
    <mergeCell ref="Q1642:R1642"/>
    <mergeCell ref="C1643:D1643"/>
    <mergeCell ref="Q1643:R1643"/>
    <mergeCell ref="C1644:D1644"/>
    <mergeCell ref="Q1644:R1644"/>
    <mergeCell ref="C1645:D1645"/>
    <mergeCell ref="Q1645:R1645"/>
    <mergeCell ref="C1646:D1646"/>
    <mergeCell ref="Q1646:R1646"/>
    <mergeCell ref="C1647:D1647"/>
    <mergeCell ref="Q1647:R1647"/>
    <mergeCell ref="C1648:D1648"/>
    <mergeCell ref="Q1648:R1648"/>
    <mergeCell ref="C1649:D1649"/>
    <mergeCell ref="Q1649:R1649"/>
    <mergeCell ref="C1650:D1650"/>
    <mergeCell ref="Q1650:R1650"/>
    <mergeCell ref="C1651:D1651"/>
    <mergeCell ref="Q1651:R1651"/>
    <mergeCell ref="C1652:D1652"/>
    <mergeCell ref="Q1652:R1652"/>
    <mergeCell ref="C1653:D1653"/>
    <mergeCell ref="Q1653:R1653"/>
    <mergeCell ref="C1654:D1654"/>
    <mergeCell ref="Q1654:R1654"/>
    <mergeCell ref="C1655:D1655"/>
    <mergeCell ref="Q1655:R1655"/>
    <mergeCell ref="C1656:D1656"/>
    <mergeCell ref="Q1656:R1656"/>
    <mergeCell ref="C1657:D1657"/>
    <mergeCell ref="Q1657:R1657"/>
    <mergeCell ref="C1658:D1658"/>
    <mergeCell ref="Q1658:R1658"/>
    <mergeCell ref="C1659:D1659"/>
    <mergeCell ref="Q1659:R1659"/>
    <mergeCell ref="C1660:D1660"/>
    <mergeCell ref="Q1660:R1660"/>
    <mergeCell ref="C1661:D1661"/>
    <mergeCell ref="Q1661:R1661"/>
    <mergeCell ref="C1662:D1662"/>
    <mergeCell ref="Q1662:R1662"/>
    <mergeCell ref="C1663:D1663"/>
    <mergeCell ref="Q1663:R1663"/>
    <mergeCell ref="C1664:D1664"/>
    <mergeCell ref="Q1664:R1664"/>
    <mergeCell ref="C1665:D1665"/>
    <mergeCell ref="Q1665:R1665"/>
    <mergeCell ref="C1666:D1666"/>
    <mergeCell ref="Q1666:R1666"/>
    <mergeCell ref="C1667:D1667"/>
    <mergeCell ref="Q1667:R1667"/>
    <mergeCell ref="C1668:D1668"/>
    <mergeCell ref="Q1668:R1668"/>
    <mergeCell ref="C1669:D1669"/>
    <mergeCell ref="Q1669:R1669"/>
    <mergeCell ref="C1670:D1670"/>
    <mergeCell ref="Q1670:R1670"/>
    <mergeCell ref="C1671:D1671"/>
    <mergeCell ref="Q1671:R1671"/>
    <mergeCell ref="C1672:D1672"/>
    <mergeCell ref="Q1672:R1672"/>
    <mergeCell ref="C1673:D1673"/>
    <mergeCell ref="Q1673:R1673"/>
    <mergeCell ref="C1674:D1674"/>
    <mergeCell ref="Q1674:R1674"/>
    <mergeCell ref="C1675:D1675"/>
    <mergeCell ref="Q1675:R1675"/>
    <mergeCell ref="C1676:D1676"/>
    <mergeCell ref="Q1676:R1676"/>
    <mergeCell ref="C1677:D1677"/>
    <mergeCell ref="Q1677:R1677"/>
    <mergeCell ref="C1678:D1678"/>
    <mergeCell ref="Q1678:R1678"/>
    <mergeCell ref="C1679:D1679"/>
    <mergeCell ref="Q1679:R1679"/>
    <mergeCell ref="C1680:D1680"/>
    <mergeCell ref="Q1680:R1680"/>
    <mergeCell ref="C1681:D1681"/>
    <mergeCell ref="Q1681:R1681"/>
    <mergeCell ref="C1682:D1682"/>
    <mergeCell ref="Q1682:R1682"/>
    <mergeCell ref="C1683:D1683"/>
    <mergeCell ref="Q1683:R1683"/>
    <mergeCell ref="C1684:D1684"/>
    <mergeCell ref="Q1684:R1684"/>
    <mergeCell ref="C1685:D1685"/>
    <mergeCell ref="Q1685:R1685"/>
    <mergeCell ref="C1686:D1686"/>
    <mergeCell ref="Q1686:R1686"/>
    <mergeCell ref="C1687:D1687"/>
    <mergeCell ref="Q1687:R1687"/>
    <mergeCell ref="C1688:D1688"/>
    <mergeCell ref="Q1688:R1688"/>
    <mergeCell ref="C1689:D1689"/>
    <mergeCell ref="Q1689:R1689"/>
    <mergeCell ref="C1690:D1690"/>
    <mergeCell ref="Q1690:R1690"/>
    <mergeCell ref="C1691:D1691"/>
    <mergeCell ref="Q1691:R1691"/>
    <mergeCell ref="C1692:D1692"/>
    <mergeCell ref="Q1692:R1692"/>
    <mergeCell ref="C1693:D1693"/>
    <mergeCell ref="Q1693:R1693"/>
    <mergeCell ref="C1694:D1694"/>
    <mergeCell ref="Q1694:R1694"/>
    <mergeCell ref="C1695:D1695"/>
    <mergeCell ref="Q1695:R1695"/>
    <mergeCell ref="C1696:D1696"/>
    <mergeCell ref="Q1696:R1696"/>
    <mergeCell ref="C1697:D1697"/>
    <mergeCell ref="Q1697:R1697"/>
    <mergeCell ref="C1698:D1698"/>
    <mergeCell ref="Q1698:R1698"/>
    <mergeCell ref="C1699:D1699"/>
    <mergeCell ref="Q1699:R1699"/>
    <mergeCell ref="C1700:D1700"/>
    <mergeCell ref="Q1700:R1700"/>
    <mergeCell ref="C1701:D1701"/>
    <mergeCell ref="Q1701:R1701"/>
    <mergeCell ref="C1702:D1702"/>
    <mergeCell ref="Q1702:R1702"/>
    <mergeCell ref="C1703:D1703"/>
    <mergeCell ref="Q1703:R1703"/>
    <mergeCell ref="C1704:D1704"/>
    <mergeCell ref="Q1704:R1704"/>
    <mergeCell ref="C1705:D1705"/>
    <mergeCell ref="Q1705:R1705"/>
    <mergeCell ref="C1706:D1706"/>
    <mergeCell ref="Q1706:R1706"/>
    <mergeCell ref="C1707:D1707"/>
    <mergeCell ref="Q1707:R1707"/>
    <mergeCell ref="C1708:D1708"/>
    <mergeCell ref="Q1708:R1708"/>
    <mergeCell ref="C1709:D1709"/>
    <mergeCell ref="Q1709:R1709"/>
    <mergeCell ref="C1710:D1710"/>
    <mergeCell ref="Q1710:R1710"/>
    <mergeCell ref="C1711:D1711"/>
    <mergeCell ref="Q1711:R1711"/>
    <mergeCell ref="C1712:D1712"/>
    <mergeCell ref="Q1712:R1712"/>
    <mergeCell ref="C1713:D1713"/>
    <mergeCell ref="Q1713:R1713"/>
    <mergeCell ref="C1714:D1714"/>
    <mergeCell ref="Q1714:R1714"/>
    <mergeCell ref="C1715:D1715"/>
    <mergeCell ref="Q1715:R1715"/>
    <mergeCell ref="C1716:D1716"/>
    <mergeCell ref="Q1716:R1716"/>
    <mergeCell ref="C1717:D1717"/>
    <mergeCell ref="Q1717:R1717"/>
    <mergeCell ref="C1718:D1718"/>
    <mergeCell ref="Q1718:R1718"/>
    <mergeCell ref="C1719:D1719"/>
    <mergeCell ref="Q1719:R1719"/>
    <mergeCell ref="C1720:D1720"/>
    <mergeCell ref="Q1720:R1720"/>
    <mergeCell ref="C1721:D1721"/>
    <mergeCell ref="Q1721:R1721"/>
    <mergeCell ref="C1722:D1722"/>
    <mergeCell ref="Q1722:R1722"/>
    <mergeCell ref="C1723:D1723"/>
    <mergeCell ref="Q1723:R1723"/>
    <mergeCell ref="C1724:D1724"/>
    <mergeCell ref="Q1724:R1724"/>
    <mergeCell ref="C1725:D1725"/>
    <mergeCell ref="Q1725:R1725"/>
    <mergeCell ref="C1726:D1726"/>
    <mergeCell ref="Q1726:R1726"/>
    <mergeCell ref="C1727:D1727"/>
    <mergeCell ref="Q1727:R1727"/>
    <mergeCell ref="C1728:D1728"/>
    <mergeCell ref="Q1728:R1728"/>
    <mergeCell ref="C1729:D1729"/>
    <mergeCell ref="Q1729:R1729"/>
    <mergeCell ref="C1730:D1730"/>
    <mergeCell ref="Q1730:R1730"/>
    <mergeCell ref="C1731:D1731"/>
    <mergeCell ref="Q1731:R1731"/>
    <mergeCell ref="C1732:D1732"/>
    <mergeCell ref="Q1732:R1732"/>
    <mergeCell ref="C1733:D1733"/>
    <mergeCell ref="Q1733:R1733"/>
    <mergeCell ref="C1734:D1734"/>
    <mergeCell ref="Q1734:R1734"/>
    <mergeCell ref="C1735:D1735"/>
    <mergeCell ref="Q1735:R1735"/>
    <mergeCell ref="C1736:D1736"/>
    <mergeCell ref="Q1736:R1736"/>
    <mergeCell ref="C1737:D1737"/>
    <mergeCell ref="Q1737:R1737"/>
    <mergeCell ref="C1738:D1738"/>
    <mergeCell ref="Q1738:R1738"/>
    <mergeCell ref="C1739:D1739"/>
    <mergeCell ref="Q1739:R1739"/>
    <mergeCell ref="C1740:D1740"/>
    <mergeCell ref="Q1740:R1740"/>
    <mergeCell ref="C1741:D1741"/>
    <mergeCell ref="Q1741:R1741"/>
    <mergeCell ref="C1742:D1742"/>
    <mergeCell ref="Q1742:R1742"/>
    <mergeCell ref="C1743:D1743"/>
    <mergeCell ref="Q1743:R1743"/>
    <mergeCell ref="C1744:D1744"/>
    <mergeCell ref="Q1744:R1744"/>
    <mergeCell ref="C1745:D1745"/>
    <mergeCell ref="Q1745:R1745"/>
    <mergeCell ref="C1746:D1746"/>
    <mergeCell ref="Q1746:R1746"/>
    <mergeCell ref="C1747:D1747"/>
    <mergeCell ref="Q1747:R1747"/>
    <mergeCell ref="C1748:D1748"/>
    <mergeCell ref="Q1748:R1748"/>
    <mergeCell ref="C1749:D1749"/>
    <mergeCell ref="Q1749:R1749"/>
    <mergeCell ref="C1750:D1750"/>
    <mergeCell ref="Q1750:R1750"/>
    <mergeCell ref="C1751:D1751"/>
    <mergeCell ref="Q1751:R1751"/>
    <mergeCell ref="C1752:D1752"/>
    <mergeCell ref="Q1752:R1752"/>
    <mergeCell ref="C1753:D1753"/>
    <mergeCell ref="Q1753:R1753"/>
    <mergeCell ref="C1754:D1754"/>
    <mergeCell ref="Q1754:R1754"/>
    <mergeCell ref="C1755:D1755"/>
    <mergeCell ref="Q1755:R1755"/>
    <mergeCell ref="C1756:D1756"/>
    <mergeCell ref="Q1756:R1756"/>
    <mergeCell ref="C1757:D1757"/>
    <mergeCell ref="Q1757:R1757"/>
    <mergeCell ref="C1758:D1758"/>
    <mergeCell ref="Q1758:R1758"/>
    <mergeCell ref="C1759:D1759"/>
    <mergeCell ref="Q1759:R1759"/>
    <mergeCell ref="C1760:D1760"/>
    <mergeCell ref="Q1760:R1760"/>
    <mergeCell ref="C1761:D1761"/>
    <mergeCell ref="Q1761:R1761"/>
    <mergeCell ref="C1762:D1762"/>
    <mergeCell ref="Q1762:R1762"/>
    <mergeCell ref="C1763:D1763"/>
    <mergeCell ref="Q1763:R1763"/>
    <mergeCell ref="C1764:D1764"/>
    <mergeCell ref="Q1764:R1764"/>
    <mergeCell ref="C1765:D1765"/>
    <mergeCell ref="Q1765:R1765"/>
    <mergeCell ref="C1766:D1766"/>
    <mergeCell ref="Q1766:R1766"/>
    <mergeCell ref="C1767:D1767"/>
    <mergeCell ref="Q1767:R1767"/>
    <mergeCell ref="C1768:D1768"/>
    <mergeCell ref="Q1768:R1768"/>
    <mergeCell ref="C1769:D1769"/>
    <mergeCell ref="Q1769:R1769"/>
    <mergeCell ref="C1770:D1770"/>
    <mergeCell ref="Q1770:R1770"/>
    <mergeCell ref="C1771:D1771"/>
    <mergeCell ref="Q1771:R1771"/>
    <mergeCell ref="C1772:D1772"/>
    <mergeCell ref="Q1772:R1772"/>
    <mergeCell ref="C1773:D1773"/>
    <mergeCell ref="Q1773:R1773"/>
    <mergeCell ref="C1774:D1774"/>
    <mergeCell ref="Q1774:R1774"/>
    <mergeCell ref="C1775:D1775"/>
    <mergeCell ref="Q1775:R1775"/>
    <mergeCell ref="C1776:D1776"/>
    <mergeCell ref="Q1776:R1776"/>
    <mergeCell ref="C1777:D1777"/>
    <mergeCell ref="Q1777:R1777"/>
    <mergeCell ref="C1778:D1778"/>
    <mergeCell ref="Q1778:R1778"/>
    <mergeCell ref="C1779:D1779"/>
    <mergeCell ref="Q1779:R1779"/>
    <mergeCell ref="C1780:D1780"/>
    <mergeCell ref="Q1780:R1780"/>
    <mergeCell ref="C1781:D1781"/>
    <mergeCell ref="Q1781:R1781"/>
    <mergeCell ref="C1782:D1782"/>
    <mergeCell ref="Q1782:R1782"/>
    <mergeCell ref="C1783:D1783"/>
    <mergeCell ref="Q1783:R1783"/>
    <mergeCell ref="C1784:D1784"/>
    <mergeCell ref="Q1784:R1784"/>
    <mergeCell ref="C1785:D1785"/>
    <mergeCell ref="Q1785:R1785"/>
    <mergeCell ref="C1786:D1786"/>
    <mergeCell ref="Q1786:R1786"/>
    <mergeCell ref="C1787:D1787"/>
    <mergeCell ref="Q1787:R1787"/>
    <mergeCell ref="C1788:D1788"/>
    <mergeCell ref="Q1788:R1788"/>
    <mergeCell ref="C1789:D1789"/>
    <mergeCell ref="Q1789:R1789"/>
    <mergeCell ref="C1790:D1790"/>
    <mergeCell ref="Q1790:R1790"/>
    <mergeCell ref="C1791:D1791"/>
    <mergeCell ref="Q1791:R1791"/>
    <mergeCell ref="C1792:D1792"/>
    <mergeCell ref="Q1792:R1792"/>
    <mergeCell ref="C1793:D1793"/>
    <mergeCell ref="Q1793:R1793"/>
    <mergeCell ref="C1794:D1794"/>
    <mergeCell ref="Q1794:R1794"/>
    <mergeCell ref="C1795:D1795"/>
    <mergeCell ref="Q1795:R1795"/>
    <mergeCell ref="C1796:D1796"/>
    <mergeCell ref="Q1796:R1796"/>
    <mergeCell ref="C1797:D1797"/>
    <mergeCell ref="Q1797:R1797"/>
    <mergeCell ref="C1798:D1798"/>
    <mergeCell ref="Q1798:R1798"/>
    <mergeCell ref="C1799:D1799"/>
    <mergeCell ref="Q1799:R1799"/>
    <mergeCell ref="C1800:D1800"/>
    <mergeCell ref="Q1800:R1800"/>
    <mergeCell ref="C1801:D1801"/>
    <mergeCell ref="Q1801:R1801"/>
    <mergeCell ref="C1802:D1802"/>
    <mergeCell ref="Q1802:R1802"/>
    <mergeCell ref="C1803:D1803"/>
    <mergeCell ref="Q1803:R1803"/>
    <mergeCell ref="C1804:D1804"/>
    <mergeCell ref="Q1804:R1804"/>
    <mergeCell ref="C1805:D1805"/>
    <mergeCell ref="Q1805:R1805"/>
    <mergeCell ref="C1806:D1806"/>
    <mergeCell ref="Q1806:R1806"/>
    <mergeCell ref="C1807:D1807"/>
    <mergeCell ref="Q1807:R1807"/>
    <mergeCell ref="C1808:D1808"/>
    <mergeCell ref="Q1808:R1808"/>
    <mergeCell ref="C1809:D1809"/>
    <mergeCell ref="Q1809:R1809"/>
    <mergeCell ref="C1810:D1810"/>
    <mergeCell ref="Q1810:R1810"/>
    <mergeCell ref="C1811:D1811"/>
    <mergeCell ref="Q1811:R1811"/>
    <mergeCell ref="C1812:D1812"/>
    <mergeCell ref="Q1812:R1812"/>
    <mergeCell ref="C1813:D1813"/>
    <mergeCell ref="Q1813:R1813"/>
    <mergeCell ref="C1814:D1814"/>
    <mergeCell ref="Q1814:R1814"/>
    <mergeCell ref="C1815:D1815"/>
    <mergeCell ref="Q1815:R1815"/>
    <mergeCell ref="C1816:D1816"/>
    <mergeCell ref="Q1816:R1816"/>
    <mergeCell ref="C1817:D1817"/>
    <mergeCell ref="Q1817:R1817"/>
    <mergeCell ref="C1818:D1818"/>
    <mergeCell ref="Q1818:R1818"/>
    <mergeCell ref="C1819:D1819"/>
    <mergeCell ref="Q1819:R1819"/>
    <mergeCell ref="C1820:D1820"/>
    <mergeCell ref="Q1820:R1820"/>
    <mergeCell ref="C1821:D1821"/>
    <mergeCell ref="Q1821:R1821"/>
    <mergeCell ref="C1822:D1822"/>
    <mergeCell ref="Q1822:R1822"/>
    <mergeCell ref="C1823:D1823"/>
    <mergeCell ref="Q1823:R1823"/>
    <mergeCell ref="C1824:D1824"/>
    <mergeCell ref="Q1824:R1824"/>
    <mergeCell ref="C1825:D1825"/>
    <mergeCell ref="Q1825:R1825"/>
    <mergeCell ref="C1826:D1826"/>
    <mergeCell ref="Q1826:R1826"/>
    <mergeCell ref="C1827:D1827"/>
    <mergeCell ref="Q1827:R1827"/>
    <mergeCell ref="C1828:D1828"/>
    <mergeCell ref="Q1828:R1828"/>
    <mergeCell ref="C1829:D1829"/>
    <mergeCell ref="Q1829:R1829"/>
    <mergeCell ref="C1830:D1830"/>
    <mergeCell ref="Q1830:R1830"/>
    <mergeCell ref="C1831:D1831"/>
    <mergeCell ref="Q1831:R1831"/>
    <mergeCell ref="C1832:D1832"/>
    <mergeCell ref="Q1832:R1832"/>
    <mergeCell ref="C1833:D1833"/>
    <mergeCell ref="Q1833:R1833"/>
    <mergeCell ref="C1834:D1834"/>
    <mergeCell ref="Q1834:R1834"/>
    <mergeCell ref="C1835:D1835"/>
    <mergeCell ref="Q1835:R1835"/>
    <mergeCell ref="C1836:D1836"/>
    <mergeCell ref="Q1836:R1836"/>
    <mergeCell ref="C1837:D1837"/>
    <mergeCell ref="Q1837:R1837"/>
    <mergeCell ref="C1838:D1838"/>
    <mergeCell ref="Q1838:R1838"/>
    <mergeCell ref="C1839:D1839"/>
    <mergeCell ref="Q1839:R1839"/>
    <mergeCell ref="C1840:D1840"/>
    <mergeCell ref="Q1840:R1840"/>
    <mergeCell ref="C1841:D1841"/>
    <mergeCell ref="Q1841:R1841"/>
    <mergeCell ref="C1842:D1842"/>
    <mergeCell ref="Q1842:R1842"/>
    <mergeCell ref="C1843:D1843"/>
    <mergeCell ref="Q1843:R1843"/>
    <mergeCell ref="C1844:D1844"/>
    <mergeCell ref="Q1844:R1844"/>
    <mergeCell ref="C1845:D1845"/>
    <mergeCell ref="Q1845:R1845"/>
    <mergeCell ref="C1846:D1846"/>
    <mergeCell ref="Q1846:R1846"/>
    <mergeCell ref="C1847:D1847"/>
    <mergeCell ref="Q1847:R1847"/>
    <mergeCell ref="C1848:D1848"/>
    <mergeCell ref="Q1848:R1848"/>
    <mergeCell ref="C1849:D1849"/>
    <mergeCell ref="Q1849:R1849"/>
    <mergeCell ref="C1850:D1850"/>
    <mergeCell ref="Q1850:R1850"/>
    <mergeCell ref="C1851:D1851"/>
    <mergeCell ref="Q1851:R1851"/>
    <mergeCell ref="C1852:D1852"/>
    <mergeCell ref="Q1852:R1852"/>
    <mergeCell ref="C1853:D1853"/>
    <mergeCell ref="Q1853:R1853"/>
    <mergeCell ref="C1854:D1854"/>
    <mergeCell ref="Q1854:R1854"/>
    <mergeCell ref="C1855:D1855"/>
    <mergeCell ref="Q1855:R1855"/>
    <mergeCell ref="C1856:D1856"/>
    <mergeCell ref="Q1856:R1856"/>
    <mergeCell ref="C1857:D1857"/>
    <mergeCell ref="Q1857:R1857"/>
    <mergeCell ref="C1858:D1858"/>
    <mergeCell ref="Q1858:R1858"/>
    <mergeCell ref="C1859:D1859"/>
    <mergeCell ref="Q1859:R1859"/>
    <mergeCell ref="C1860:D1860"/>
    <mergeCell ref="Q1860:R1860"/>
    <mergeCell ref="C1861:D1861"/>
    <mergeCell ref="Q1861:R1861"/>
    <mergeCell ref="C1862:D1862"/>
    <mergeCell ref="Q1862:R1862"/>
    <mergeCell ref="C1863:D1863"/>
    <mergeCell ref="Q1863:R1863"/>
    <mergeCell ref="C1864:D1864"/>
    <mergeCell ref="Q1864:R1864"/>
    <mergeCell ref="C1865:D1865"/>
    <mergeCell ref="Q1865:R1865"/>
    <mergeCell ref="C1866:D1866"/>
    <mergeCell ref="Q1866:R1866"/>
    <mergeCell ref="C1867:D1867"/>
    <mergeCell ref="Q1867:R1867"/>
    <mergeCell ref="C1868:D1868"/>
    <mergeCell ref="Q1868:R1868"/>
    <mergeCell ref="C1869:D1869"/>
    <mergeCell ref="Q1869:R1869"/>
    <mergeCell ref="C1870:D1870"/>
    <mergeCell ref="Q1870:R1870"/>
    <mergeCell ref="C1871:D1871"/>
    <mergeCell ref="Q1871:R1871"/>
    <mergeCell ref="C1872:D1872"/>
    <mergeCell ref="Q1872:R1872"/>
    <mergeCell ref="C1873:D1873"/>
    <mergeCell ref="Q1873:R1873"/>
    <mergeCell ref="C1874:D1874"/>
    <mergeCell ref="Q1874:R1874"/>
    <mergeCell ref="C1875:D1875"/>
    <mergeCell ref="Q1875:R1875"/>
    <mergeCell ref="C1876:D1876"/>
    <mergeCell ref="Q1876:R1876"/>
    <mergeCell ref="C1877:D1877"/>
    <mergeCell ref="Q1877:R1877"/>
    <mergeCell ref="C1878:D1878"/>
    <mergeCell ref="Q1878:R1878"/>
    <mergeCell ref="C1879:D1879"/>
    <mergeCell ref="Q1879:R1879"/>
    <mergeCell ref="C1880:D1880"/>
    <mergeCell ref="Q1880:R1880"/>
    <mergeCell ref="C1881:D1881"/>
    <mergeCell ref="Q1881:R1881"/>
    <mergeCell ref="C1882:D1882"/>
    <mergeCell ref="Q1882:R1882"/>
    <mergeCell ref="C1883:D1883"/>
    <mergeCell ref="Q1883:R1883"/>
    <mergeCell ref="C1884:D1884"/>
    <mergeCell ref="Q1884:R1884"/>
    <mergeCell ref="C1885:D1885"/>
    <mergeCell ref="Q1885:R1885"/>
    <mergeCell ref="C1886:D1886"/>
    <mergeCell ref="Q1886:R1886"/>
    <mergeCell ref="C1887:D1887"/>
    <mergeCell ref="Q1887:R1887"/>
    <mergeCell ref="C1888:D1888"/>
    <mergeCell ref="Q1888:R1888"/>
    <mergeCell ref="C1889:D1889"/>
    <mergeCell ref="Q1889:R1889"/>
    <mergeCell ref="C1890:D1890"/>
    <mergeCell ref="Q1890:R1890"/>
    <mergeCell ref="C1891:D1891"/>
    <mergeCell ref="Q1891:R1891"/>
    <mergeCell ref="C1892:D1892"/>
    <mergeCell ref="Q1892:R1892"/>
    <mergeCell ref="C1893:D1893"/>
    <mergeCell ref="Q1893:R1893"/>
    <mergeCell ref="C1894:D1894"/>
    <mergeCell ref="Q1894:R1894"/>
    <mergeCell ref="C1895:D1895"/>
    <mergeCell ref="Q1895:R1895"/>
    <mergeCell ref="C1896:D1896"/>
    <mergeCell ref="Q1896:R1896"/>
    <mergeCell ref="C1897:D1897"/>
    <mergeCell ref="Q1897:R1897"/>
    <mergeCell ref="C1898:D1898"/>
    <mergeCell ref="Q1898:R1898"/>
    <mergeCell ref="C1899:D1899"/>
    <mergeCell ref="Q1899:R1899"/>
    <mergeCell ref="C1900:D1900"/>
    <mergeCell ref="Q1900:R1900"/>
    <mergeCell ref="C1901:D1901"/>
    <mergeCell ref="Q1901:R1901"/>
    <mergeCell ref="C1902:D1902"/>
    <mergeCell ref="Q1902:R1902"/>
    <mergeCell ref="C1903:D1903"/>
    <mergeCell ref="Q1903:R1903"/>
    <mergeCell ref="C1904:D1904"/>
    <mergeCell ref="Q1904:R1904"/>
    <mergeCell ref="C1905:D1905"/>
    <mergeCell ref="Q1905:R1905"/>
    <mergeCell ref="C1915:D1915"/>
    <mergeCell ref="Q1915:R1915"/>
    <mergeCell ref="C1916:D1916"/>
    <mergeCell ref="Q1916:R1916"/>
    <mergeCell ref="C1917:D1917"/>
    <mergeCell ref="Q1917:R1917"/>
    <mergeCell ref="C1918:D1918"/>
    <mergeCell ref="Q1918:R1918"/>
    <mergeCell ref="C1919:D1919"/>
    <mergeCell ref="Q1919:R1919"/>
    <mergeCell ref="C1920:D1920"/>
    <mergeCell ref="Q1920:R1920"/>
    <mergeCell ref="A1921:S1921"/>
    <mergeCell ref="A1922:S1922"/>
    <mergeCell ref="C1906:D1906"/>
    <mergeCell ref="Q1906:R1906"/>
    <mergeCell ref="C1907:D1907"/>
    <mergeCell ref="Q1907:R1907"/>
    <mergeCell ref="C1908:D1908"/>
    <mergeCell ref="Q1908:R1908"/>
    <mergeCell ref="C1909:D1909"/>
    <mergeCell ref="Q1909:R1909"/>
    <mergeCell ref="C1910:D1910"/>
    <mergeCell ref="Q1910:R1910"/>
    <mergeCell ref="C1911:D1911"/>
    <mergeCell ref="Q1911:R1911"/>
    <mergeCell ref="C1912:D1912"/>
    <mergeCell ref="Q1912:R1912"/>
    <mergeCell ref="C1913:D1913"/>
    <mergeCell ref="Q1913:R1913"/>
    <mergeCell ref="C1914:D1914"/>
    <mergeCell ref="Q1914:R1914"/>
  </mergeCells>
  <conditionalFormatting sqref="O3:P3 P4:P492">
    <cfRule type="cellIs" dxfId="0" priority="1" operator="greaterThan">
      <formula>$N$3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2022-10-03T16:38:02Z</dcterms:created>
  <dcterms:modified xsi:type="dcterms:W3CDTF">2022-10-05T21:44:16Z</dcterms:modified>
</cp:coreProperties>
</file>